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esktop\DASHBOARD  FINAL\Updated files excel\pr-po summary\"/>
    </mc:Choice>
  </mc:AlternateContent>
  <xr:revisionPtr revIDLastSave="0" documentId="13_ncr:1_{C3A9D279-BA0E-4C14-91C7-AFC376EF5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Sheet1!$A$1:$CB$1177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2" i="1"/>
</calcChain>
</file>

<file path=xl/sharedStrings.xml><?xml version="1.0" encoding="utf-8"?>
<sst xmlns="http://schemas.openxmlformats.org/spreadsheetml/2006/main" count="64760" uniqueCount="724">
  <si>
    <t/>
  </si>
  <si>
    <t>9110000289</t>
  </si>
  <si>
    <t>2010</t>
  </si>
  <si>
    <t>115</t>
  </si>
  <si>
    <t>ZMAT</t>
  </si>
  <si>
    <t>14000015   RKSK Steel</t>
  </si>
  <si>
    <t>F</t>
  </si>
  <si>
    <t>10</t>
  </si>
  <si>
    <t>150000090</t>
  </si>
  <si>
    <t>10mm dia Fe550D</t>
  </si>
  <si>
    <t>Q</t>
  </si>
  <si>
    <t>TO</t>
  </si>
  <si>
    <t>NG</t>
  </si>
  <si>
    <t>Y1</t>
  </si>
  <si>
    <t>XXX</t>
  </si>
  <si>
    <t>G</t>
  </si>
  <si>
    <t>9M</t>
  </si>
  <si>
    <t>0</t>
  </si>
  <si>
    <t>INR</t>
  </si>
  <si>
    <t>1107</t>
  </si>
  <si>
    <t>NEW ORDER</t>
  </si>
  <si>
    <t>5300000434</t>
  </si>
  <si>
    <t>20</t>
  </si>
  <si>
    <t>150000091</t>
  </si>
  <si>
    <t>12mm dia. Fe550D</t>
  </si>
  <si>
    <t>5300000435</t>
  </si>
  <si>
    <t>30</t>
  </si>
  <si>
    <t>150000092</t>
  </si>
  <si>
    <t>16mm dia.Fe550D</t>
  </si>
  <si>
    <t>5300000436</t>
  </si>
  <si>
    <t>40</t>
  </si>
  <si>
    <t>150000093</t>
  </si>
  <si>
    <t>20mm dia.Fe550D</t>
  </si>
  <si>
    <t>5300000437</t>
  </si>
  <si>
    <t>50</t>
  </si>
  <si>
    <t>190000065</t>
  </si>
  <si>
    <t>Steel Re-bar TMT 10 mm Dia. FE-550D</t>
  </si>
  <si>
    <t>5300000132</t>
  </si>
  <si>
    <t>60</t>
  </si>
  <si>
    <t>190000067</t>
  </si>
  <si>
    <t>Steel Re-bar TMT 16 mm Dia. FE-550D</t>
  </si>
  <si>
    <t>5300000134</t>
  </si>
  <si>
    <t>70</t>
  </si>
  <si>
    <t>190000068</t>
  </si>
  <si>
    <t>Steel Re-bar TMT 20 mm Dia. FE-550D</t>
  </si>
  <si>
    <t>5300000135</t>
  </si>
  <si>
    <t>9110000290</t>
  </si>
  <si>
    <t>202</t>
  </si>
  <si>
    <t>150000089</t>
  </si>
  <si>
    <t>8mm dia</t>
  </si>
  <si>
    <t>R</t>
  </si>
  <si>
    <t>5300000445</t>
  </si>
  <si>
    <t>10mm dia</t>
  </si>
  <si>
    <t>12mm dia</t>
  </si>
  <si>
    <t>16mm dia</t>
  </si>
  <si>
    <t>9110000344</t>
  </si>
  <si>
    <t>Fe 550D TMT Steel 8 MM</t>
  </si>
  <si>
    <t>NFA- 4953</t>
  </si>
  <si>
    <t>X</t>
  </si>
  <si>
    <t>B</t>
  </si>
  <si>
    <t>9R</t>
  </si>
  <si>
    <t>Fe 550D TMT Steel 12 MM</t>
  </si>
  <si>
    <t>Fe 550D TMT Steel 16 MM</t>
  </si>
  <si>
    <t>9110000356</t>
  </si>
  <si>
    <t>14000017   Petropol India Limited</t>
  </si>
  <si>
    <t>5300000487</t>
  </si>
  <si>
    <t>5300000488</t>
  </si>
  <si>
    <t>Fe 550D TMT Steel 20 MM</t>
  </si>
  <si>
    <t>5300000489</t>
  </si>
  <si>
    <t>9110000383</t>
  </si>
  <si>
    <t>190000064</t>
  </si>
  <si>
    <t>Steel Re-bar TMT 08 mm Dia. FE-550D</t>
  </si>
  <si>
    <t>5300000175</t>
  </si>
  <si>
    <t>5300000176</t>
  </si>
  <si>
    <t>190000066</t>
  </si>
  <si>
    <t>Steel Re-bar TMT 12 mm Dia. FE-550D</t>
  </si>
  <si>
    <t>5300000177</t>
  </si>
  <si>
    <t>5300000178</t>
  </si>
  <si>
    <t>5300000179</t>
  </si>
  <si>
    <t>9110000423</t>
  </si>
  <si>
    <t>NFA-5729</t>
  </si>
  <si>
    <t>9110000993</t>
  </si>
  <si>
    <t>109</t>
  </si>
  <si>
    <t>9110001204</t>
  </si>
  <si>
    <t>9110001546</t>
  </si>
  <si>
    <t>9V</t>
  </si>
  <si>
    <t>80</t>
  </si>
  <si>
    <t>90</t>
  </si>
  <si>
    <t>100</t>
  </si>
  <si>
    <t>110</t>
  </si>
  <si>
    <t>120</t>
  </si>
  <si>
    <t>9110001558</t>
  </si>
  <si>
    <t>9110001575</t>
  </si>
  <si>
    <t>08 mm</t>
  </si>
  <si>
    <t>10 mm</t>
  </si>
  <si>
    <t>9110001791</t>
  </si>
  <si>
    <t>8X</t>
  </si>
  <si>
    <t>9110000377</t>
  </si>
  <si>
    <t>L</t>
  </si>
  <si>
    <t>14000038   Shree Balaji RMC</t>
  </si>
  <si>
    <t>150000098</t>
  </si>
  <si>
    <t>M15 grade</t>
  </si>
  <si>
    <t>M3</t>
  </si>
  <si>
    <t>NF</t>
  </si>
  <si>
    <t>1708</t>
  </si>
  <si>
    <t>5300000503</t>
  </si>
  <si>
    <t>150000099</t>
  </si>
  <si>
    <t>M35 grade</t>
  </si>
  <si>
    <t>5300000504</t>
  </si>
  <si>
    <t>9110000040</t>
  </si>
  <si>
    <t>113</t>
  </si>
  <si>
    <t>14000045   N S Concrete Pvt Ltd</t>
  </si>
  <si>
    <t>110000056</t>
  </si>
  <si>
    <t>RMC M7.5 Grade</t>
  </si>
  <si>
    <t>IK</t>
  </si>
  <si>
    <t>NFA1234422</t>
  </si>
  <si>
    <t>1100</t>
  </si>
  <si>
    <t>110000031</t>
  </si>
  <si>
    <t>RMC M25 Grade</t>
  </si>
  <si>
    <t>9110000300</t>
  </si>
  <si>
    <t>210000125</t>
  </si>
  <si>
    <t>M25 grade</t>
  </si>
  <si>
    <t>5300000443</t>
  </si>
  <si>
    <t>150000094</t>
  </si>
  <si>
    <t>Amendment 1 - M 7.5 grade</t>
  </si>
  <si>
    <t>AMENDMENT</t>
  </si>
  <si>
    <t>5300000452</t>
  </si>
  <si>
    <t>9110000320</t>
  </si>
  <si>
    <t>Ready Mix Concrete M - 7.5</t>
  </si>
  <si>
    <t>NFA- 4575</t>
  </si>
  <si>
    <t>Ready Mix Concrete M - 15</t>
  </si>
  <si>
    <t>5300000453</t>
  </si>
  <si>
    <t>150000096</t>
  </si>
  <si>
    <t>Ready Mix Concrete M - 25</t>
  </si>
  <si>
    <t>NEW OEDER</t>
  </si>
  <si>
    <t>5300000454</t>
  </si>
  <si>
    <t>Ready Mix Concrete M - 35</t>
  </si>
  <si>
    <t>5300000455</t>
  </si>
  <si>
    <t>9110000520</t>
  </si>
  <si>
    <t>250000011</t>
  </si>
  <si>
    <t>Pumping charges</t>
  </si>
  <si>
    <t>NFA-6092</t>
  </si>
  <si>
    <t>5300000585</t>
  </si>
  <si>
    <t>9110001835</t>
  </si>
  <si>
    <t>14000057   Shree Krishna Secauto Pr</t>
  </si>
  <si>
    <t>130000557</t>
  </si>
  <si>
    <t>Wiser  Wifi Relay- 2 channel</t>
  </si>
  <si>
    <t>NO</t>
  </si>
  <si>
    <t>1204</t>
  </si>
  <si>
    <t>14000057   Shree Krishna Secauto Private Limit</t>
  </si>
  <si>
    <t>5300001549</t>
  </si>
  <si>
    <t>Wiser heavy load Relay-1 Channel</t>
  </si>
  <si>
    <t>130000556</t>
  </si>
  <si>
    <t>Wiser IR Controller For AC</t>
  </si>
  <si>
    <t>5300001550</t>
  </si>
  <si>
    <t>130000558</t>
  </si>
  <si>
    <t>Wiser Connected Switch-White</t>
  </si>
  <si>
    <t>5300001551</t>
  </si>
  <si>
    <t>Wiser Connected Fan Regulator-White</t>
  </si>
  <si>
    <t>120000217</t>
  </si>
  <si>
    <t>2M Plate</t>
  </si>
  <si>
    <t>5300001552</t>
  </si>
  <si>
    <t>120000218</t>
  </si>
  <si>
    <t>3M Plate</t>
  </si>
  <si>
    <t>5300001553</t>
  </si>
  <si>
    <t>120000219</t>
  </si>
  <si>
    <t>4M Plate</t>
  </si>
  <si>
    <t>5300001554</t>
  </si>
  <si>
    <t>120000220</t>
  </si>
  <si>
    <t>6M Plate</t>
  </si>
  <si>
    <t>5300001555</t>
  </si>
  <si>
    <t>120000221</t>
  </si>
  <si>
    <t>8M Plate</t>
  </si>
  <si>
    <t>5300001556</t>
  </si>
  <si>
    <t>120000039</t>
  </si>
  <si>
    <t>6A Switch</t>
  </si>
  <si>
    <t>5300001557</t>
  </si>
  <si>
    <t>130</t>
  </si>
  <si>
    <t>120000414</t>
  </si>
  <si>
    <t>6A Socket</t>
  </si>
  <si>
    <t>5300001558</t>
  </si>
  <si>
    <t>140</t>
  </si>
  <si>
    <t>130000555</t>
  </si>
  <si>
    <t>16A Switch</t>
  </si>
  <si>
    <t>5300001559</t>
  </si>
  <si>
    <t>150</t>
  </si>
  <si>
    <t>120000413</t>
  </si>
  <si>
    <t>16A Socket</t>
  </si>
  <si>
    <t>5300001560</t>
  </si>
  <si>
    <t>160</t>
  </si>
  <si>
    <t>130000550</t>
  </si>
  <si>
    <t>Fan Regulator</t>
  </si>
  <si>
    <t>5300001561</t>
  </si>
  <si>
    <t>170</t>
  </si>
  <si>
    <t>130000553</t>
  </si>
  <si>
    <t>Blanking Plate</t>
  </si>
  <si>
    <t>5300001562</t>
  </si>
  <si>
    <t>180</t>
  </si>
  <si>
    <t>130000552</t>
  </si>
  <si>
    <t>20A DP Switch</t>
  </si>
  <si>
    <t>5300001563</t>
  </si>
  <si>
    <t>190</t>
  </si>
  <si>
    <t>130000551</t>
  </si>
  <si>
    <t>TV Socket</t>
  </si>
  <si>
    <t>5300001564</t>
  </si>
  <si>
    <t>200</t>
  </si>
  <si>
    <t>120000713</t>
  </si>
  <si>
    <t>Data Socket</t>
  </si>
  <si>
    <t>5300001565</t>
  </si>
  <si>
    <t>210</t>
  </si>
  <si>
    <t>130000554</t>
  </si>
  <si>
    <t>Tel Socket</t>
  </si>
  <si>
    <t>5300001566</t>
  </si>
  <si>
    <t>220</t>
  </si>
  <si>
    <t>1M Plate</t>
  </si>
  <si>
    <t>230</t>
  </si>
  <si>
    <t>240</t>
  </si>
  <si>
    <t>250</t>
  </si>
  <si>
    <t>260</t>
  </si>
  <si>
    <t>270</t>
  </si>
  <si>
    <t>120000040</t>
  </si>
  <si>
    <t>Bell Push</t>
  </si>
  <si>
    <t>5300001567</t>
  </si>
  <si>
    <t>280</t>
  </si>
  <si>
    <t>290</t>
  </si>
  <si>
    <t>300</t>
  </si>
  <si>
    <t>310</t>
  </si>
  <si>
    <t>320</t>
  </si>
  <si>
    <t>330</t>
  </si>
  <si>
    <t>120000432</t>
  </si>
  <si>
    <t>5300001568</t>
  </si>
  <si>
    <t>340</t>
  </si>
  <si>
    <t>350</t>
  </si>
  <si>
    <t>360</t>
  </si>
  <si>
    <t>130000549</t>
  </si>
  <si>
    <t>HDMI</t>
  </si>
  <si>
    <t>5300001569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</si>
  <si>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</si>
  <si>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</si>
  <si>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</si>
  <si>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</si>
  <si>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</si>
  <si>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</si>
  <si>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</si>
  <si>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</si>
  <si>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</si>
  <si>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</si>
  <si>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</si>
  <si>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</si>
  <si>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</si>
  <si>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Installation</t>
  </si>
  <si>
    <t>9110000397</t>
  </si>
  <si>
    <t>14000058   SBJ Concrete Buildcon Pr</t>
  </si>
  <si>
    <t>110000140</t>
  </si>
  <si>
    <t>14000058   SBJ Concrete Buildcon Private Limit</t>
  </si>
  <si>
    <t>5300000528</t>
  </si>
  <si>
    <t>110000144</t>
  </si>
  <si>
    <t>5300000529</t>
  </si>
  <si>
    <t>9110000413</t>
  </si>
  <si>
    <t>250000000</t>
  </si>
  <si>
    <t>5300000536</t>
  </si>
  <si>
    <t>110000142</t>
  </si>
  <si>
    <t>5300000537</t>
  </si>
  <si>
    <t>9110000447</t>
  </si>
  <si>
    <t>Ready Mix Concrete Grade M-35</t>
  </si>
  <si>
    <t>NFA-5806</t>
  </si>
  <si>
    <t>9110000521</t>
  </si>
  <si>
    <t>Pumping Charges</t>
  </si>
  <si>
    <t>NFA-6091</t>
  </si>
  <si>
    <t>5300000586</t>
  </si>
  <si>
    <t>9110000654</t>
  </si>
  <si>
    <t>9110000406</t>
  </si>
  <si>
    <t>14000059   Akshay Udyog</t>
  </si>
  <si>
    <t>200000030</t>
  </si>
  <si>
    <t>Cement PPC grade</t>
  </si>
  <si>
    <t>BAG</t>
  </si>
  <si>
    <t>NH</t>
  </si>
  <si>
    <t>NFA-5520</t>
  </si>
  <si>
    <t>1102</t>
  </si>
  <si>
    <t>5300000533</t>
  </si>
  <si>
    <t>9110000449</t>
  </si>
  <si>
    <t>14000061   Ultratech Cement Limited</t>
  </si>
  <si>
    <t>200000000</t>
  </si>
  <si>
    <t>Cement OPC 53 grade</t>
  </si>
  <si>
    <t>NFA-5741</t>
  </si>
  <si>
    <t>5300000552</t>
  </si>
  <si>
    <t>9110000639</t>
  </si>
  <si>
    <t>Cement OPC 53 grade for Anchor Grouting</t>
  </si>
  <si>
    <t>9110000667</t>
  </si>
  <si>
    <t>9110000537</t>
  </si>
  <si>
    <t>14000067   Wonder Cement Limited</t>
  </si>
  <si>
    <t>NJ</t>
  </si>
  <si>
    <t>5300000593</t>
  </si>
  <si>
    <t>9110000585</t>
  </si>
  <si>
    <t>NFA-6562</t>
  </si>
  <si>
    <t>9110000605</t>
  </si>
  <si>
    <t>9110000782</t>
  </si>
  <si>
    <t>14000068   Ram Niwas &amp; Sons</t>
  </si>
  <si>
    <t>5300000600</t>
  </si>
  <si>
    <t>9110000862</t>
  </si>
  <si>
    <t>5300000601</t>
  </si>
  <si>
    <t>9110000887</t>
  </si>
  <si>
    <t>9110000992</t>
  </si>
  <si>
    <t>9110001126</t>
  </si>
  <si>
    <t>9110001305</t>
  </si>
  <si>
    <t>9110001362</t>
  </si>
  <si>
    <t>9110001421</t>
  </si>
  <si>
    <t>08 mm AMD QTY PO No. 9110001421</t>
  </si>
  <si>
    <t>9110001471</t>
  </si>
  <si>
    <t>08 mm AMD QTY PO No. 9110001471</t>
  </si>
  <si>
    <t>9110001541</t>
  </si>
  <si>
    <t>9110001607</t>
  </si>
  <si>
    <t>9110001691</t>
  </si>
  <si>
    <t>9110000657</t>
  </si>
  <si>
    <t>14000082   Carna Corporation Pvt Lt</t>
  </si>
  <si>
    <t>Fe 550D TMT Steel 8 MM dia.</t>
  </si>
  <si>
    <t>14000082   Carna Corporation Pvt Ltd</t>
  </si>
  <si>
    <t>5300000675</t>
  </si>
  <si>
    <t>Fe 550D TMT Steel 10 MM dia.</t>
  </si>
  <si>
    <t>5300000676</t>
  </si>
  <si>
    <t>Fe 550D TMT Steel 12 MM dia.</t>
  </si>
  <si>
    <t>5300000677</t>
  </si>
  <si>
    <t>Fe 550D TMT Steel 16 MM dia.</t>
  </si>
  <si>
    <t>5300000678</t>
  </si>
  <si>
    <t>Fe 550D TMT Steel 20 MM dia.</t>
  </si>
  <si>
    <t>5300000679</t>
  </si>
  <si>
    <t>190000059</t>
  </si>
  <si>
    <t>Fe 550D TMT Steel 25 MM dai.</t>
  </si>
  <si>
    <t>5300000680</t>
  </si>
  <si>
    <t>190000071</t>
  </si>
  <si>
    <t>Fe 550D TMT Steel 32 MM dia.</t>
  </si>
  <si>
    <t>5300000681</t>
  </si>
  <si>
    <t>Fe 550D TMT Steel 25 MM dia.</t>
  </si>
  <si>
    <t>9110000708</t>
  </si>
  <si>
    <t>9110000709</t>
  </si>
  <si>
    <t>Fe 550D TMT Steel 10 MM</t>
  </si>
  <si>
    <t>9110000726</t>
  </si>
  <si>
    <t>9110000779</t>
  </si>
  <si>
    <t>Steel Re-bar TMT 25 mm Dia. FE-550D</t>
  </si>
  <si>
    <t>Steel Re-bar TMT 32 mm Dia. FE-550D</t>
  </si>
  <si>
    <t>9110000837</t>
  </si>
  <si>
    <t>9110000889</t>
  </si>
  <si>
    <t>9110000725</t>
  </si>
  <si>
    <t>14000086   JINDAL STEEL LIMITED</t>
  </si>
  <si>
    <t>Fe 550D TMT Steel 12MM</t>
  </si>
  <si>
    <t>5300000733</t>
  </si>
  <si>
    <t>Fe 550D TMT Steel 16MM</t>
  </si>
  <si>
    <t>5300000734</t>
  </si>
  <si>
    <t>Fe 550D TMT Steel 20MM</t>
  </si>
  <si>
    <t>5300000735</t>
  </si>
  <si>
    <t>Fe 550D TMT Steel 25MM</t>
  </si>
  <si>
    <t>Fe 550D TMT Steel 32MM</t>
  </si>
  <si>
    <t>5300000736</t>
  </si>
  <si>
    <t>9110000991</t>
  </si>
  <si>
    <t>190000069</t>
  </si>
  <si>
    <t>5300000747</t>
  </si>
  <si>
    <t>9110001079</t>
  </si>
  <si>
    <t>9110000774</t>
  </si>
  <si>
    <t>14000088   Northern Steel and Gener</t>
  </si>
  <si>
    <t>14000088   Northern Steel and General Mills</t>
  </si>
  <si>
    <t>5300000758</t>
  </si>
  <si>
    <t>5300000759</t>
  </si>
  <si>
    <t>9110000777</t>
  </si>
  <si>
    <t>14000090   Jindal Steel Limited</t>
  </si>
  <si>
    <t>5300000760</t>
  </si>
  <si>
    <t>5300000761</t>
  </si>
  <si>
    <t>9110000820</t>
  </si>
  <si>
    <t>5300000801</t>
  </si>
  <si>
    <t>5300000802</t>
  </si>
  <si>
    <t>9110000859</t>
  </si>
  <si>
    <t>9110000886</t>
  </si>
  <si>
    <t>5300000763</t>
  </si>
  <si>
    <t>9110001055</t>
  </si>
  <si>
    <t>9110001073</t>
  </si>
  <si>
    <t>9110001127</t>
  </si>
  <si>
    <t>9110001162</t>
  </si>
  <si>
    <t>5300000957</t>
  </si>
  <si>
    <t>9110001213</t>
  </si>
  <si>
    <t>9110001307</t>
  </si>
  <si>
    <t>9110001361</t>
  </si>
  <si>
    <t>9110001422</t>
  </si>
  <si>
    <t>9110001551</t>
  </si>
  <si>
    <t>9110001557</t>
  </si>
  <si>
    <t>9110001796</t>
  </si>
  <si>
    <t>9110000790</t>
  </si>
  <si>
    <t>14000091   Rashtriya Ispat Nigam Lt</t>
  </si>
  <si>
    <t>190000075</t>
  </si>
  <si>
    <t>Fe 550D TMT Steel Coil 08MM</t>
  </si>
  <si>
    <t>14000091   Rashtriya Ispat Nigam Ltd</t>
  </si>
  <si>
    <t>5300000766</t>
  </si>
  <si>
    <t>190000076</t>
  </si>
  <si>
    <t>Fe 550D TMT Steel Coil 10MM</t>
  </si>
  <si>
    <t>5300000767</t>
  </si>
  <si>
    <t>190000077</t>
  </si>
  <si>
    <t>Fe 550D TMT Steel Coil 12MM</t>
  </si>
  <si>
    <t>5300000768</t>
  </si>
  <si>
    <t>9110000884</t>
  </si>
  <si>
    <t>9110000961</t>
  </si>
  <si>
    <t>9110001138</t>
  </si>
  <si>
    <t>9110001212</t>
  </si>
  <si>
    <t>5300001087</t>
  </si>
  <si>
    <t>5300001088</t>
  </si>
  <si>
    <t>9110001219</t>
  </si>
  <si>
    <t>9110001445</t>
  </si>
  <si>
    <t>9110001604</t>
  </si>
  <si>
    <t>9110000868</t>
  </si>
  <si>
    <t>14000100   PRAGYAN METALS PRIVATE L</t>
  </si>
  <si>
    <t>14000100   PRAGYAN METALS PRIVATE LIMITED</t>
  </si>
  <si>
    <t>5300000857</t>
  </si>
  <si>
    <t>9110000966</t>
  </si>
  <si>
    <t>14000105   Vikrant Ispat Udyog</t>
  </si>
  <si>
    <t>5300000900</t>
  </si>
  <si>
    <t>5300000901</t>
  </si>
  <si>
    <t>9110000999</t>
  </si>
  <si>
    <t>14000106   Sapcon Steels Private Li</t>
  </si>
  <si>
    <t>14000106   Sapcon Steels Private Limited</t>
  </si>
  <si>
    <t>5300000912</t>
  </si>
  <si>
    <t>5300000913</t>
  </si>
  <si>
    <t>9110001009</t>
  </si>
  <si>
    <t>5300000921</t>
  </si>
  <si>
    <t>9110001317</t>
  </si>
  <si>
    <t>5300001240</t>
  </si>
  <si>
    <t>9110001365</t>
  </si>
  <si>
    <t>9110001494</t>
  </si>
  <si>
    <t>9110001718</t>
  </si>
  <si>
    <t>9110001848</t>
  </si>
  <si>
    <t>14000115   DAGA TRADING COMPANY PVT</t>
  </si>
  <si>
    <t>Steel mesh For NS wall</t>
  </si>
  <si>
    <t>14000115   DAGA TRADING COMPANY PVT. LTD.</t>
  </si>
  <si>
    <t>5300001056</t>
  </si>
  <si>
    <t>9110001855</t>
  </si>
  <si>
    <t>XX</t>
  </si>
  <si>
    <t>5300001617</t>
  </si>
  <si>
    <t>5300001618</t>
  </si>
  <si>
    <t>9110001657</t>
  </si>
  <si>
    <t>14000116   DORSET INDUSTRIES PRIVAT</t>
  </si>
  <si>
    <t>130000500</t>
  </si>
  <si>
    <t>Main Door Biometric  Lock ( Including Al</t>
  </si>
  <si>
    <t>9X</t>
  </si>
  <si>
    <t>5400</t>
  </si>
  <si>
    <t>14000116   DORSET INDUSTRIES PRIVATE LIMITED</t>
  </si>
  <si>
    <t>5300001382</t>
  </si>
  <si>
    <t>130000501</t>
  </si>
  <si>
    <t>Main  Door Catcher Magnetic</t>
  </si>
  <si>
    <t>5300001383</t>
  </si>
  <si>
    <t>130000502</t>
  </si>
  <si>
    <t>Main Door Hinges 125mm</t>
  </si>
  <si>
    <t>5300001384</t>
  </si>
  <si>
    <t>130000503</t>
  </si>
  <si>
    <t>Door Handle with lock body</t>
  </si>
  <si>
    <t>5300001385</t>
  </si>
  <si>
    <t>130000504</t>
  </si>
  <si>
    <t>Hinges</t>
  </si>
  <si>
    <t>5300001386</t>
  </si>
  <si>
    <t>130000506</t>
  </si>
  <si>
    <t>Hinges 4</t>
  </si>
  <si>
    <t>5300001387</t>
  </si>
  <si>
    <t>9110001194</t>
  </si>
  <si>
    <t>14000117   Steel Authority Of India</t>
  </si>
  <si>
    <t>14000117   Steel Authority Of India LTD</t>
  </si>
  <si>
    <t>5300001077</t>
  </si>
  <si>
    <t>5300001078</t>
  </si>
  <si>
    <t>9110001203</t>
  </si>
  <si>
    <t>9110001280</t>
  </si>
  <si>
    <t>5300001147</t>
  </si>
  <si>
    <t>5300001148</t>
  </si>
  <si>
    <t>5300001079</t>
  </si>
  <si>
    <t>5300001080</t>
  </si>
  <si>
    <t>9110001272</t>
  </si>
  <si>
    <t>14000126   STEEL AUTHORITY OF INDIA</t>
  </si>
  <si>
    <t>14000126   STEEL AUTHORITY OF INDIA LIMITED</t>
  </si>
  <si>
    <t>5300001142</t>
  </si>
  <si>
    <t>5300001143</t>
  </si>
  <si>
    <t>9110001481</t>
  </si>
  <si>
    <t>14000139   ESL STEEL LIMITED</t>
  </si>
  <si>
    <t>5300001258</t>
  </si>
  <si>
    <t>5300001259</t>
  </si>
  <si>
    <t>5300001260</t>
  </si>
  <si>
    <t>5300001261</t>
  </si>
  <si>
    <t>9110001613</t>
  </si>
  <si>
    <t>9110001698</t>
  </si>
  <si>
    <t>5300001262</t>
  </si>
  <si>
    <t>9110001859</t>
  </si>
  <si>
    <t>9110001673</t>
  </si>
  <si>
    <t>14000144   JAINSONS LIGHTS CO</t>
  </si>
  <si>
    <t>130000508</t>
  </si>
  <si>
    <t>F-50 Dual wall Light</t>
  </si>
  <si>
    <t>5300001391</t>
  </si>
  <si>
    <t>130000360</t>
  </si>
  <si>
    <t>Mirror Light</t>
  </si>
  <si>
    <t>5300001392</t>
  </si>
  <si>
    <t>130000509</t>
  </si>
  <si>
    <t>LED Bulbs</t>
  </si>
  <si>
    <t>5300001393</t>
  </si>
  <si>
    <t>9110001731</t>
  </si>
  <si>
    <t>14000146    SAPCON STEELS PRIVATE L</t>
  </si>
  <si>
    <t>14000146    SAPCON STEELS PRIVATE LIMITED</t>
  </si>
  <si>
    <t>5300001443</t>
  </si>
  <si>
    <t>5300001444</t>
  </si>
  <si>
    <t>9110001860</t>
  </si>
  <si>
    <t>14000148   AIC IRON INDUSTRIES PRIV</t>
  </si>
  <si>
    <t>14000148   AIC IRON INDUSTRIES PRIVATE LIMITED</t>
  </si>
  <si>
    <t>5300001619</t>
  </si>
  <si>
    <t>5300001620</t>
  </si>
  <si>
    <t>9110001841</t>
  </si>
  <si>
    <t>14000156   CONVENIENT LIVING SOLUTI</t>
  </si>
  <si>
    <t>130000559</t>
  </si>
  <si>
    <t>Connected Switch - with Neutral - Wired</t>
  </si>
  <si>
    <t>14000156   CONVENIENT LIVING SOLUTIONS PRIVATE</t>
  </si>
  <si>
    <t>5300001570</t>
  </si>
  <si>
    <t>130000560</t>
  </si>
  <si>
    <t>Fan Controller</t>
  </si>
  <si>
    <t>5300001571</t>
  </si>
  <si>
    <t>Connected Switch</t>
  </si>
  <si>
    <t>120001544</t>
  </si>
  <si>
    <t>Contactor</t>
  </si>
  <si>
    <t>5300001572</t>
  </si>
  <si>
    <t>130000561</t>
  </si>
  <si>
    <t>Wireless Home Control</t>
  </si>
  <si>
    <t>5300001573</t>
  </si>
  <si>
    <t>Bell Push -6A - One Way - SP - 1 Module</t>
  </si>
  <si>
    <t>5300001574</t>
  </si>
  <si>
    <t>Socket 6 Amp 3pin</t>
  </si>
  <si>
    <t>5300001575</t>
  </si>
  <si>
    <t>5300001576</t>
  </si>
  <si>
    <t>120000417</t>
  </si>
  <si>
    <t>Socket Shuttered 6A/ 16A-3 Pin Combined</t>
  </si>
  <si>
    <t>5300001577</t>
  </si>
  <si>
    <t>120000427</t>
  </si>
  <si>
    <t>Telephone socket - RJ11-Jack - 1 Module</t>
  </si>
  <si>
    <t>5300001578</t>
  </si>
  <si>
    <t>120000403</t>
  </si>
  <si>
    <t>RJ 45 CAT6 Socket</t>
  </si>
  <si>
    <t>5300001579</t>
  </si>
  <si>
    <t>TV Socket Co-axial - 1 Module</t>
  </si>
  <si>
    <t>5300001580</t>
  </si>
  <si>
    <t>130000562</t>
  </si>
  <si>
    <t>Cover Plate</t>
  </si>
  <si>
    <t>5300001581</t>
  </si>
  <si>
    <t>500</t>
  </si>
  <si>
    <t>510</t>
  </si>
  <si>
    <t>520</t>
  </si>
  <si>
    <t>120000416</t>
  </si>
  <si>
    <t>Socket shuttered 6/16A 3 pin, 2 module</t>
  </si>
  <si>
    <t>5300001582</t>
  </si>
  <si>
    <t>530</t>
  </si>
  <si>
    <t>540</t>
  </si>
  <si>
    <t>550</t>
  </si>
  <si>
    <t>560</t>
  </si>
  <si>
    <t>570</t>
  </si>
  <si>
    <t>5300001583</t>
  </si>
  <si>
    <t>580</t>
  </si>
  <si>
    <t>590</t>
  </si>
  <si>
    <t>600</t>
  </si>
  <si>
    <t>610</t>
  </si>
  <si>
    <t>620</t>
  </si>
  <si>
    <t>630</t>
  </si>
  <si>
    <t>640</t>
  </si>
  <si>
    <t>650</t>
  </si>
  <si>
    <t>130000563</t>
  </si>
  <si>
    <t>10A Switch</t>
  </si>
  <si>
    <t>5300001584</t>
  </si>
  <si>
    <t>660</t>
  </si>
  <si>
    <t>670</t>
  </si>
  <si>
    <t>Socket</t>
  </si>
  <si>
    <t>5300001585</t>
  </si>
  <si>
    <t>680</t>
  </si>
  <si>
    <t>690</t>
  </si>
  <si>
    <t>700</t>
  </si>
  <si>
    <t>710</t>
  </si>
  <si>
    <t>720</t>
  </si>
  <si>
    <t>120000423</t>
  </si>
  <si>
    <t>Switch - 6A-One Way- SP- 1 Module</t>
  </si>
  <si>
    <t>5300001586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</si>
  <si>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</si>
  <si>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</si>
  <si>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</si>
  <si>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</si>
  <si>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</si>
  <si>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</si>
  <si>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</si>
  <si>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</si>
  <si>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</si>
  <si>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</si>
  <si>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</si>
  <si>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</si>
  <si>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</si>
  <si>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</si>
  <si>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</si>
  <si>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6/16A - Socket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</si>
  <si>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</si>
  <si>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</si>
  <si>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</si>
  <si>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</si>
  <si>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</si>
  <si>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</si>
  <si>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</si>
  <si>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</si>
  <si>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</si>
  <si>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</si>
  <si>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</si>
  <si>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</si>
  <si>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</si>
  <si>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</si>
  <si>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</si>
  <si>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</si>
  <si>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</si>
  <si>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</si>
  <si>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</si>
  <si>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</si>
  <si>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</si>
  <si>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</si>
  <si>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</si>
  <si>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</si>
  <si>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</si>
  <si>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</si>
  <si>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</si>
  <si>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</si>
  <si>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</si>
  <si>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</si>
  <si>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</si>
  <si>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</si>
  <si>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</si>
  <si>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</si>
  <si>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</si>
  <si>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</si>
  <si>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</si>
  <si>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</si>
  <si>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</si>
  <si>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</si>
  <si>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</si>
  <si>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</si>
  <si>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</si>
  <si>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9110001658</t>
  </si>
  <si>
    <t>15000179   OZONE OVERSEAS LTD.</t>
  </si>
  <si>
    <t>Biometric  Lock</t>
  </si>
  <si>
    <t>5300001378</t>
  </si>
  <si>
    <t>5300001379</t>
  </si>
  <si>
    <t>9110001656</t>
  </si>
  <si>
    <t>15000274    DA MARINA CONCEPTS LLP</t>
  </si>
  <si>
    <t>120001464</t>
  </si>
  <si>
    <t>Supply of Bath Tub ( Jacuzzi)</t>
  </si>
  <si>
    <t>5702</t>
  </si>
  <si>
    <t>5300001377</t>
  </si>
  <si>
    <t>Purchasing Document</t>
  </si>
  <si>
    <t>Document Date</t>
  </si>
  <si>
    <t>Validity Per. Start</t>
  </si>
  <si>
    <t>Validity Period End</t>
  </si>
  <si>
    <t>Plant</t>
  </si>
  <si>
    <t>Purchasing Group</t>
  </si>
  <si>
    <t>Deletion indicator</t>
  </si>
  <si>
    <t>Purchasing Doc. Type</t>
  </si>
  <si>
    <t>Name of Supplier</t>
  </si>
  <si>
    <t>Purch. Doc. Category</t>
  </si>
  <si>
    <t>Item</t>
  </si>
  <si>
    <t>Material</t>
  </si>
  <si>
    <t>Short Text</t>
  </si>
  <si>
    <t>Acct Assignment Cat.</t>
  </si>
  <si>
    <t>Item Category</t>
  </si>
  <si>
    <t>Order Unit</t>
  </si>
  <si>
    <t>Order Quantity</t>
  </si>
  <si>
    <t>Net Price</t>
  </si>
  <si>
    <t>Price unit</t>
  </si>
  <si>
    <t>Net Order Value</t>
  </si>
  <si>
    <t>Still to be delivered (qty)</t>
  </si>
  <si>
    <t>Still to be delivered (value)</t>
  </si>
  <si>
    <t>Still to be invoiced (qty)</t>
  </si>
  <si>
    <t>Still to be invoiced (val.)</t>
  </si>
  <si>
    <t>PO history/release documentation</t>
  </si>
  <si>
    <t>Purch. organization</t>
  </si>
  <si>
    <t>Tax Code</t>
  </si>
  <si>
    <t>Release group</t>
  </si>
  <si>
    <t>Collective Number</t>
  </si>
  <si>
    <t>Release State</t>
  </si>
  <si>
    <t>Release indicator</t>
  </si>
  <si>
    <t>Release Strategy</t>
  </si>
  <si>
    <t>Item category</t>
  </si>
  <si>
    <t>Currency</t>
  </si>
  <si>
    <t>Material Group</t>
  </si>
  <si>
    <t>Supplier/Supplying Plant</t>
  </si>
  <si>
    <t>Component Consumption History</t>
  </si>
  <si>
    <t>Req. Tracking Number</t>
  </si>
  <si>
    <t>Storage location</t>
  </si>
  <si>
    <t>Quantity in SKU</t>
  </si>
  <si>
    <t>Stockkeeping unit</t>
  </si>
  <si>
    <t>Outline agreement</t>
  </si>
  <si>
    <t>Princ.agreement item</t>
  </si>
  <si>
    <t>Targ.Val. (Hdr)</t>
  </si>
  <si>
    <t>Total open value</t>
  </si>
  <si>
    <t>Open value</t>
  </si>
  <si>
    <t>Released value</t>
  </si>
  <si>
    <t>Target Quantity</t>
  </si>
  <si>
    <t>Open Target Quantity</t>
  </si>
  <si>
    <t>Qty Released to Date</t>
  </si>
  <si>
    <t>Quotation Deadline</t>
  </si>
  <si>
    <t>RFQ status</t>
  </si>
  <si>
    <t>No. of Positions</t>
  </si>
  <si>
    <t>Control indicator</t>
  </si>
  <si>
    <t>Purchasing info rec.</t>
  </si>
  <si>
    <t>Package number</t>
  </si>
  <si>
    <t>Issuing Storage Loc.</t>
  </si>
  <si>
    <t>Order Price Unit</t>
  </si>
  <si>
    <t>Tax Jurisdiction</t>
  </si>
  <si>
    <t>Incomplete</t>
  </si>
  <si>
    <t>Notified Quantity</t>
  </si>
  <si>
    <t>Stock Segment</t>
  </si>
  <si>
    <t>Requirement Segment</t>
  </si>
  <si>
    <t>Configurable Item Number</t>
  </si>
  <si>
    <t>External Sort Number</t>
  </si>
  <si>
    <t>Ext.Hierarchy Category</t>
  </si>
  <si>
    <t>Requirement Urgency</t>
  </si>
  <si>
    <t>Reqmt Priority</t>
  </si>
  <si>
    <t>Smart Number</t>
  </si>
  <si>
    <t>PSST Grouping Rule</t>
  </si>
  <si>
    <t>PSST Group</t>
  </si>
  <si>
    <t>Characteristic Value 1</t>
  </si>
  <si>
    <t>Characteristic Description 1</t>
  </si>
  <si>
    <t>Characteristic Value 2</t>
  </si>
  <si>
    <t>Characteristic Description 2</t>
  </si>
  <si>
    <t>Characteristic Value 3</t>
  </si>
  <si>
    <t>Characteristic Description 3</t>
  </si>
  <si>
    <t>actual value</t>
  </si>
  <si>
    <t>tax code %age</t>
  </si>
  <si>
    <t>total actual value with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</si>
</sst>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</xdr:row>
      <xdr:rowOff>0</xdr:rowOff>
    </xdr:from>
    <xdr:to>
      <xdr:col>25</xdr:col>
      <xdr:colOff>152400</xdr:colOff>
      <xdr:row>1</xdr:row>
      <xdr:rowOff>133350</xdr:rowOff>
    </xdr:to>
    <xdr:pic>
      <xdr:nvPicPr>
        <xdr:cNvPr id="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</xdr:row>
      <xdr:rowOff>0</xdr:rowOff>
    </xdr:from>
    <xdr:to>
      <xdr:col>25</xdr:col>
      <xdr:colOff>152400</xdr:colOff>
      <xdr:row>2</xdr:row>
      <xdr:rowOff>133350</xdr:rowOff>
    </xdr:to>
    <xdr:pic>
      <xdr:nvPicPr>
        <xdr:cNvPr id="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</xdr:row>
      <xdr:rowOff>0</xdr:rowOff>
    </xdr:from>
    <xdr:to>
      <xdr:col>25</xdr:col>
      <xdr:colOff>152400</xdr:colOff>
      <xdr:row>3</xdr:row>
      <xdr:rowOff>133350</xdr:rowOff>
    </xdr:to>
    <xdr:pic>
      <xdr:nvPicPr>
        <xdr:cNvPr id="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25</xdr:col>
      <xdr:colOff>152400</xdr:colOff>
      <xdr:row>4</xdr:row>
      <xdr:rowOff>133350</xdr:rowOff>
    </xdr:to>
    <xdr:pic>
      <xdr:nvPicPr>
        <xdr:cNvPr id="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</xdr:row>
      <xdr:rowOff>0</xdr:rowOff>
    </xdr:from>
    <xdr:to>
      <xdr:col>25</xdr:col>
      <xdr:colOff>152400</xdr:colOff>
      <xdr:row>8</xdr:row>
      <xdr:rowOff>133350</xdr:rowOff>
    </xdr:to>
    <xdr:pic>
      <xdr:nvPicPr>
        <xdr:cNvPr id="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</xdr:row>
      <xdr:rowOff>0</xdr:rowOff>
    </xdr:from>
    <xdr:to>
      <xdr:col>25</xdr:col>
      <xdr:colOff>152400</xdr:colOff>
      <xdr:row>9</xdr:row>
      <xdr:rowOff>133350</xdr:rowOff>
    </xdr:to>
    <xdr:pic>
      <xdr:nvPicPr>
        <xdr:cNvPr id="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</xdr:row>
      <xdr:rowOff>0</xdr:rowOff>
    </xdr:from>
    <xdr:to>
      <xdr:col>25</xdr:col>
      <xdr:colOff>152400</xdr:colOff>
      <xdr:row>10</xdr:row>
      <xdr:rowOff>133350</xdr:rowOff>
    </xdr:to>
    <xdr:pic>
      <xdr:nvPicPr>
        <xdr:cNvPr id="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11</xdr:row>
      <xdr:rowOff>0</xdr:rowOff>
    </xdr:from>
    <xdr:to>
      <xdr:col>25</xdr:col>
      <xdr:colOff>152400</xdr:colOff>
      <xdr:row>11</xdr:row>
      <xdr:rowOff>133350</xdr:rowOff>
    </xdr:to>
    <xdr:pic>
      <xdr:nvPicPr>
        <xdr:cNvPr id="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12</xdr:row>
      <xdr:rowOff>0</xdr:rowOff>
    </xdr:from>
    <xdr:to>
      <xdr:col>25</xdr:col>
      <xdr:colOff>152400</xdr:colOff>
      <xdr:row>12</xdr:row>
      <xdr:rowOff>133350</xdr:rowOff>
    </xdr:to>
    <xdr:pic>
      <xdr:nvPicPr>
        <xdr:cNvPr id="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152400</xdr:colOff>
      <xdr:row>13</xdr:row>
      <xdr:rowOff>133350</xdr:rowOff>
    </xdr:to>
    <xdr:pic>
      <xdr:nvPicPr>
        <xdr:cNvPr id="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</xdr:row>
      <xdr:rowOff>0</xdr:rowOff>
    </xdr:from>
    <xdr:to>
      <xdr:col>25</xdr:col>
      <xdr:colOff>152400</xdr:colOff>
      <xdr:row>14</xdr:row>
      <xdr:rowOff>133350</xdr:rowOff>
    </xdr:to>
    <xdr:pic>
      <xdr:nvPicPr>
        <xdr:cNvPr id="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152400</xdr:colOff>
      <xdr:row>18</xdr:row>
      <xdr:rowOff>133350</xdr:rowOff>
    </xdr:to>
    <xdr:pic>
      <xdr:nvPicPr>
        <xdr:cNvPr id="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152400</xdr:colOff>
      <xdr:row>19</xdr:row>
      <xdr:rowOff>133350</xdr:rowOff>
    </xdr:to>
    <xdr:pic>
      <xdr:nvPicPr>
        <xdr:cNvPr id="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</xdr:row>
      <xdr:rowOff>0</xdr:rowOff>
    </xdr:from>
    <xdr:to>
      <xdr:col>25</xdr:col>
      <xdr:colOff>152400</xdr:colOff>
      <xdr:row>20</xdr:row>
      <xdr:rowOff>133350</xdr:rowOff>
    </xdr:to>
    <xdr:pic>
      <xdr:nvPicPr>
        <xdr:cNvPr id="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</xdr:row>
      <xdr:rowOff>0</xdr:rowOff>
    </xdr:from>
    <xdr:to>
      <xdr:col>25</xdr:col>
      <xdr:colOff>152400</xdr:colOff>
      <xdr:row>21</xdr:row>
      <xdr:rowOff>133350</xdr:rowOff>
    </xdr:to>
    <xdr:pic>
      <xdr:nvPicPr>
        <xdr:cNvPr id="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</xdr:row>
      <xdr:rowOff>0</xdr:rowOff>
    </xdr:from>
    <xdr:to>
      <xdr:col>25</xdr:col>
      <xdr:colOff>152400</xdr:colOff>
      <xdr:row>22</xdr:row>
      <xdr:rowOff>133350</xdr:rowOff>
    </xdr:to>
    <xdr:pic>
      <xdr:nvPicPr>
        <xdr:cNvPr id="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23</xdr:row>
      <xdr:rowOff>0</xdr:rowOff>
    </xdr:from>
    <xdr:to>
      <xdr:col>25</xdr:col>
      <xdr:colOff>152400</xdr:colOff>
      <xdr:row>23</xdr:row>
      <xdr:rowOff>133350</xdr:rowOff>
    </xdr:to>
    <xdr:pic>
      <xdr:nvPicPr>
        <xdr:cNvPr id="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</xdr:row>
      <xdr:rowOff>0</xdr:rowOff>
    </xdr:from>
    <xdr:to>
      <xdr:col>25</xdr:col>
      <xdr:colOff>152400</xdr:colOff>
      <xdr:row>24</xdr:row>
      <xdr:rowOff>133350</xdr:rowOff>
    </xdr:to>
    <xdr:pic>
      <xdr:nvPicPr>
        <xdr:cNvPr id="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</xdr:row>
      <xdr:rowOff>0</xdr:rowOff>
    </xdr:from>
    <xdr:to>
      <xdr:col>25</xdr:col>
      <xdr:colOff>152400</xdr:colOff>
      <xdr:row>25</xdr:row>
      <xdr:rowOff>133350</xdr:rowOff>
    </xdr:to>
    <xdr:pic>
      <xdr:nvPicPr>
        <xdr:cNvPr id="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</xdr:row>
      <xdr:rowOff>0</xdr:rowOff>
    </xdr:from>
    <xdr:to>
      <xdr:col>25</xdr:col>
      <xdr:colOff>152400</xdr:colOff>
      <xdr:row>26</xdr:row>
      <xdr:rowOff>133350</xdr:rowOff>
    </xdr:to>
    <xdr:pic>
      <xdr:nvPicPr>
        <xdr:cNvPr id="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</xdr:row>
      <xdr:rowOff>0</xdr:rowOff>
    </xdr:from>
    <xdr:to>
      <xdr:col>25</xdr:col>
      <xdr:colOff>152400</xdr:colOff>
      <xdr:row>27</xdr:row>
      <xdr:rowOff>133350</xdr:rowOff>
    </xdr:to>
    <xdr:pic>
      <xdr:nvPicPr>
        <xdr:cNvPr id="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</xdr:row>
      <xdr:rowOff>0</xdr:rowOff>
    </xdr:from>
    <xdr:to>
      <xdr:col>25</xdr:col>
      <xdr:colOff>152400</xdr:colOff>
      <xdr:row>28</xdr:row>
      <xdr:rowOff>133350</xdr:rowOff>
    </xdr:to>
    <xdr:pic>
      <xdr:nvPicPr>
        <xdr:cNvPr id="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</xdr:row>
      <xdr:rowOff>0</xdr:rowOff>
    </xdr:from>
    <xdr:to>
      <xdr:col>25</xdr:col>
      <xdr:colOff>152400</xdr:colOff>
      <xdr:row>29</xdr:row>
      <xdr:rowOff>133350</xdr:rowOff>
    </xdr:to>
    <xdr:pic>
      <xdr:nvPicPr>
        <xdr:cNvPr id="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152400</xdr:colOff>
      <xdr:row>30</xdr:row>
      <xdr:rowOff>133350</xdr:rowOff>
    </xdr:to>
    <xdr:pic>
      <xdr:nvPicPr>
        <xdr:cNvPr id="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</xdr:row>
      <xdr:rowOff>0</xdr:rowOff>
    </xdr:from>
    <xdr:to>
      <xdr:col>25</xdr:col>
      <xdr:colOff>152400</xdr:colOff>
      <xdr:row>31</xdr:row>
      <xdr:rowOff>133350</xdr:rowOff>
    </xdr:to>
    <xdr:pic>
      <xdr:nvPicPr>
        <xdr:cNvPr id="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</xdr:row>
      <xdr:rowOff>0</xdr:rowOff>
    </xdr:from>
    <xdr:to>
      <xdr:col>25</xdr:col>
      <xdr:colOff>152400</xdr:colOff>
      <xdr:row>32</xdr:row>
      <xdr:rowOff>133350</xdr:rowOff>
    </xdr:to>
    <xdr:pic>
      <xdr:nvPicPr>
        <xdr:cNvPr id="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</xdr:row>
      <xdr:rowOff>0</xdr:rowOff>
    </xdr:from>
    <xdr:to>
      <xdr:col>25</xdr:col>
      <xdr:colOff>152400</xdr:colOff>
      <xdr:row>33</xdr:row>
      <xdr:rowOff>133350</xdr:rowOff>
    </xdr:to>
    <xdr:pic>
      <xdr:nvPicPr>
        <xdr:cNvPr id="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</xdr:row>
      <xdr:rowOff>0</xdr:rowOff>
    </xdr:from>
    <xdr:to>
      <xdr:col>25</xdr:col>
      <xdr:colOff>152400</xdr:colOff>
      <xdr:row>34</xdr:row>
      <xdr:rowOff>133350</xdr:rowOff>
    </xdr:to>
    <xdr:pic>
      <xdr:nvPicPr>
        <xdr:cNvPr id="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</xdr:row>
      <xdr:rowOff>0</xdr:rowOff>
    </xdr:from>
    <xdr:to>
      <xdr:col>25</xdr:col>
      <xdr:colOff>152400</xdr:colOff>
      <xdr:row>35</xdr:row>
      <xdr:rowOff>133350</xdr:rowOff>
    </xdr:to>
    <xdr:pic>
      <xdr:nvPicPr>
        <xdr:cNvPr id="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</xdr:row>
      <xdr:rowOff>0</xdr:rowOff>
    </xdr:from>
    <xdr:to>
      <xdr:col>25</xdr:col>
      <xdr:colOff>152400</xdr:colOff>
      <xdr:row>36</xdr:row>
      <xdr:rowOff>133350</xdr:rowOff>
    </xdr:to>
    <xdr:pic>
      <xdr:nvPicPr>
        <xdr:cNvPr id="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37</xdr:row>
      <xdr:rowOff>0</xdr:rowOff>
    </xdr:from>
    <xdr:to>
      <xdr:col>25</xdr:col>
      <xdr:colOff>152400</xdr:colOff>
      <xdr:row>37</xdr:row>
      <xdr:rowOff>133350</xdr:rowOff>
    </xdr:to>
    <xdr:pic>
      <xdr:nvPicPr>
        <xdr:cNvPr id="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</xdr:row>
      <xdr:rowOff>0</xdr:rowOff>
    </xdr:from>
    <xdr:to>
      <xdr:col>25</xdr:col>
      <xdr:colOff>152400</xdr:colOff>
      <xdr:row>38</xdr:row>
      <xdr:rowOff>133350</xdr:rowOff>
    </xdr:to>
    <xdr:pic>
      <xdr:nvPicPr>
        <xdr:cNvPr id="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</xdr:row>
      <xdr:rowOff>0</xdr:rowOff>
    </xdr:from>
    <xdr:to>
      <xdr:col>25</xdr:col>
      <xdr:colOff>152400</xdr:colOff>
      <xdr:row>39</xdr:row>
      <xdr:rowOff>133350</xdr:rowOff>
    </xdr:to>
    <xdr:pic>
      <xdr:nvPicPr>
        <xdr:cNvPr id="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</xdr:row>
      <xdr:rowOff>0</xdr:rowOff>
    </xdr:from>
    <xdr:to>
      <xdr:col>25</xdr:col>
      <xdr:colOff>152400</xdr:colOff>
      <xdr:row>40</xdr:row>
      <xdr:rowOff>133350</xdr:rowOff>
    </xdr:to>
    <xdr:pic>
      <xdr:nvPicPr>
        <xdr:cNvPr id="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</xdr:row>
      <xdr:rowOff>0</xdr:rowOff>
    </xdr:from>
    <xdr:to>
      <xdr:col>25</xdr:col>
      <xdr:colOff>152400</xdr:colOff>
      <xdr:row>41</xdr:row>
      <xdr:rowOff>133350</xdr:rowOff>
    </xdr:to>
    <xdr:pic>
      <xdr:nvPicPr>
        <xdr:cNvPr id="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</xdr:row>
      <xdr:rowOff>0</xdr:rowOff>
    </xdr:from>
    <xdr:to>
      <xdr:col>25</xdr:col>
      <xdr:colOff>152400</xdr:colOff>
      <xdr:row>42</xdr:row>
      <xdr:rowOff>133350</xdr:rowOff>
    </xdr:to>
    <xdr:pic>
      <xdr:nvPicPr>
        <xdr:cNvPr id="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</xdr:row>
      <xdr:rowOff>0</xdr:rowOff>
    </xdr:from>
    <xdr:to>
      <xdr:col>25</xdr:col>
      <xdr:colOff>152400</xdr:colOff>
      <xdr:row>43</xdr:row>
      <xdr:rowOff>133350</xdr:rowOff>
    </xdr:to>
    <xdr:pic>
      <xdr:nvPicPr>
        <xdr:cNvPr id="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</xdr:row>
      <xdr:rowOff>0</xdr:rowOff>
    </xdr:from>
    <xdr:to>
      <xdr:col>25</xdr:col>
      <xdr:colOff>152400</xdr:colOff>
      <xdr:row>44</xdr:row>
      <xdr:rowOff>133350</xdr:rowOff>
    </xdr:to>
    <xdr:pic>
      <xdr:nvPicPr>
        <xdr:cNvPr id="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</xdr:row>
      <xdr:rowOff>0</xdr:rowOff>
    </xdr:from>
    <xdr:to>
      <xdr:col>25</xdr:col>
      <xdr:colOff>152400</xdr:colOff>
      <xdr:row>45</xdr:row>
      <xdr:rowOff>133350</xdr:rowOff>
    </xdr:to>
    <xdr:pic>
      <xdr:nvPicPr>
        <xdr:cNvPr id="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</xdr:row>
      <xdr:rowOff>0</xdr:rowOff>
    </xdr:from>
    <xdr:to>
      <xdr:col>25</xdr:col>
      <xdr:colOff>152400</xdr:colOff>
      <xdr:row>46</xdr:row>
      <xdr:rowOff>133350</xdr:rowOff>
    </xdr:to>
    <xdr:pic>
      <xdr:nvPicPr>
        <xdr:cNvPr id="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</xdr:row>
      <xdr:rowOff>0</xdr:rowOff>
    </xdr:from>
    <xdr:to>
      <xdr:col>25</xdr:col>
      <xdr:colOff>152400</xdr:colOff>
      <xdr:row>47</xdr:row>
      <xdr:rowOff>133350</xdr:rowOff>
    </xdr:to>
    <xdr:pic>
      <xdr:nvPicPr>
        <xdr:cNvPr id="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</xdr:row>
      <xdr:rowOff>0</xdr:rowOff>
    </xdr:from>
    <xdr:to>
      <xdr:col>25</xdr:col>
      <xdr:colOff>152400</xdr:colOff>
      <xdr:row>48</xdr:row>
      <xdr:rowOff>133350</xdr:rowOff>
    </xdr:to>
    <xdr:pic>
      <xdr:nvPicPr>
        <xdr:cNvPr id="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</xdr:row>
      <xdr:rowOff>0</xdr:rowOff>
    </xdr:from>
    <xdr:to>
      <xdr:col>25</xdr:col>
      <xdr:colOff>152400</xdr:colOff>
      <xdr:row>49</xdr:row>
      <xdr:rowOff>133350</xdr:rowOff>
    </xdr:to>
    <xdr:pic>
      <xdr:nvPicPr>
        <xdr:cNvPr id="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</xdr:row>
      <xdr:rowOff>0</xdr:rowOff>
    </xdr:from>
    <xdr:to>
      <xdr:col>25</xdr:col>
      <xdr:colOff>152400</xdr:colOff>
      <xdr:row>50</xdr:row>
      <xdr:rowOff>133350</xdr:rowOff>
    </xdr:to>
    <xdr:pic>
      <xdr:nvPicPr>
        <xdr:cNvPr id="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</xdr:row>
      <xdr:rowOff>0</xdr:rowOff>
    </xdr:from>
    <xdr:to>
      <xdr:col>25</xdr:col>
      <xdr:colOff>152400</xdr:colOff>
      <xdr:row>51</xdr:row>
      <xdr:rowOff>133350</xdr:rowOff>
    </xdr:to>
    <xdr:pic>
      <xdr:nvPicPr>
        <xdr:cNvPr id="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</xdr:row>
      <xdr:rowOff>0</xdr:rowOff>
    </xdr:from>
    <xdr:to>
      <xdr:col>25</xdr:col>
      <xdr:colOff>152400</xdr:colOff>
      <xdr:row>52</xdr:row>
      <xdr:rowOff>133350</xdr:rowOff>
    </xdr:to>
    <xdr:pic>
      <xdr:nvPicPr>
        <xdr:cNvPr id="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</xdr:row>
      <xdr:rowOff>0</xdr:rowOff>
    </xdr:from>
    <xdr:to>
      <xdr:col>25</xdr:col>
      <xdr:colOff>152400</xdr:colOff>
      <xdr:row>53</xdr:row>
      <xdr:rowOff>133350</xdr:rowOff>
    </xdr:to>
    <xdr:pic>
      <xdr:nvPicPr>
        <xdr:cNvPr id="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</xdr:row>
      <xdr:rowOff>0</xdr:rowOff>
    </xdr:from>
    <xdr:to>
      <xdr:col>25</xdr:col>
      <xdr:colOff>152400</xdr:colOff>
      <xdr:row>54</xdr:row>
      <xdr:rowOff>133350</xdr:rowOff>
    </xdr:to>
    <xdr:pic>
      <xdr:nvPicPr>
        <xdr:cNvPr id="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55</xdr:row>
      <xdr:rowOff>0</xdr:rowOff>
    </xdr:from>
    <xdr:to>
      <xdr:col>25</xdr:col>
      <xdr:colOff>152400</xdr:colOff>
      <xdr:row>55</xdr:row>
      <xdr:rowOff>133350</xdr:rowOff>
    </xdr:to>
    <xdr:pic>
      <xdr:nvPicPr>
        <xdr:cNvPr id="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56</xdr:row>
      <xdr:rowOff>0</xdr:rowOff>
    </xdr:from>
    <xdr:to>
      <xdr:col>25</xdr:col>
      <xdr:colOff>152400</xdr:colOff>
      <xdr:row>56</xdr:row>
      <xdr:rowOff>133350</xdr:rowOff>
    </xdr:to>
    <xdr:pic>
      <xdr:nvPicPr>
        <xdr:cNvPr id="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57</xdr:row>
      <xdr:rowOff>0</xdr:rowOff>
    </xdr:from>
    <xdr:to>
      <xdr:col>25</xdr:col>
      <xdr:colOff>152400</xdr:colOff>
      <xdr:row>57</xdr:row>
      <xdr:rowOff>133350</xdr:rowOff>
    </xdr:to>
    <xdr:pic>
      <xdr:nvPicPr>
        <xdr:cNvPr id="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58</xdr:row>
      <xdr:rowOff>0</xdr:rowOff>
    </xdr:from>
    <xdr:to>
      <xdr:col>25</xdr:col>
      <xdr:colOff>152400</xdr:colOff>
      <xdr:row>58</xdr:row>
      <xdr:rowOff>133350</xdr:rowOff>
    </xdr:to>
    <xdr:pic>
      <xdr:nvPicPr>
        <xdr:cNvPr id="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</xdr:row>
      <xdr:rowOff>0</xdr:rowOff>
    </xdr:from>
    <xdr:to>
      <xdr:col>25</xdr:col>
      <xdr:colOff>152400</xdr:colOff>
      <xdr:row>59</xdr:row>
      <xdr:rowOff>133350</xdr:rowOff>
    </xdr:to>
    <xdr:pic>
      <xdr:nvPicPr>
        <xdr:cNvPr id="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</xdr:row>
      <xdr:rowOff>0</xdr:rowOff>
    </xdr:from>
    <xdr:to>
      <xdr:col>25</xdr:col>
      <xdr:colOff>152400</xdr:colOff>
      <xdr:row>60</xdr:row>
      <xdr:rowOff>133350</xdr:rowOff>
    </xdr:to>
    <xdr:pic>
      <xdr:nvPicPr>
        <xdr:cNvPr id="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</xdr:row>
      <xdr:rowOff>0</xdr:rowOff>
    </xdr:from>
    <xdr:to>
      <xdr:col>25</xdr:col>
      <xdr:colOff>152400</xdr:colOff>
      <xdr:row>61</xdr:row>
      <xdr:rowOff>133350</xdr:rowOff>
    </xdr:to>
    <xdr:pic>
      <xdr:nvPicPr>
        <xdr:cNvPr id="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</xdr:row>
      <xdr:rowOff>0</xdr:rowOff>
    </xdr:from>
    <xdr:to>
      <xdr:col>25</xdr:col>
      <xdr:colOff>152400</xdr:colOff>
      <xdr:row>62</xdr:row>
      <xdr:rowOff>133350</xdr:rowOff>
    </xdr:to>
    <xdr:pic>
      <xdr:nvPicPr>
        <xdr:cNvPr id="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</xdr:row>
      <xdr:rowOff>0</xdr:rowOff>
    </xdr:from>
    <xdr:to>
      <xdr:col>25</xdr:col>
      <xdr:colOff>152400</xdr:colOff>
      <xdr:row>63</xdr:row>
      <xdr:rowOff>133350</xdr:rowOff>
    </xdr:to>
    <xdr:pic>
      <xdr:nvPicPr>
        <xdr:cNvPr id="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</xdr:row>
      <xdr:rowOff>0</xdr:rowOff>
    </xdr:from>
    <xdr:to>
      <xdr:col>25</xdr:col>
      <xdr:colOff>152400</xdr:colOff>
      <xdr:row>64</xdr:row>
      <xdr:rowOff>133350</xdr:rowOff>
    </xdr:to>
    <xdr:pic>
      <xdr:nvPicPr>
        <xdr:cNvPr id="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</xdr:row>
      <xdr:rowOff>0</xdr:rowOff>
    </xdr:from>
    <xdr:to>
      <xdr:col>25</xdr:col>
      <xdr:colOff>152400</xdr:colOff>
      <xdr:row>65</xdr:row>
      <xdr:rowOff>133350</xdr:rowOff>
    </xdr:to>
    <xdr:pic>
      <xdr:nvPicPr>
        <xdr:cNvPr id="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</xdr:row>
      <xdr:rowOff>0</xdr:rowOff>
    </xdr:from>
    <xdr:to>
      <xdr:col>25</xdr:col>
      <xdr:colOff>152400</xdr:colOff>
      <xdr:row>66</xdr:row>
      <xdr:rowOff>133350</xdr:rowOff>
    </xdr:to>
    <xdr:pic>
      <xdr:nvPicPr>
        <xdr:cNvPr id="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</xdr:row>
      <xdr:rowOff>0</xdr:rowOff>
    </xdr:from>
    <xdr:to>
      <xdr:col>25</xdr:col>
      <xdr:colOff>152400</xdr:colOff>
      <xdr:row>67</xdr:row>
      <xdr:rowOff>133350</xdr:rowOff>
    </xdr:to>
    <xdr:pic>
      <xdr:nvPicPr>
        <xdr:cNvPr id="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</xdr:row>
      <xdr:rowOff>0</xdr:rowOff>
    </xdr:from>
    <xdr:to>
      <xdr:col>25</xdr:col>
      <xdr:colOff>152400</xdr:colOff>
      <xdr:row>68</xdr:row>
      <xdr:rowOff>133350</xdr:rowOff>
    </xdr:to>
    <xdr:pic>
      <xdr:nvPicPr>
        <xdr:cNvPr id="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152400</xdr:colOff>
      <xdr:row>69</xdr:row>
      <xdr:rowOff>133350</xdr:rowOff>
    </xdr:to>
    <xdr:pic>
      <xdr:nvPicPr>
        <xdr:cNvPr id="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</xdr:row>
      <xdr:rowOff>0</xdr:rowOff>
    </xdr:from>
    <xdr:to>
      <xdr:col>25</xdr:col>
      <xdr:colOff>152400</xdr:colOff>
      <xdr:row>72</xdr:row>
      <xdr:rowOff>133350</xdr:rowOff>
    </xdr:to>
    <xdr:pic>
      <xdr:nvPicPr>
        <xdr:cNvPr id="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</xdr:row>
      <xdr:rowOff>0</xdr:rowOff>
    </xdr:from>
    <xdr:to>
      <xdr:col>25</xdr:col>
      <xdr:colOff>152400</xdr:colOff>
      <xdr:row>74</xdr:row>
      <xdr:rowOff>133350</xdr:rowOff>
    </xdr:to>
    <xdr:pic>
      <xdr:nvPicPr>
        <xdr:cNvPr id="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</xdr:row>
      <xdr:rowOff>0</xdr:rowOff>
    </xdr:from>
    <xdr:to>
      <xdr:col>25</xdr:col>
      <xdr:colOff>152400</xdr:colOff>
      <xdr:row>75</xdr:row>
      <xdr:rowOff>133350</xdr:rowOff>
    </xdr:to>
    <xdr:pic>
      <xdr:nvPicPr>
        <xdr:cNvPr id="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</xdr:row>
      <xdr:rowOff>0</xdr:rowOff>
    </xdr:from>
    <xdr:to>
      <xdr:col>25</xdr:col>
      <xdr:colOff>152400</xdr:colOff>
      <xdr:row>76</xdr:row>
      <xdr:rowOff>133350</xdr:rowOff>
    </xdr:to>
    <xdr:pic>
      <xdr:nvPicPr>
        <xdr:cNvPr id="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</xdr:row>
      <xdr:rowOff>0</xdr:rowOff>
    </xdr:from>
    <xdr:to>
      <xdr:col>25</xdr:col>
      <xdr:colOff>152400</xdr:colOff>
      <xdr:row>77</xdr:row>
      <xdr:rowOff>133350</xdr:rowOff>
    </xdr:to>
    <xdr:pic>
      <xdr:nvPicPr>
        <xdr:cNvPr id="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</xdr:row>
      <xdr:rowOff>0</xdr:rowOff>
    </xdr:from>
    <xdr:to>
      <xdr:col>25</xdr:col>
      <xdr:colOff>152400</xdr:colOff>
      <xdr:row>80</xdr:row>
      <xdr:rowOff>133350</xdr:rowOff>
    </xdr:to>
    <xdr:pic>
      <xdr:nvPicPr>
        <xdr:cNvPr id="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</xdr:row>
      <xdr:rowOff>0</xdr:rowOff>
    </xdr:from>
    <xdr:to>
      <xdr:col>25</xdr:col>
      <xdr:colOff>152400</xdr:colOff>
      <xdr:row>81</xdr:row>
      <xdr:rowOff>133350</xdr:rowOff>
    </xdr:to>
    <xdr:pic>
      <xdr:nvPicPr>
        <xdr:cNvPr id="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133</xdr:row>
      <xdr:rowOff>0</xdr:rowOff>
    </xdr:from>
    <xdr:to>
      <xdr:col>25</xdr:col>
      <xdr:colOff>152400</xdr:colOff>
      <xdr:row>133</xdr:row>
      <xdr:rowOff>133350</xdr:rowOff>
    </xdr:to>
    <xdr:pic>
      <xdr:nvPicPr>
        <xdr:cNvPr id="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134</xdr:row>
      <xdr:rowOff>0</xdr:rowOff>
    </xdr:from>
    <xdr:to>
      <xdr:col>25</xdr:col>
      <xdr:colOff>152400</xdr:colOff>
      <xdr:row>134</xdr:row>
      <xdr:rowOff>133350</xdr:rowOff>
    </xdr:to>
    <xdr:pic>
      <xdr:nvPicPr>
        <xdr:cNvPr id="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137</xdr:row>
      <xdr:rowOff>0</xdr:rowOff>
    </xdr:from>
    <xdr:to>
      <xdr:col>25</xdr:col>
      <xdr:colOff>152400</xdr:colOff>
      <xdr:row>137</xdr:row>
      <xdr:rowOff>133350</xdr:rowOff>
    </xdr:to>
    <xdr:pic>
      <xdr:nvPicPr>
        <xdr:cNvPr id="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138</xdr:row>
      <xdr:rowOff>0</xdr:rowOff>
    </xdr:from>
    <xdr:to>
      <xdr:col>25</xdr:col>
      <xdr:colOff>152400</xdr:colOff>
      <xdr:row>138</xdr:row>
      <xdr:rowOff>133350</xdr:rowOff>
    </xdr:to>
    <xdr:pic>
      <xdr:nvPicPr>
        <xdr:cNvPr id="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139</xdr:row>
      <xdr:rowOff>0</xdr:rowOff>
    </xdr:from>
    <xdr:to>
      <xdr:col>25</xdr:col>
      <xdr:colOff>152400</xdr:colOff>
      <xdr:row>139</xdr:row>
      <xdr:rowOff>133350</xdr:rowOff>
    </xdr:to>
    <xdr:pic>
      <xdr:nvPicPr>
        <xdr:cNvPr id="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140</xdr:row>
      <xdr:rowOff>0</xdr:rowOff>
    </xdr:from>
    <xdr:to>
      <xdr:col>25</xdr:col>
      <xdr:colOff>152400</xdr:colOff>
      <xdr:row>140</xdr:row>
      <xdr:rowOff>133350</xdr:rowOff>
    </xdr:to>
    <xdr:pic>
      <xdr:nvPicPr>
        <xdr:cNvPr id="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141</xdr:row>
      <xdr:rowOff>0</xdr:rowOff>
    </xdr:from>
    <xdr:to>
      <xdr:col>25</xdr:col>
      <xdr:colOff>152400</xdr:colOff>
      <xdr:row>141</xdr:row>
      <xdr:rowOff>133350</xdr:rowOff>
    </xdr:to>
    <xdr:pic>
      <xdr:nvPicPr>
        <xdr:cNvPr id="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142</xdr:row>
      <xdr:rowOff>0</xdr:rowOff>
    </xdr:from>
    <xdr:to>
      <xdr:col>25</xdr:col>
      <xdr:colOff>152400</xdr:colOff>
      <xdr:row>142</xdr:row>
      <xdr:rowOff>133350</xdr:rowOff>
    </xdr:to>
    <xdr:pic>
      <xdr:nvPicPr>
        <xdr:cNvPr id="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144</xdr:row>
      <xdr:rowOff>0</xdr:rowOff>
    </xdr:from>
    <xdr:to>
      <xdr:col>25</xdr:col>
      <xdr:colOff>152400</xdr:colOff>
      <xdr:row>144</xdr:row>
      <xdr:rowOff>133350</xdr:rowOff>
    </xdr:to>
    <xdr:pic>
      <xdr:nvPicPr>
        <xdr:cNvPr id="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145</xdr:row>
      <xdr:rowOff>0</xdr:rowOff>
    </xdr:from>
    <xdr:to>
      <xdr:col>25</xdr:col>
      <xdr:colOff>152400</xdr:colOff>
      <xdr:row>145</xdr:row>
      <xdr:rowOff>133350</xdr:rowOff>
    </xdr:to>
    <xdr:pic>
      <xdr:nvPicPr>
        <xdr:cNvPr id="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146</xdr:row>
      <xdr:rowOff>0</xdr:rowOff>
    </xdr:from>
    <xdr:to>
      <xdr:col>25</xdr:col>
      <xdr:colOff>152400</xdr:colOff>
      <xdr:row>146</xdr:row>
      <xdr:rowOff>133350</xdr:rowOff>
    </xdr:to>
    <xdr:pic>
      <xdr:nvPicPr>
        <xdr:cNvPr id="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147</xdr:row>
      <xdr:rowOff>0</xdr:rowOff>
    </xdr:from>
    <xdr:to>
      <xdr:col>25</xdr:col>
      <xdr:colOff>152400</xdr:colOff>
      <xdr:row>147</xdr:row>
      <xdr:rowOff>133350</xdr:rowOff>
    </xdr:to>
    <xdr:pic>
      <xdr:nvPicPr>
        <xdr:cNvPr id="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148</xdr:row>
      <xdr:rowOff>0</xdr:rowOff>
    </xdr:from>
    <xdr:to>
      <xdr:col>25</xdr:col>
      <xdr:colOff>152400</xdr:colOff>
      <xdr:row>148</xdr:row>
      <xdr:rowOff>133350</xdr:rowOff>
    </xdr:to>
    <xdr:pic>
      <xdr:nvPicPr>
        <xdr:cNvPr id="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149</xdr:row>
      <xdr:rowOff>0</xdr:rowOff>
    </xdr:from>
    <xdr:to>
      <xdr:col>25</xdr:col>
      <xdr:colOff>152400</xdr:colOff>
      <xdr:row>149</xdr:row>
      <xdr:rowOff>133350</xdr:rowOff>
    </xdr:to>
    <xdr:pic>
      <xdr:nvPicPr>
        <xdr:cNvPr id="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150</xdr:row>
      <xdr:rowOff>0</xdr:rowOff>
    </xdr:from>
    <xdr:to>
      <xdr:col>25</xdr:col>
      <xdr:colOff>152400</xdr:colOff>
      <xdr:row>150</xdr:row>
      <xdr:rowOff>133350</xdr:rowOff>
    </xdr:to>
    <xdr:pic>
      <xdr:nvPicPr>
        <xdr:cNvPr id="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151</xdr:row>
      <xdr:rowOff>0</xdr:rowOff>
    </xdr:from>
    <xdr:to>
      <xdr:col>25</xdr:col>
      <xdr:colOff>152400</xdr:colOff>
      <xdr:row>151</xdr:row>
      <xdr:rowOff>133350</xdr:rowOff>
    </xdr:to>
    <xdr:pic>
      <xdr:nvPicPr>
        <xdr:cNvPr id="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152</xdr:row>
      <xdr:rowOff>0</xdr:rowOff>
    </xdr:from>
    <xdr:to>
      <xdr:col>25</xdr:col>
      <xdr:colOff>152400</xdr:colOff>
      <xdr:row>152</xdr:row>
      <xdr:rowOff>133350</xdr:rowOff>
    </xdr:to>
    <xdr:pic>
      <xdr:nvPicPr>
        <xdr:cNvPr id="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153</xdr:row>
      <xdr:rowOff>0</xdr:rowOff>
    </xdr:from>
    <xdr:to>
      <xdr:col>25</xdr:col>
      <xdr:colOff>152400</xdr:colOff>
      <xdr:row>153</xdr:row>
      <xdr:rowOff>133350</xdr:rowOff>
    </xdr:to>
    <xdr:pic>
      <xdr:nvPicPr>
        <xdr:cNvPr id="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155</xdr:row>
      <xdr:rowOff>0</xdr:rowOff>
    </xdr:from>
    <xdr:to>
      <xdr:col>25</xdr:col>
      <xdr:colOff>152400</xdr:colOff>
      <xdr:row>155</xdr:row>
      <xdr:rowOff>133350</xdr:rowOff>
    </xdr:to>
    <xdr:pic>
      <xdr:nvPicPr>
        <xdr:cNvPr id="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156</xdr:row>
      <xdr:rowOff>0</xdr:rowOff>
    </xdr:from>
    <xdr:to>
      <xdr:col>25</xdr:col>
      <xdr:colOff>152400</xdr:colOff>
      <xdr:row>156</xdr:row>
      <xdr:rowOff>133350</xdr:rowOff>
    </xdr:to>
    <xdr:pic>
      <xdr:nvPicPr>
        <xdr:cNvPr id="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157</xdr:row>
      <xdr:rowOff>0</xdr:rowOff>
    </xdr:from>
    <xdr:to>
      <xdr:col>25</xdr:col>
      <xdr:colOff>152400</xdr:colOff>
      <xdr:row>157</xdr:row>
      <xdr:rowOff>133350</xdr:rowOff>
    </xdr:to>
    <xdr:pic>
      <xdr:nvPicPr>
        <xdr:cNvPr id="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158</xdr:row>
      <xdr:rowOff>0</xdr:rowOff>
    </xdr:from>
    <xdr:to>
      <xdr:col>25</xdr:col>
      <xdr:colOff>152400</xdr:colOff>
      <xdr:row>158</xdr:row>
      <xdr:rowOff>133350</xdr:rowOff>
    </xdr:to>
    <xdr:pic>
      <xdr:nvPicPr>
        <xdr:cNvPr id="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159</xdr:row>
      <xdr:rowOff>0</xdr:rowOff>
    </xdr:from>
    <xdr:to>
      <xdr:col>25</xdr:col>
      <xdr:colOff>152400</xdr:colOff>
      <xdr:row>159</xdr:row>
      <xdr:rowOff>133350</xdr:rowOff>
    </xdr:to>
    <xdr:pic>
      <xdr:nvPicPr>
        <xdr:cNvPr id="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160</xdr:row>
      <xdr:rowOff>0</xdr:rowOff>
    </xdr:from>
    <xdr:to>
      <xdr:col>25</xdr:col>
      <xdr:colOff>152400</xdr:colOff>
      <xdr:row>160</xdr:row>
      <xdr:rowOff>133350</xdr:rowOff>
    </xdr:to>
    <xdr:pic>
      <xdr:nvPicPr>
        <xdr:cNvPr id="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161</xdr:row>
      <xdr:rowOff>0</xdr:rowOff>
    </xdr:from>
    <xdr:to>
      <xdr:col>25</xdr:col>
      <xdr:colOff>152400</xdr:colOff>
      <xdr:row>161</xdr:row>
      <xdr:rowOff>133350</xdr:rowOff>
    </xdr:to>
    <xdr:pic>
      <xdr:nvPicPr>
        <xdr:cNvPr id="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162</xdr:row>
      <xdr:rowOff>0</xdr:rowOff>
    </xdr:from>
    <xdr:to>
      <xdr:col>25</xdr:col>
      <xdr:colOff>152400</xdr:colOff>
      <xdr:row>162</xdr:row>
      <xdr:rowOff>133350</xdr:rowOff>
    </xdr:to>
    <xdr:pic>
      <xdr:nvPicPr>
        <xdr:cNvPr id="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163</xdr:row>
      <xdr:rowOff>0</xdr:rowOff>
    </xdr:from>
    <xdr:to>
      <xdr:col>25</xdr:col>
      <xdr:colOff>152400</xdr:colOff>
      <xdr:row>163</xdr:row>
      <xdr:rowOff>133350</xdr:rowOff>
    </xdr:to>
    <xdr:pic>
      <xdr:nvPicPr>
        <xdr:cNvPr id="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164</xdr:row>
      <xdr:rowOff>0</xdr:rowOff>
    </xdr:from>
    <xdr:to>
      <xdr:col>25</xdr:col>
      <xdr:colOff>152400</xdr:colOff>
      <xdr:row>164</xdr:row>
      <xdr:rowOff>133350</xdr:rowOff>
    </xdr:to>
    <xdr:pic>
      <xdr:nvPicPr>
        <xdr:cNvPr id="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165</xdr:row>
      <xdr:rowOff>0</xdr:rowOff>
    </xdr:from>
    <xdr:to>
      <xdr:col>25</xdr:col>
      <xdr:colOff>152400</xdr:colOff>
      <xdr:row>165</xdr:row>
      <xdr:rowOff>133350</xdr:rowOff>
    </xdr:to>
    <xdr:pic>
      <xdr:nvPicPr>
        <xdr:cNvPr id="1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166</xdr:row>
      <xdr:rowOff>0</xdr:rowOff>
    </xdr:from>
    <xdr:to>
      <xdr:col>25</xdr:col>
      <xdr:colOff>152400</xdr:colOff>
      <xdr:row>166</xdr:row>
      <xdr:rowOff>133350</xdr:rowOff>
    </xdr:to>
    <xdr:pic>
      <xdr:nvPicPr>
        <xdr:cNvPr id="1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167</xdr:row>
      <xdr:rowOff>0</xdr:rowOff>
    </xdr:from>
    <xdr:to>
      <xdr:col>25</xdr:col>
      <xdr:colOff>152400</xdr:colOff>
      <xdr:row>167</xdr:row>
      <xdr:rowOff>133350</xdr:rowOff>
    </xdr:to>
    <xdr:pic>
      <xdr:nvPicPr>
        <xdr:cNvPr id="1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168</xdr:row>
      <xdr:rowOff>0</xdr:rowOff>
    </xdr:from>
    <xdr:to>
      <xdr:col>25</xdr:col>
      <xdr:colOff>152400</xdr:colOff>
      <xdr:row>168</xdr:row>
      <xdr:rowOff>133350</xdr:rowOff>
    </xdr:to>
    <xdr:pic>
      <xdr:nvPicPr>
        <xdr:cNvPr id="1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169</xdr:row>
      <xdr:rowOff>0</xdr:rowOff>
    </xdr:from>
    <xdr:to>
      <xdr:col>25</xdr:col>
      <xdr:colOff>152400</xdr:colOff>
      <xdr:row>169</xdr:row>
      <xdr:rowOff>133350</xdr:rowOff>
    </xdr:to>
    <xdr:pic>
      <xdr:nvPicPr>
        <xdr:cNvPr id="1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170</xdr:row>
      <xdr:rowOff>0</xdr:rowOff>
    </xdr:from>
    <xdr:to>
      <xdr:col>25</xdr:col>
      <xdr:colOff>152400</xdr:colOff>
      <xdr:row>170</xdr:row>
      <xdr:rowOff>133350</xdr:rowOff>
    </xdr:to>
    <xdr:pic>
      <xdr:nvPicPr>
        <xdr:cNvPr id="1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171</xdr:row>
      <xdr:rowOff>0</xdr:rowOff>
    </xdr:from>
    <xdr:to>
      <xdr:col>25</xdr:col>
      <xdr:colOff>152400</xdr:colOff>
      <xdr:row>171</xdr:row>
      <xdr:rowOff>133350</xdr:rowOff>
    </xdr:to>
    <xdr:pic>
      <xdr:nvPicPr>
        <xdr:cNvPr id="1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172</xdr:row>
      <xdr:rowOff>0</xdr:rowOff>
    </xdr:from>
    <xdr:to>
      <xdr:col>25</xdr:col>
      <xdr:colOff>152400</xdr:colOff>
      <xdr:row>172</xdr:row>
      <xdr:rowOff>133350</xdr:rowOff>
    </xdr:to>
    <xdr:pic>
      <xdr:nvPicPr>
        <xdr:cNvPr id="1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173</xdr:row>
      <xdr:rowOff>0</xdr:rowOff>
    </xdr:from>
    <xdr:to>
      <xdr:col>25</xdr:col>
      <xdr:colOff>152400</xdr:colOff>
      <xdr:row>173</xdr:row>
      <xdr:rowOff>133350</xdr:rowOff>
    </xdr:to>
    <xdr:pic>
      <xdr:nvPicPr>
        <xdr:cNvPr id="1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174</xdr:row>
      <xdr:rowOff>0</xdr:rowOff>
    </xdr:from>
    <xdr:to>
      <xdr:col>25</xdr:col>
      <xdr:colOff>152400</xdr:colOff>
      <xdr:row>174</xdr:row>
      <xdr:rowOff>133350</xdr:rowOff>
    </xdr:to>
    <xdr:pic>
      <xdr:nvPicPr>
        <xdr:cNvPr id="1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175</xdr:row>
      <xdr:rowOff>0</xdr:rowOff>
    </xdr:from>
    <xdr:to>
      <xdr:col>25</xdr:col>
      <xdr:colOff>152400</xdr:colOff>
      <xdr:row>175</xdr:row>
      <xdr:rowOff>133350</xdr:rowOff>
    </xdr:to>
    <xdr:pic>
      <xdr:nvPicPr>
        <xdr:cNvPr id="1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176</xdr:row>
      <xdr:rowOff>0</xdr:rowOff>
    </xdr:from>
    <xdr:to>
      <xdr:col>25</xdr:col>
      <xdr:colOff>152400</xdr:colOff>
      <xdr:row>176</xdr:row>
      <xdr:rowOff>133350</xdr:rowOff>
    </xdr:to>
    <xdr:pic>
      <xdr:nvPicPr>
        <xdr:cNvPr id="1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177</xdr:row>
      <xdr:rowOff>0</xdr:rowOff>
    </xdr:from>
    <xdr:to>
      <xdr:col>25</xdr:col>
      <xdr:colOff>152400</xdr:colOff>
      <xdr:row>177</xdr:row>
      <xdr:rowOff>133350</xdr:rowOff>
    </xdr:to>
    <xdr:pic>
      <xdr:nvPicPr>
        <xdr:cNvPr id="1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178</xdr:row>
      <xdr:rowOff>0</xdr:rowOff>
    </xdr:from>
    <xdr:to>
      <xdr:col>25</xdr:col>
      <xdr:colOff>152400</xdr:colOff>
      <xdr:row>178</xdr:row>
      <xdr:rowOff>133350</xdr:rowOff>
    </xdr:to>
    <xdr:pic>
      <xdr:nvPicPr>
        <xdr:cNvPr id="1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179</xdr:row>
      <xdr:rowOff>0</xdr:rowOff>
    </xdr:from>
    <xdr:to>
      <xdr:col>25</xdr:col>
      <xdr:colOff>152400</xdr:colOff>
      <xdr:row>179</xdr:row>
      <xdr:rowOff>133350</xdr:rowOff>
    </xdr:to>
    <xdr:pic>
      <xdr:nvPicPr>
        <xdr:cNvPr id="1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180</xdr:row>
      <xdr:rowOff>0</xdr:rowOff>
    </xdr:from>
    <xdr:to>
      <xdr:col>25</xdr:col>
      <xdr:colOff>152400</xdr:colOff>
      <xdr:row>180</xdr:row>
      <xdr:rowOff>133350</xdr:rowOff>
    </xdr:to>
    <xdr:pic>
      <xdr:nvPicPr>
        <xdr:cNvPr id="1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181</xdr:row>
      <xdr:rowOff>0</xdr:rowOff>
    </xdr:from>
    <xdr:to>
      <xdr:col>25</xdr:col>
      <xdr:colOff>152400</xdr:colOff>
      <xdr:row>181</xdr:row>
      <xdr:rowOff>133350</xdr:rowOff>
    </xdr:to>
    <xdr:pic>
      <xdr:nvPicPr>
        <xdr:cNvPr id="1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182</xdr:row>
      <xdr:rowOff>0</xdr:rowOff>
    </xdr:from>
    <xdr:to>
      <xdr:col>25</xdr:col>
      <xdr:colOff>152400</xdr:colOff>
      <xdr:row>182</xdr:row>
      <xdr:rowOff>133350</xdr:rowOff>
    </xdr:to>
    <xdr:pic>
      <xdr:nvPicPr>
        <xdr:cNvPr id="1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183</xdr:row>
      <xdr:rowOff>0</xdr:rowOff>
    </xdr:from>
    <xdr:to>
      <xdr:col>25</xdr:col>
      <xdr:colOff>152400</xdr:colOff>
      <xdr:row>183</xdr:row>
      <xdr:rowOff>133350</xdr:rowOff>
    </xdr:to>
    <xdr:pic>
      <xdr:nvPicPr>
        <xdr:cNvPr id="1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184</xdr:row>
      <xdr:rowOff>0</xdr:rowOff>
    </xdr:from>
    <xdr:to>
      <xdr:col>25</xdr:col>
      <xdr:colOff>152400</xdr:colOff>
      <xdr:row>184</xdr:row>
      <xdr:rowOff>133350</xdr:rowOff>
    </xdr:to>
    <xdr:pic>
      <xdr:nvPicPr>
        <xdr:cNvPr id="1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185</xdr:row>
      <xdr:rowOff>0</xdr:rowOff>
    </xdr:from>
    <xdr:to>
      <xdr:col>25</xdr:col>
      <xdr:colOff>152400</xdr:colOff>
      <xdr:row>185</xdr:row>
      <xdr:rowOff>133350</xdr:rowOff>
    </xdr:to>
    <xdr:pic>
      <xdr:nvPicPr>
        <xdr:cNvPr id="1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186</xdr:row>
      <xdr:rowOff>0</xdr:rowOff>
    </xdr:from>
    <xdr:to>
      <xdr:col>25</xdr:col>
      <xdr:colOff>152400</xdr:colOff>
      <xdr:row>186</xdr:row>
      <xdr:rowOff>133350</xdr:rowOff>
    </xdr:to>
    <xdr:pic>
      <xdr:nvPicPr>
        <xdr:cNvPr id="1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187</xdr:row>
      <xdr:rowOff>0</xdr:rowOff>
    </xdr:from>
    <xdr:to>
      <xdr:col>25</xdr:col>
      <xdr:colOff>152400</xdr:colOff>
      <xdr:row>187</xdr:row>
      <xdr:rowOff>133350</xdr:rowOff>
    </xdr:to>
    <xdr:pic>
      <xdr:nvPicPr>
        <xdr:cNvPr id="1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188</xdr:row>
      <xdr:rowOff>0</xdr:rowOff>
    </xdr:from>
    <xdr:to>
      <xdr:col>25</xdr:col>
      <xdr:colOff>152400</xdr:colOff>
      <xdr:row>188</xdr:row>
      <xdr:rowOff>133350</xdr:rowOff>
    </xdr:to>
    <xdr:pic>
      <xdr:nvPicPr>
        <xdr:cNvPr id="1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189</xdr:row>
      <xdr:rowOff>0</xdr:rowOff>
    </xdr:from>
    <xdr:to>
      <xdr:col>25</xdr:col>
      <xdr:colOff>152400</xdr:colOff>
      <xdr:row>189</xdr:row>
      <xdr:rowOff>133350</xdr:rowOff>
    </xdr:to>
    <xdr:pic>
      <xdr:nvPicPr>
        <xdr:cNvPr id="1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190</xdr:row>
      <xdr:rowOff>0</xdr:rowOff>
    </xdr:from>
    <xdr:to>
      <xdr:col>25</xdr:col>
      <xdr:colOff>152400</xdr:colOff>
      <xdr:row>190</xdr:row>
      <xdr:rowOff>133350</xdr:rowOff>
    </xdr:to>
    <xdr:pic>
      <xdr:nvPicPr>
        <xdr:cNvPr id="1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191</xdr:row>
      <xdr:rowOff>0</xdr:rowOff>
    </xdr:from>
    <xdr:to>
      <xdr:col>25</xdr:col>
      <xdr:colOff>152400</xdr:colOff>
      <xdr:row>191</xdr:row>
      <xdr:rowOff>133350</xdr:rowOff>
    </xdr:to>
    <xdr:pic>
      <xdr:nvPicPr>
        <xdr:cNvPr id="1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192</xdr:row>
      <xdr:rowOff>0</xdr:rowOff>
    </xdr:from>
    <xdr:to>
      <xdr:col>25</xdr:col>
      <xdr:colOff>152400</xdr:colOff>
      <xdr:row>192</xdr:row>
      <xdr:rowOff>133350</xdr:rowOff>
    </xdr:to>
    <xdr:pic>
      <xdr:nvPicPr>
        <xdr:cNvPr id="1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193</xdr:row>
      <xdr:rowOff>0</xdr:rowOff>
    </xdr:from>
    <xdr:to>
      <xdr:col>25</xdr:col>
      <xdr:colOff>152400</xdr:colOff>
      <xdr:row>193</xdr:row>
      <xdr:rowOff>133350</xdr:rowOff>
    </xdr:to>
    <xdr:pic>
      <xdr:nvPicPr>
        <xdr:cNvPr id="1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194</xdr:row>
      <xdr:rowOff>0</xdr:rowOff>
    </xdr:from>
    <xdr:to>
      <xdr:col>25</xdr:col>
      <xdr:colOff>152400</xdr:colOff>
      <xdr:row>194</xdr:row>
      <xdr:rowOff>133350</xdr:rowOff>
    </xdr:to>
    <xdr:pic>
      <xdr:nvPicPr>
        <xdr:cNvPr id="1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195</xdr:row>
      <xdr:rowOff>0</xdr:rowOff>
    </xdr:from>
    <xdr:to>
      <xdr:col>25</xdr:col>
      <xdr:colOff>152400</xdr:colOff>
      <xdr:row>195</xdr:row>
      <xdr:rowOff>133350</xdr:rowOff>
    </xdr:to>
    <xdr:pic>
      <xdr:nvPicPr>
        <xdr:cNvPr id="1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196</xdr:row>
      <xdr:rowOff>0</xdr:rowOff>
    </xdr:from>
    <xdr:to>
      <xdr:col>25</xdr:col>
      <xdr:colOff>152400</xdr:colOff>
      <xdr:row>196</xdr:row>
      <xdr:rowOff>133350</xdr:rowOff>
    </xdr:to>
    <xdr:pic>
      <xdr:nvPicPr>
        <xdr:cNvPr id="1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198</xdr:row>
      <xdr:rowOff>0</xdr:rowOff>
    </xdr:from>
    <xdr:to>
      <xdr:col>25</xdr:col>
      <xdr:colOff>152400</xdr:colOff>
      <xdr:row>198</xdr:row>
      <xdr:rowOff>133350</xdr:rowOff>
    </xdr:to>
    <xdr:pic>
      <xdr:nvPicPr>
        <xdr:cNvPr id="1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199</xdr:row>
      <xdr:rowOff>0</xdr:rowOff>
    </xdr:from>
    <xdr:to>
      <xdr:col>25</xdr:col>
      <xdr:colOff>152400</xdr:colOff>
      <xdr:row>199</xdr:row>
      <xdr:rowOff>133350</xdr:rowOff>
    </xdr:to>
    <xdr:pic>
      <xdr:nvPicPr>
        <xdr:cNvPr id="1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200</xdr:row>
      <xdr:rowOff>0</xdr:rowOff>
    </xdr:from>
    <xdr:to>
      <xdr:col>25</xdr:col>
      <xdr:colOff>152400</xdr:colOff>
      <xdr:row>200</xdr:row>
      <xdr:rowOff>133350</xdr:rowOff>
    </xdr:to>
    <xdr:pic>
      <xdr:nvPicPr>
        <xdr:cNvPr id="1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201</xdr:row>
      <xdr:rowOff>0</xdr:rowOff>
    </xdr:from>
    <xdr:to>
      <xdr:col>25</xdr:col>
      <xdr:colOff>152400</xdr:colOff>
      <xdr:row>201</xdr:row>
      <xdr:rowOff>133350</xdr:rowOff>
    </xdr:to>
    <xdr:pic>
      <xdr:nvPicPr>
        <xdr:cNvPr id="1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202</xdr:row>
      <xdr:rowOff>0</xdr:rowOff>
    </xdr:from>
    <xdr:to>
      <xdr:col>25</xdr:col>
      <xdr:colOff>152400</xdr:colOff>
      <xdr:row>202</xdr:row>
      <xdr:rowOff>133350</xdr:rowOff>
    </xdr:to>
    <xdr:pic>
      <xdr:nvPicPr>
        <xdr:cNvPr id="1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203</xdr:row>
      <xdr:rowOff>0</xdr:rowOff>
    </xdr:from>
    <xdr:to>
      <xdr:col>25</xdr:col>
      <xdr:colOff>152400</xdr:colOff>
      <xdr:row>203</xdr:row>
      <xdr:rowOff>133350</xdr:rowOff>
    </xdr:to>
    <xdr:pic>
      <xdr:nvPicPr>
        <xdr:cNvPr id="1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204</xdr:row>
      <xdr:rowOff>0</xdr:rowOff>
    </xdr:from>
    <xdr:to>
      <xdr:col>25</xdr:col>
      <xdr:colOff>152400</xdr:colOff>
      <xdr:row>204</xdr:row>
      <xdr:rowOff>133350</xdr:rowOff>
    </xdr:to>
    <xdr:pic>
      <xdr:nvPicPr>
        <xdr:cNvPr id="1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205</xdr:row>
      <xdr:rowOff>0</xdr:rowOff>
    </xdr:from>
    <xdr:to>
      <xdr:col>25</xdr:col>
      <xdr:colOff>152400</xdr:colOff>
      <xdr:row>205</xdr:row>
      <xdr:rowOff>133350</xdr:rowOff>
    </xdr:to>
    <xdr:pic>
      <xdr:nvPicPr>
        <xdr:cNvPr id="1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206</xdr:row>
      <xdr:rowOff>0</xdr:rowOff>
    </xdr:from>
    <xdr:to>
      <xdr:col>25</xdr:col>
      <xdr:colOff>152400</xdr:colOff>
      <xdr:row>206</xdr:row>
      <xdr:rowOff>133350</xdr:rowOff>
    </xdr:to>
    <xdr:pic>
      <xdr:nvPicPr>
        <xdr:cNvPr id="1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207</xdr:row>
      <xdr:rowOff>0</xdr:rowOff>
    </xdr:from>
    <xdr:to>
      <xdr:col>25</xdr:col>
      <xdr:colOff>152400</xdr:colOff>
      <xdr:row>207</xdr:row>
      <xdr:rowOff>133350</xdr:rowOff>
    </xdr:to>
    <xdr:pic>
      <xdr:nvPicPr>
        <xdr:cNvPr id="1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208</xdr:row>
      <xdr:rowOff>0</xdr:rowOff>
    </xdr:from>
    <xdr:to>
      <xdr:col>25</xdr:col>
      <xdr:colOff>152400</xdr:colOff>
      <xdr:row>208</xdr:row>
      <xdr:rowOff>133350</xdr:rowOff>
    </xdr:to>
    <xdr:pic>
      <xdr:nvPicPr>
        <xdr:cNvPr id="1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209</xdr:row>
      <xdr:rowOff>0</xdr:rowOff>
    </xdr:from>
    <xdr:to>
      <xdr:col>25</xdr:col>
      <xdr:colOff>152400</xdr:colOff>
      <xdr:row>209</xdr:row>
      <xdr:rowOff>133350</xdr:rowOff>
    </xdr:to>
    <xdr:pic>
      <xdr:nvPicPr>
        <xdr:cNvPr id="1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210</xdr:row>
      <xdr:rowOff>0</xdr:rowOff>
    </xdr:from>
    <xdr:to>
      <xdr:col>25</xdr:col>
      <xdr:colOff>152400</xdr:colOff>
      <xdr:row>210</xdr:row>
      <xdr:rowOff>133350</xdr:rowOff>
    </xdr:to>
    <xdr:pic>
      <xdr:nvPicPr>
        <xdr:cNvPr id="1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211</xdr:row>
      <xdr:rowOff>0</xdr:rowOff>
    </xdr:from>
    <xdr:to>
      <xdr:col>25</xdr:col>
      <xdr:colOff>152400</xdr:colOff>
      <xdr:row>211</xdr:row>
      <xdr:rowOff>133350</xdr:rowOff>
    </xdr:to>
    <xdr:pic>
      <xdr:nvPicPr>
        <xdr:cNvPr id="1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212</xdr:row>
      <xdr:rowOff>0</xdr:rowOff>
    </xdr:from>
    <xdr:to>
      <xdr:col>25</xdr:col>
      <xdr:colOff>152400</xdr:colOff>
      <xdr:row>212</xdr:row>
      <xdr:rowOff>133350</xdr:rowOff>
    </xdr:to>
    <xdr:pic>
      <xdr:nvPicPr>
        <xdr:cNvPr id="1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213</xdr:row>
      <xdr:rowOff>0</xdr:rowOff>
    </xdr:from>
    <xdr:to>
      <xdr:col>25</xdr:col>
      <xdr:colOff>152400</xdr:colOff>
      <xdr:row>213</xdr:row>
      <xdr:rowOff>133350</xdr:rowOff>
    </xdr:to>
    <xdr:pic>
      <xdr:nvPicPr>
        <xdr:cNvPr id="1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214</xdr:row>
      <xdr:rowOff>0</xdr:rowOff>
    </xdr:from>
    <xdr:to>
      <xdr:col>25</xdr:col>
      <xdr:colOff>152400</xdr:colOff>
      <xdr:row>214</xdr:row>
      <xdr:rowOff>133350</xdr:rowOff>
    </xdr:to>
    <xdr:pic>
      <xdr:nvPicPr>
        <xdr:cNvPr id="1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215</xdr:row>
      <xdr:rowOff>0</xdr:rowOff>
    </xdr:from>
    <xdr:to>
      <xdr:col>25</xdr:col>
      <xdr:colOff>152400</xdr:colOff>
      <xdr:row>215</xdr:row>
      <xdr:rowOff>133350</xdr:rowOff>
    </xdr:to>
    <xdr:pic>
      <xdr:nvPicPr>
        <xdr:cNvPr id="1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216</xdr:row>
      <xdr:rowOff>0</xdr:rowOff>
    </xdr:from>
    <xdr:to>
      <xdr:col>25</xdr:col>
      <xdr:colOff>152400</xdr:colOff>
      <xdr:row>216</xdr:row>
      <xdr:rowOff>133350</xdr:rowOff>
    </xdr:to>
    <xdr:pic>
      <xdr:nvPicPr>
        <xdr:cNvPr id="1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217</xdr:row>
      <xdr:rowOff>0</xdr:rowOff>
    </xdr:from>
    <xdr:to>
      <xdr:col>25</xdr:col>
      <xdr:colOff>152400</xdr:colOff>
      <xdr:row>217</xdr:row>
      <xdr:rowOff>133350</xdr:rowOff>
    </xdr:to>
    <xdr:pic>
      <xdr:nvPicPr>
        <xdr:cNvPr id="1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218</xdr:row>
      <xdr:rowOff>0</xdr:rowOff>
    </xdr:from>
    <xdr:to>
      <xdr:col>25</xdr:col>
      <xdr:colOff>152400</xdr:colOff>
      <xdr:row>218</xdr:row>
      <xdr:rowOff>133350</xdr:rowOff>
    </xdr:to>
    <xdr:pic>
      <xdr:nvPicPr>
        <xdr:cNvPr id="1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219</xdr:row>
      <xdr:rowOff>0</xdr:rowOff>
    </xdr:from>
    <xdr:to>
      <xdr:col>25</xdr:col>
      <xdr:colOff>152400</xdr:colOff>
      <xdr:row>219</xdr:row>
      <xdr:rowOff>133350</xdr:rowOff>
    </xdr:to>
    <xdr:pic>
      <xdr:nvPicPr>
        <xdr:cNvPr id="1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220</xdr:row>
      <xdr:rowOff>0</xdr:rowOff>
    </xdr:from>
    <xdr:to>
      <xdr:col>25</xdr:col>
      <xdr:colOff>152400</xdr:colOff>
      <xdr:row>220</xdr:row>
      <xdr:rowOff>133350</xdr:rowOff>
    </xdr:to>
    <xdr:pic>
      <xdr:nvPicPr>
        <xdr:cNvPr id="1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221</xdr:row>
      <xdr:rowOff>0</xdr:rowOff>
    </xdr:from>
    <xdr:to>
      <xdr:col>25</xdr:col>
      <xdr:colOff>152400</xdr:colOff>
      <xdr:row>221</xdr:row>
      <xdr:rowOff>133350</xdr:rowOff>
    </xdr:to>
    <xdr:pic>
      <xdr:nvPicPr>
        <xdr:cNvPr id="1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222</xdr:row>
      <xdr:rowOff>0</xdr:rowOff>
    </xdr:from>
    <xdr:to>
      <xdr:col>25</xdr:col>
      <xdr:colOff>152400</xdr:colOff>
      <xdr:row>222</xdr:row>
      <xdr:rowOff>133350</xdr:rowOff>
    </xdr:to>
    <xdr:pic>
      <xdr:nvPicPr>
        <xdr:cNvPr id="1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223</xdr:row>
      <xdr:rowOff>0</xdr:rowOff>
    </xdr:from>
    <xdr:to>
      <xdr:col>25</xdr:col>
      <xdr:colOff>152400</xdr:colOff>
      <xdr:row>223</xdr:row>
      <xdr:rowOff>133350</xdr:rowOff>
    </xdr:to>
    <xdr:pic>
      <xdr:nvPicPr>
        <xdr:cNvPr id="1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224</xdr:row>
      <xdr:rowOff>0</xdr:rowOff>
    </xdr:from>
    <xdr:to>
      <xdr:col>25</xdr:col>
      <xdr:colOff>152400</xdr:colOff>
      <xdr:row>224</xdr:row>
      <xdr:rowOff>133350</xdr:rowOff>
    </xdr:to>
    <xdr:pic>
      <xdr:nvPicPr>
        <xdr:cNvPr id="1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225</xdr:row>
      <xdr:rowOff>0</xdr:rowOff>
    </xdr:from>
    <xdr:to>
      <xdr:col>25</xdr:col>
      <xdr:colOff>152400</xdr:colOff>
      <xdr:row>225</xdr:row>
      <xdr:rowOff>133350</xdr:rowOff>
    </xdr:to>
    <xdr:pic>
      <xdr:nvPicPr>
        <xdr:cNvPr id="1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226</xdr:row>
      <xdr:rowOff>0</xdr:rowOff>
    </xdr:from>
    <xdr:to>
      <xdr:col>25</xdr:col>
      <xdr:colOff>152400</xdr:colOff>
      <xdr:row>226</xdr:row>
      <xdr:rowOff>133350</xdr:rowOff>
    </xdr:to>
    <xdr:pic>
      <xdr:nvPicPr>
        <xdr:cNvPr id="1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227</xdr:row>
      <xdr:rowOff>0</xdr:rowOff>
    </xdr:from>
    <xdr:to>
      <xdr:col>25</xdr:col>
      <xdr:colOff>152400</xdr:colOff>
      <xdr:row>227</xdr:row>
      <xdr:rowOff>133350</xdr:rowOff>
    </xdr:to>
    <xdr:pic>
      <xdr:nvPicPr>
        <xdr:cNvPr id="1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228</xdr:row>
      <xdr:rowOff>0</xdr:rowOff>
    </xdr:from>
    <xdr:to>
      <xdr:col>25</xdr:col>
      <xdr:colOff>152400</xdr:colOff>
      <xdr:row>228</xdr:row>
      <xdr:rowOff>133350</xdr:rowOff>
    </xdr:to>
    <xdr:pic>
      <xdr:nvPicPr>
        <xdr:cNvPr id="1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229</xdr:row>
      <xdr:rowOff>0</xdr:rowOff>
    </xdr:from>
    <xdr:to>
      <xdr:col>25</xdr:col>
      <xdr:colOff>152400</xdr:colOff>
      <xdr:row>229</xdr:row>
      <xdr:rowOff>133350</xdr:rowOff>
    </xdr:to>
    <xdr:pic>
      <xdr:nvPicPr>
        <xdr:cNvPr id="1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230</xdr:row>
      <xdr:rowOff>0</xdr:rowOff>
    </xdr:from>
    <xdr:to>
      <xdr:col>25</xdr:col>
      <xdr:colOff>152400</xdr:colOff>
      <xdr:row>230</xdr:row>
      <xdr:rowOff>133350</xdr:rowOff>
    </xdr:to>
    <xdr:pic>
      <xdr:nvPicPr>
        <xdr:cNvPr id="1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231</xdr:row>
      <xdr:rowOff>0</xdr:rowOff>
    </xdr:from>
    <xdr:to>
      <xdr:col>25</xdr:col>
      <xdr:colOff>152400</xdr:colOff>
      <xdr:row>231</xdr:row>
      <xdr:rowOff>133350</xdr:rowOff>
    </xdr:to>
    <xdr:pic>
      <xdr:nvPicPr>
        <xdr:cNvPr id="1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232</xdr:row>
      <xdr:rowOff>0</xdr:rowOff>
    </xdr:from>
    <xdr:to>
      <xdr:col>25</xdr:col>
      <xdr:colOff>152400</xdr:colOff>
      <xdr:row>232</xdr:row>
      <xdr:rowOff>133350</xdr:rowOff>
    </xdr:to>
    <xdr:pic>
      <xdr:nvPicPr>
        <xdr:cNvPr id="1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237</xdr:row>
      <xdr:rowOff>0</xdr:rowOff>
    </xdr:from>
    <xdr:to>
      <xdr:col>25</xdr:col>
      <xdr:colOff>152400</xdr:colOff>
      <xdr:row>237</xdr:row>
      <xdr:rowOff>133350</xdr:rowOff>
    </xdr:to>
    <xdr:pic>
      <xdr:nvPicPr>
        <xdr:cNvPr id="1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238</xdr:row>
      <xdr:rowOff>0</xdr:rowOff>
    </xdr:from>
    <xdr:to>
      <xdr:col>25</xdr:col>
      <xdr:colOff>152400</xdr:colOff>
      <xdr:row>238</xdr:row>
      <xdr:rowOff>133350</xdr:rowOff>
    </xdr:to>
    <xdr:pic>
      <xdr:nvPicPr>
        <xdr:cNvPr id="1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239</xdr:row>
      <xdr:rowOff>0</xdr:rowOff>
    </xdr:from>
    <xdr:to>
      <xdr:col>25</xdr:col>
      <xdr:colOff>152400</xdr:colOff>
      <xdr:row>239</xdr:row>
      <xdr:rowOff>133350</xdr:rowOff>
    </xdr:to>
    <xdr:pic>
      <xdr:nvPicPr>
        <xdr:cNvPr id="1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240</xdr:row>
      <xdr:rowOff>0</xdr:rowOff>
    </xdr:from>
    <xdr:to>
      <xdr:col>25</xdr:col>
      <xdr:colOff>152400</xdr:colOff>
      <xdr:row>240</xdr:row>
      <xdr:rowOff>133350</xdr:rowOff>
    </xdr:to>
    <xdr:pic>
      <xdr:nvPicPr>
        <xdr:cNvPr id="1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241</xdr:row>
      <xdr:rowOff>0</xdr:rowOff>
    </xdr:from>
    <xdr:to>
      <xdr:col>25</xdr:col>
      <xdr:colOff>152400</xdr:colOff>
      <xdr:row>241</xdr:row>
      <xdr:rowOff>133350</xdr:rowOff>
    </xdr:to>
    <xdr:pic>
      <xdr:nvPicPr>
        <xdr:cNvPr id="1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242</xdr:row>
      <xdr:rowOff>0</xdr:rowOff>
    </xdr:from>
    <xdr:to>
      <xdr:col>25</xdr:col>
      <xdr:colOff>152400</xdr:colOff>
      <xdr:row>242</xdr:row>
      <xdr:rowOff>133350</xdr:rowOff>
    </xdr:to>
    <xdr:pic>
      <xdr:nvPicPr>
        <xdr:cNvPr id="1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243</xdr:row>
      <xdr:rowOff>0</xdr:rowOff>
    </xdr:from>
    <xdr:to>
      <xdr:col>25</xdr:col>
      <xdr:colOff>152400</xdr:colOff>
      <xdr:row>243</xdr:row>
      <xdr:rowOff>133350</xdr:rowOff>
    </xdr:to>
    <xdr:pic>
      <xdr:nvPicPr>
        <xdr:cNvPr id="1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244</xdr:row>
      <xdr:rowOff>0</xdr:rowOff>
    </xdr:from>
    <xdr:to>
      <xdr:col>25</xdr:col>
      <xdr:colOff>152400</xdr:colOff>
      <xdr:row>244</xdr:row>
      <xdr:rowOff>133350</xdr:rowOff>
    </xdr:to>
    <xdr:pic>
      <xdr:nvPicPr>
        <xdr:cNvPr id="1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245</xdr:row>
      <xdr:rowOff>0</xdr:rowOff>
    </xdr:from>
    <xdr:to>
      <xdr:col>25</xdr:col>
      <xdr:colOff>152400</xdr:colOff>
      <xdr:row>245</xdr:row>
      <xdr:rowOff>133350</xdr:rowOff>
    </xdr:to>
    <xdr:pic>
      <xdr:nvPicPr>
        <xdr:cNvPr id="1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246</xdr:row>
      <xdr:rowOff>0</xdr:rowOff>
    </xdr:from>
    <xdr:to>
      <xdr:col>25</xdr:col>
      <xdr:colOff>152400</xdr:colOff>
      <xdr:row>246</xdr:row>
      <xdr:rowOff>133350</xdr:rowOff>
    </xdr:to>
    <xdr:pic>
      <xdr:nvPicPr>
        <xdr:cNvPr id="1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247</xdr:row>
      <xdr:rowOff>0</xdr:rowOff>
    </xdr:from>
    <xdr:to>
      <xdr:col>25</xdr:col>
      <xdr:colOff>152400</xdr:colOff>
      <xdr:row>247</xdr:row>
      <xdr:rowOff>133350</xdr:rowOff>
    </xdr:to>
    <xdr:pic>
      <xdr:nvPicPr>
        <xdr:cNvPr id="1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248</xdr:row>
      <xdr:rowOff>0</xdr:rowOff>
    </xdr:from>
    <xdr:to>
      <xdr:col>25</xdr:col>
      <xdr:colOff>152400</xdr:colOff>
      <xdr:row>248</xdr:row>
      <xdr:rowOff>133350</xdr:rowOff>
    </xdr:to>
    <xdr:pic>
      <xdr:nvPicPr>
        <xdr:cNvPr id="1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249</xdr:row>
      <xdr:rowOff>0</xdr:rowOff>
    </xdr:from>
    <xdr:to>
      <xdr:col>25</xdr:col>
      <xdr:colOff>152400</xdr:colOff>
      <xdr:row>249</xdr:row>
      <xdr:rowOff>133350</xdr:rowOff>
    </xdr:to>
    <xdr:pic>
      <xdr:nvPicPr>
        <xdr:cNvPr id="1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250</xdr:row>
      <xdr:rowOff>0</xdr:rowOff>
    </xdr:from>
    <xdr:to>
      <xdr:col>25</xdr:col>
      <xdr:colOff>152400</xdr:colOff>
      <xdr:row>250</xdr:row>
      <xdr:rowOff>133350</xdr:rowOff>
    </xdr:to>
    <xdr:pic>
      <xdr:nvPicPr>
        <xdr:cNvPr id="1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251</xdr:row>
      <xdr:rowOff>0</xdr:rowOff>
    </xdr:from>
    <xdr:to>
      <xdr:col>25</xdr:col>
      <xdr:colOff>152400</xdr:colOff>
      <xdr:row>251</xdr:row>
      <xdr:rowOff>133350</xdr:rowOff>
    </xdr:to>
    <xdr:pic>
      <xdr:nvPicPr>
        <xdr:cNvPr id="1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252</xdr:row>
      <xdr:rowOff>0</xdr:rowOff>
    </xdr:from>
    <xdr:to>
      <xdr:col>25</xdr:col>
      <xdr:colOff>152400</xdr:colOff>
      <xdr:row>252</xdr:row>
      <xdr:rowOff>133350</xdr:rowOff>
    </xdr:to>
    <xdr:pic>
      <xdr:nvPicPr>
        <xdr:cNvPr id="1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253</xdr:row>
      <xdr:rowOff>0</xdr:rowOff>
    </xdr:from>
    <xdr:to>
      <xdr:col>25</xdr:col>
      <xdr:colOff>152400</xdr:colOff>
      <xdr:row>253</xdr:row>
      <xdr:rowOff>133350</xdr:rowOff>
    </xdr:to>
    <xdr:pic>
      <xdr:nvPicPr>
        <xdr:cNvPr id="1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254</xdr:row>
      <xdr:rowOff>0</xdr:rowOff>
    </xdr:from>
    <xdr:to>
      <xdr:col>25</xdr:col>
      <xdr:colOff>152400</xdr:colOff>
      <xdr:row>254</xdr:row>
      <xdr:rowOff>133350</xdr:rowOff>
    </xdr:to>
    <xdr:pic>
      <xdr:nvPicPr>
        <xdr:cNvPr id="1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255</xdr:row>
      <xdr:rowOff>0</xdr:rowOff>
    </xdr:from>
    <xdr:to>
      <xdr:col>25</xdr:col>
      <xdr:colOff>152400</xdr:colOff>
      <xdr:row>255</xdr:row>
      <xdr:rowOff>133350</xdr:rowOff>
    </xdr:to>
    <xdr:pic>
      <xdr:nvPicPr>
        <xdr:cNvPr id="1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256</xdr:row>
      <xdr:rowOff>0</xdr:rowOff>
    </xdr:from>
    <xdr:to>
      <xdr:col>25</xdr:col>
      <xdr:colOff>152400</xdr:colOff>
      <xdr:row>256</xdr:row>
      <xdr:rowOff>133350</xdr:rowOff>
    </xdr:to>
    <xdr:pic>
      <xdr:nvPicPr>
        <xdr:cNvPr id="1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257</xdr:row>
      <xdr:rowOff>0</xdr:rowOff>
    </xdr:from>
    <xdr:to>
      <xdr:col>25</xdr:col>
      <xdr:colOff>152400</xdr:colOff>
      <xdr:row>257</xdr:row>
      <xdr:rowOff>133350</xdr:rowOff>
    </xdr:to>
    <xdr:pic>
      <xdr:nvPicPr>
        <xdr:cNvPr id="1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258</xdr:row>
      <xdr:rowOff>0</xdr:rowOff>
    </xdr:from>
    <xdr:to>
      <xdr:col>25</xdr:col>
      <xdr:colOff>152400</xdr:colOff>
      <xdr:row>258</xdr:row>
      <xdr:rowOff>133350</xdr:rowOff>
    </xdr:to>
    <xdr:pic>
      <xdr:nvPicPr>
        <xdr:cNvPr id="1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259</xdr:row>
      <xdr:rowOff>0</xdr:rowOff>
    </xdr:from>
    <xdr:to>
      <xdr:col>25</xdr:col>
      <xdr:colOff>152400</xdr:colOff>
      <xdr:row>259</xdr:row>
      <xdr:rowOff>133350</xdr:rowOff>
    </xdr:to>
    <xdr:pic>
      <xdr:nvPicPr>
        <xdr:cNvPr id="1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260</xdr:row>
      <xdr:rowOff>0</xdr:rowOff>
    </xdr:from>
    <xdr:to>
      <xdr:col>25</xdr:col>
      <xdr:colOff>152400</xdr:colOff>
      <xdr:row>260</xdr:row>
      <xdr:rowOff>133350</xdr:rowOff>
    </xdr:to>
    <xdr:pic>
      <xdr:nvPicPr>
        <xdr:cNvPr id="1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261</xdr:row>
      <xdr:rowOff>0</xdr:rowOff>
    </xdr:from>
    <xdr:to>
      <xdr:col>25</xdr:col>
      <xdr:colOff>152400</xdr:colOff>
      <xdr:row>261</xdr:row>
      <xdr:rowOff>133350</xdr:rowOff>
    </xdr:to>
    <xdr:pic>
      <xdr:nvPicPr>
        <xdr:cNvPr id="1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262</xdr:row>
      <xdr:rowOff>0</xdr:rowOff>
    </xdr:from>
    <xdr:to>
      <xdr:col>25</xdr:col>
      <xdr:colOff>152400</xdr:colOff>
      <xdr:row>262</xdr:row>
      <xdr:rowOff>133350</xdr:rowOff>
    </xdr:to>
    <xdr:pic>
      <xdr:nvPicPr>
        <xdr:cNvPr id="1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263</xdr:row>
      <xdr:rowOff>0</xdr:rowOff>
    </xdr:from>
    <xdr:to>
      <xdr:col>25</xdr:col>
      <xdr:colOff>152400</xdr:colOff>
      <xdr:row>263</xdr:row>
      <xdr:rowOff>133350</xdr:rowOff>
    </xdr:to>
    <xdr:pic>
      <xdr:nvPicPr>
        <xdr:cNvPr id="1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264</xdr:row>
      <xdr:rowOff>0</xdr:rowOff>
    </xdr:from>
    <xdr:to>
      <xdr:col>25</xdr:col>
      <xdr:colOff>152400</xdr:colOff>
      <xdr:row>264</xdr:row>
      <xdr:rowOff>133350</xdr:rowOff>
    </xdr:to>
    <xdr:pic>
      <xdr:nvPicPr>
        <xdr:cNvPr id="1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265</xdr:row>
      <xdr:rowOff>0</xdr:rowOff>
    </xdr:from>
    <xdr:to>
      <xdr:col>25</xdr:col>
      <xdr:colOff>152400</xdr:colOff>
      <xdr:row>265</xdr:row>
      <xdr:rowOff>133350</xdr:rowOff>
    </xdr:to>
    <xdr:pic>
      <xdr:nvPicPr>
        <xdr:cNvPr id="1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266</xdr:row>
      <xdr:rowOff>0</xdr:rowOff>
    </xdr:from>
    <xdr:to>
      <xdr:col>25</xdr:col>
      <xdr:colOff>152400</xdr:colOff>
      <xdr:row>266</xdr:row>
      <xdr:rowOff>133350</xdr:rowOff>
    </xdr:to>
    <xdr:pic>
      <xdr:nvPicPr>
        <xdr:cNvPr id="1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267</xdr:row>
      <xdr:rowOff>0</xdr:rowOff>
    </xdr:from>
    <xdr:to>
      <xdr:col>25</xdr:col>
      <xdr:colOff>152400</xdr:colOff>
      <xdr:row>267</xdr:row>
      <xdr:rowOff>133350</xdr:rowOff>
    </xdr:to>
    <xdr:pic>
      <xdr:nvPicPr>
        <xdr:cNvPr id="1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268</xdr:row>
      <xdr:rowOff>0</xdr:rowOff>
    </xdr:from>
    <xdr:to>
      <xdr:col>25</xdr:col>
      <xdr:colOff>152400</xdr:colOff>
      <xdr:row>268</xdr:row>
      <xdr:rowOff>133350</xdr:rowOff>
    </xdr:to>
    <xdr:pic>
      <xdr:nvPicPr>
        <xdr:cNvPr id="1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269</xdr:row>
      <xdr:rowOff>0</xdr:rowOff>
    </xdr:from>
    <xdr:to>
      <xdr:col>25</xdr:col>
      <xdr:colOff>152400</xdr:colOff>
      <xdr:row>269</xdr:row>
      <xdr:rowOff>133350</xdr:rowOff>
    </xdr:to>
    <xdr:pic>
      <xdr:nvPicPr>
        <xdr:cNvPr id="1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270</xdr:row>
      <xdr:rowOff>0</xdr:rowOff>
    </xdr:from>
    <xdr:to>
      <xdr:col>25</xdr:col>
      <xdr:colOff>152400</xdr:colOff>
      <xdr:row>270</xdr:row>
      <xdr:rowOff>133350</xdr:rowOff>
    </xdr:to>
    <xdr:pic>
      <xdr:nvPicPr>
        <xdr:cNvPr id="2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271</xdr:row>
      <xdr:rowOff>0</xdr:rowOff>
    </xdr:from>
    <xdr:to>
      <xdr:col>25</xdr:col>
      <xdr:colOff>152400</xdr:colOff>
      <xdr:row>271</xdr:row>
      <xdr:rowOff>133350</xdr:rowOff>
    </xdr:to>
    <xdr:pic>
      <xdr:nvPicPr>
        <xdr:cNvPr id="2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272</xdr:row>
      <xdr:rowOff>0</xdr:rowOff>
    </xdr:from>
    <xdr:to>
      <xdr:col>25</xdr:col>
      <xdr:colOff>152400</xdr:colOff>
      <xdr:row>272</xdr:row>
      <xdr:rowOff>133350</xdr:rowOff>
    </xdr:to>
    <xdr:pic>
      <xdr:nvPicPr>
        <xdr:cNvPr id="2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273</xdr:row>
      <xdr:rowOff>0</xdr:rowOff>
    </xdr:from>
    <xdr:to>
      <xdr:col>25</xdr:col>
      <xdr:colOff>152400</xdr:colOff>
      <xdr:row>273</xdr:row>
      <xdr:rowOff>133350</xdr:rowOff>
    </xdr:to>
    <xdr:pic>
      <xdr:nvPicPr>
        <xdr:cNvPr id="2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274</xdr:row>
      <xdr:rowOff>0</xdr:rowOff>
    </xdr:from>
    <xdr:to>
      <xdr:col>25</xdr:col>
      <xdr:colOff>152400</xdr:colOff>
      <xdr:row>274</xdr:row>
      <xdr:rowOff>133350</xdr:rowOff>
    </xdr:to>
    <xdr:pic>
      <xdr:nvPicPr>
        <xdr:cNvPr id="2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275</xdr:row>
      <xdr:rowOff>0</xdr:rowOff>
    </xdr:from>
    <xdr:to>
      <xdr:col>25</xdr:col>
      <xdr:colOff>152400</xdr:colOff>
      <xdr:row>275</xdr:row>
      <xdr:rowOff>133350</xdr:rowOff>
    </xdr:to>
    <xdr:pic>
      <xdr:nvPicPr>
        <xdr:cNvPr id="2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276</xdr:row>
      <xdr:rowOff>0</xdr:rowOff>
    </xdr:from>
    <xdr:to>
      <xdr:col>25</xdr:col>
      <xdr:colOff>152400</xdr:colOff>
      <xdr:row>276</xdr:row>
      <xdr:rowOff>133350</xdr:rowOff>
    </xdr:to>
    <xdr:pic>
      <xdr:nvPicPr>
        <xdr:cNvPr id="2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277</xdr:row>
      <xdr:rowOff>0</xdr:rowOff>
    </xdr:from>
    <xdr:to>
      <xdr:col>25</xdr:col>
      <xdr:colOff>152400</xdr:colOff>
      <xdr:row>277</xdr:row>
      <xdr:rowOff>133350</xdr:rowOff>
    </xdr:to>
    <xdr:pic>
      <xdr:nvPicPr>
        <xdr:cNvPr id="2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278</xdr:row>
      <xdr:rowOff>0</xdr:rowOff>
    </xdr:from>
    <xdr:to>
      <xdr:col>25</xdr:col>
      <xdr:colOff>152400</xdr:colOff>
      <xdr:row>278</xdr:row>
      <xdr:rowOff>133350</xdr:rowOff>
    </xdr:to>
    <xdr:pic>
      <xdr:nvPicPr>
        <xdr:cNvPr id="2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279</xdr:row>
      <xdr:rowOff>0</xdr:rowOff>
    </xdr:from>
    <xdr:to>
      <xdr:col>25</xdr:col>
      <xdr:colOff>152400</xdr:colOff>
      <xdr:row>279</xdr:row>
      <xdr:rowOff>133350</xdr:rowOff>
    </xdr:to>
    <xdr:pic>
      <xdr:nvPicPr>
        <xdr:cNvPr id="2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280</xdr:row>
      <xdr:rowOff>0</xdr:rowOff>
    </xdr:from>
    <xdr:to>
      <xdr:col>25</xdr:col>
      <xdr:colOff>152400</xdr:colOff>
      <xdr:row>280</xdr:row>
      <xdr:rowOff>133350</xdr:rowOff>
    </xdr:to>
    <xdr:pic>
      <xdr:nvPicPr>
        <xdr:cNvPr id="2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281</xdr:row>
      <xdr:rowOff>0</xdr:rowOff>
    </xdr:from>
    <xdr:to>
      <xdr:col>25</xdr:col>
      <xdr:colOff>152400</xdr:colOff>
      <xdr:row>281</xdr:row>
      <xdr:rowOff>133350</xdr:rowOff>
    </xdr:to>
    <xdr:pic>
      <xdr:nvPicPr>
        <xdr:cNvPr id="2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282</xdr:row>
      <xdr:rowOff>0</xdr:rowOff>
    </xdr:from>
    <xdr:to>
      <xdr:col>25</xdr:col>
      <xdr:colOff>152400</xdr:colOff>
      <xdr:row>282</xdr:row>
      <xdr:rowOff>133350</xdr:rowOff>
    </xdr:to>
    <xdr:pic>
      <xdr:nvPicPr>
        <xdr:cNvPr id="2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283</xdr:row>
      <xdr:rowOff>0</xdr:rowOff>
    </xdr:from>
    <xdr:to>
      <xdr:col>25</xdr:col>
      <xdr:colOff>152400</xdr:colOff>
      <xdr:row>283</xdr:row>
      <xdr:rowOff>133350</xdr:rowOff>
    </xdr:to>
    <xdr:pic>
      <xdr:nvPicPr>
        <xdr:cNvPr id="2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284</xdr:row>
      <xdr:rowOff>0</xdr:rowOff>
    </xdr:from>
    <xdr:to>
      <xdr:col>25</xdr:col>
      <xdr:colOff>152400</xdr:colOff>
      <xdr:row>284</xdr:row>
      <xdr:rowOff>133350</xdr:rowOff>
    </xdr:to>
    <xdr:pic>
      <xdr:nvPicPr>
        <xdr:cNvPr id="2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285</xdr:row>
      <xdr:rowOff>0</xdr:rowOff>
    </xdr:from>
    <xdr:to>
      <xdr:col>25</xdr:col>
      <xdr:colOff>152400</xdr:colOff>
      <xdr:row>285</xdr:row>
      <xdr:rowOff>133350</xdr:rowOff>
    </xdr:to>
    <xdr:pic>
      <xdr:nvPicPr>
        <xdr:cNvPr id="2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286</xdr:row>
      <xdr:rowOff>0</xdr:rowOff>
    </xdr:from>
    <xdr:to>
      <xdr:col>25</xdr:col>
      <xdr:colOff>152400</xdr:colOff>
      <xdr:row>286</xdr:row>
      <xdr:rowOff>133350</xdr:rowOff>
    </xdr:to>
    <xdr:pic>
      <xdr:nvPicPr>
        <xdr:cNvPr id="2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287</xdr:row>
      <xdr:rowOff>0</xdr:rowOff>
    </xdr:from>
    <xdr:to>
      <xdr:col>25</xdr:col>
      <xdr:colOff>152400</xdr:colOff>
      <xdr:row>287</xdr:row>
      <xdr:rowOff>133350</xdr:rowOff>
    </xdr:to>
    <xdr:pic>
      <xdr:nvPicPr>
        <xdr:cNvPr id="2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288</xdr:row>
      <xdr:rowOff>0</xdr:rowOff>
    </xdr:from>
    <xdr:to>
      <xdr:col>25</xdr:col>
      <xdr:colOff>152400</xdr:colOff>
      <xdr:row>288</xdr:row>
      <xdr:rowOff>133350</xdr:rowOff>
    </xdr:to>
    <xdr:pic>
      <xdr:nvPicPr>
        <xdr:cNvPr id="2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289</xdr:row>
      <xdr:rowOff>0</xdr:rowOff>
    </xdr:from>
    <xdr:to>
      <xdr:col>25</xdr:col>
      <xdr:colOff>152400</xdr:colOff>
      <xdr:row>289</xdr:row>
      <xdr:rowOff>133350</xdr:rowOff>
    </xdr:to>
    <xdr:pic>
      <xdr:nvPicPr>
        <xdr:cNvPr id="2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290</xdr:row>
      <xdr:rowOff>0</xdr:rowOff>
    </xdr:from>
    <xdr:to>
      <xdr:col>25</xdr:col>
      <xdr:colOff>152400</xdr:colOff>
      <xdr:row>290</xdr:row>
      <xdr:rowOff>133350</xdr:rowOff>
    </xdr:to>
    <xdr:pic>
      <xdr:nvPicPr>
        <xdr:cNvPr id="2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291</xdr:row>
      <xdr:rowOff>0</xdr:rowOff>
    </xdr:from>
    <xdr:to>
      <xdr:col>25</xdr:col>
      <xdr:colOff>152400</xdr:colOff>
      <xdr:row>291</xdr:row>
      <xdr:rowOff>133350</xdr:rowOff>
    </xdr:to>
    <xdr:pic>
      <xdr:nvPicPr>
        <xdr:cNvPr id="2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292</xdr:row>
      <xdr:rowOff>0</xdr:rowOff>
    </xdr:from>
    <xdr:to>
      <xdr:col>25</xdr:col>
      <xdr:colOff>152400</xdr:colOff>
      <xdr:row>292</xdr:row>
      <xdr:rowOff>133350</xdr:rowOff>
    </xdr:to>
    <xdr:pic>
      <xdr:nvPicPr>
        <xdr:cNvPr id="2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293</xdr:row>
      <xdr:rowOff>0</xdr:rowOff>
    </xdr:from>
    <xdr:to>
      <xdr:col>25</xdr:col>
      <xdr:colOff>152400</xdr:colOff>
      <xdr:row>293</xdr:row>
      <xdr:rowOff>133350</xdr:rowOff>
    </xdr:to>
    <xdr:pic>
      <xdr:nvPicPr>
        <xdr:cNvPr id="2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294</xdr:row>
      <xdr:rowOff>0</xdr:rowOff>
    </xdr:from>
    <xdr:to>
      <xdr:col>25</xdr:col>
      <xdr:colOff>152400</xdr:colOff>
      <xdr:row>294</xdr:row>
      <xdr:rowOff>133350</xdr:rowOff>
    </xdr:to>
    <xdr:pic>
      <xdr:nvPicPr>
        <xdr:cNvPr id="2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295</xdr:row>
      <xdr:rowOff>0</xdr:rowOff>
    </xdr:from>
    <xdr:to>
      <xdr:col>25</xdr:col>
      <xdr:colOff>152400</xdr:colOff>
      <xdr:row>295</xdr:row>
      <xdr:rowOff>133350</xdr:rowOff>
    </xdr:to>
    <xdr:pic>
      <xdr:nvPicPr>
        <xdr:cNvPr id="2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296</xdr:row>
      <xdr:rowOff>0</xdr:rowOff>
    </xdr:from>
    <xdr:to>
      <xdr:col>25</xdr:col>
      <xdr:colOff>152400</xdr:colOff>
      <xdr:row>296</xdr:row>
      <xdr:rowOff>133350</xdr:rowOff>
    </xdr:to>
    <xdr:pic>
      <xdr:nvPicPr>
        <xdr:cNvPr id="2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297</xdr:row>
      <xdr:rowOff>0</xdr:rowOff>
    </xdr:from>
    <xdr:to>
      <xdr:col>25</xdr:col>
      <xdr:colOff>152400</xdr:colOff>
      <xdr:row>297</xdr:row>
      <xdr:rowOff>133350</xdr:rowOff>
    </xdr:to>
    <xdr:pic>
      <xdr:nvPicPr>
        <xdr:cNvPr id="2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298</xdr:row>
      <xdr:rowOff>0</xdr:rowOff>
    </xdr:from>
    <xdr:to>
      <xdr:col>25</xdr:col>
      <xdr:colOff>152400</xdr:colOff>
      <xdr:row>298</xdr:row>
      <xdr:rowOff>133350</xdr:rowOff>
    </xdr:to>
    <xdr:pic>
      <xdr:nvPicPr>
        <xdr:cNvPr id="2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299</xdr:row>
      <xdr:rowOff>0</xdr:rowOff>
    </xdr:from>
    <xdr:to>
      <xdr:col>25</xdr:col>
      <xdr:colOff>152400</xdr:colOff>
      <xdr:row>299</xdr:row>
      <xdr:rowOff>133350</xdr:rowOff>
    </xdr:to>
    <xdr:pic>
      <xdr:nvPicPr>
        <xdr:cNvPr id="2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300</xdr:row>
      <xdr:rowOff>0</xdr:rowOff>
    </xdr:from>
    <xdr:to>
      <xdr:col>25</xdr:col>
      <xdr:colOff>152400</xdr:colOff>
      <xdr:row>300</xdr:row>
      <xdr:rowOff>133350</xdr:rowOff>
    </xdr:to>
    <xdr:pic>
      <xdr:nvPicPr>
        <xdr:cNvPr id="2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301</xdr:row>
      <xdr:rowOff>0</xdr:rowOff>
    </xdr:from>
    <xdr:to>
      <xdr:col>25</xdr:col>
      <xdr:colOff>152400</xdr:colOff>
      <xdr:row>301</xdr:row>
      <xdr:rowOff>133350</xdr:rowOff>
    </xdr:to>
    <xdr:pic>
      <xdr:nvPicPr>
        <xdr:cNvPr id="2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302</xdr:row>
      <xdr:rowOff>0</xdr:rowOff>
    </xdr:from>
    <xdr:to>
      <xdr:col>25</xdr:col>
      <xdr:colOff>152400</xdr:colOff>
      <xdr:row>302</xdr:row>
      <xdr:rowOff>133350</xdr:rowOff>
    </xdr:to>
    <xdr:pic>
      <xdr:nvPicPr>
        <xdr:cNvPr id="2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303</xdr:row>
      <xdr:rowOff>0</xdr:rowOff>
    </xdr:from>
    <xdr:to>
      <xdr:col>25</xdr:col>
      <xdr:colOff>152400</xdr:colOff>
      <xdr:row>303</xdr:row>
      <xdr:rowOff>133350</xdr:rowOff>
    </xdr:to>
    <xdr:pic>
      <xdr:nvPicPr>
        <xdr:cNvPr id="2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304</xdr:row>
      <xdr:rowOff>0</xdr:rowOff>
    </xdr:from>
    <xdr:to>
      <xdr:col>25</xdr:col>
      <xdr:colOff>152400</xdr:colOff>
      <xdr:row>304</xdr:row>
      <xdr:rowOff>133350</xdr:rowOff>
    </xdr:to>
    <xdr:pic>
      <xdr:nvPicPr>
        <xdr:cNvPr id="2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305</xdr:row>
      <xdr:rowOff>0</xdr:rowOff>
    </xdr:from>
    <xdr:to>
      <xdr:col>25</xdr:col>
      <xdr:colOff>152400</xdr:colOff>
      <xdr:row>305</xdr:row>
      <xdr:rowOff>133350</xdr:rowOff>
    </xdr:to>
    <xdr:pic>
      <xdr:nvPicPr>
        <xdr:cNvPr id="2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306</xdr:row>
      <xdr:rowOff>0</xdr:rowOff>
    </xdr:from>
    <xdr:to>
      <xdr:col>25</xdr:col>
      <xdr:colOff>152400</xdr:colOff>
      <xdr:row>306</xdr:row>
      <xdr:rowOff>133350</xdr:rowOff>
    </xdr:to>
    <xdr:pic>
      <xdr:nvPicPr>
        <xdr:cNvPr id="2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307</xdr:row>
      <xdr:rowOff>0</xdr:rowOff>
    </xdr:from>
    <xdr:to>
      <xdr:col>25</xdr:col>
      <xdr:colOff>152400</xdr:colOff>
      <xdr:row>307</xdr:row>
      <xdr:rowOff>133350</xdr:rowOff>
    </xdr:to>
    <xdr:pic>
      <xdr:nvPicPr>
        <xdr:cNvPr id="2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308</xdr:row>
      <xdr:rowOff>0</xdr:rowOff>
    </xdr:from>
    <xdr:to>
      <xdr:col>25</xdr:col>
      <xdr:colOff>152400</xdr:colOff>
      <xdr:row>308</xdr:row>
      <xdr:rowOff>133350</xdr:rowOff>
    </xdr:to>
    <xdr:pic>
      <xdr:nvPicPr>
        <xdr:cNvPr id="2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309</xdr:row>
      <xdr:rowOff>0</xdr:rowOff>
    </xdr:from>
    <xdr:to>
      <xdr:col>25</xdr:col>
      <xdr:colOff>152400</xdr:colOff>
      <xdr:row>309</xdr:row>
      <xdr:rowOff>133350</xdr:rowOff>
    </xdr:to>
    <xdr:pic>
      <xdr:nvPicPr>
        <xdr:cNvPr id="2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310</xdr:row>
      <xdr:rowOff>0</xdr:rowOff>
    </xdr:from>
    <xdr:to>
      <xdr:col>25</xdr:col>
      <xdr:colOff>152400</xdr:colOff>
      <xdr:row>310</xdr:row>
      <xdr:rowOff>133350</xdr:rowOff>
    </xdr:to>
    <xdr:pic>
      <xdr:nvPicPr>
        <xdr:cNvPr id="2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311</xdr:row>
      <xdr:rowOff>0</xdr:rowOff>
    </xdr:from>
    <xdr:to>
      <xdr:col>25</xdr:col>
      <xdr:colOff>152400</xdr:colOff>
      <xdr:row>311</xdr:row>
      <xdr:rowOff>133350</xdr:rowOff>
    </xdr:to>
    <xdr:pic>
      <xdr:nvPicPr>
        <xdr:cNvPr id="2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312</xdr:row>
      <xdr:rowOff>0</xdr:rowOff>
    </xdr:from>
    <xdr:to>
      <xdr:col>25</xdr:col>
      <xdr:colOff>152400</xdr:colOff>
      <xdr:row>312</xdr:row>
      <xdr:rowOff>133350</xdr:rowOff>
    </xdr:to>
    <xdr:pic>
      <xdr:nvPicPr>
        <xdr:cNvPr id="2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313</xdr:row>
      <xdr:rowOff>0</xdr:rowOff>
    </xdr:from>
    <xdr:to>
      <xdr:col>25</xdr:col>
      <xdr:colOff>152400</xdr:colOff>
      <xdr:row>313</xdr:row>
      <xdr:rowOff>133350</xdr:rowOff>
    </xdr:to>
    <xdr:pic>
      <xdr:nvPicPr>
        <xdr:cNvPr id="2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314</xdr:row>
      <xdr:rowOff>0</xdr:rowOff>
    </xdr:from>
    <xdr:to>
      <xdr:col>25</xdr:col>
      <xdr:colOff>152400</xdr:colOff>
      <xdr:row>314</xdr:row>
      <xdr:rowOff>133350</xdr:rowOff>
    </xdr:to>
    <xdr:pic>
      <xdr:nvPicPr>
        <xdr:cNvPr id="2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315</xdr:row>
      <xdr:rowOff>0</xdr:rowOff>
    </xdr:from>
    <xdr:to>
      <xdr:col>25</xdr:col>
      <xdr:colOff>152400</xdr:colOff>
      <xdr:row>315</xdr:row>
      <xdr:rowOff>133350</xdr:rowOff>
    </xdr:to>
    <xdr:pic>
      <xdr:nvPicPr>
        <xdr:cNvPr id="2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316</xdr:row>
      <xdr:rowOff>0</xdr:rowOff>
    </xdr:from>
    <xdr:to>
      <xdr:col>25</xdr:col>
      <xdr:colOff>152400</xdr:colOff>
      <xdr:row>316</xdr:row>
      <xdr:rowOff>133350</xdr:rowOff>
    </xdr:to>
    <xdr:pic>
      <xdr:nvPicPr>
        <xdr:cNvPr id="2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317</xdr:row>
      <xdr:rowOff>0</xdr:rowOff>
    </xdr:from>
    <xdr:to>
      <xdr:col>25</xdr:col>
      <xdr:colOff>152400</xdr:colOff>
      <xdr:row>317</xdr:row>
      <xdr:rowOff>133350</xdr:rowOff>
    </xdr:to>
    <xdr:pic>
      <xdr:nvPicPr>
        <xdr:cNvPr id="2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318</xdr:row>
      <xdr:rowOff>0</xdr:rowOff>
    </xdr:from>
    <xdr:to>
      <xdr:col>25</xdr:col>
      <xdr:colOff>152400</xdr:colOff>
      <xdr:row>318</xdr:row>
      <xdr:rowOff>133350</xdr:rowOff>
    </xdr:to>
    <xdr:pic>
      <xdr:nvPicPr>
        <xdr:cNvPr id="2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319</xdr:row>
      <xdr:rowOff>0</xdr:rowOff>
    </xdr:from>
    <xdr:to>
      <xdr:col>25</xdr:col>
      <xdr:colOff>152400</xdr:colOff>
      <xdr:row>319</xdr:row>
      <xdr:rowOff>133350</xdr:rowOff>
    </xdr:to>
    <xdr:pic>
      <xdr:nvPicPr>
        <xdr:cNvPr id="2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320</xdr:row>
      <xdr:rowOff>0</xdr:rowOff>
    </xdr:from>
    <xdr:to>
      <xdr:col>25</xdr:col>
      <xdr:colOff>152400</xdr:colOff>
      <xdr:row>320</xdr:row>
      <xdr:rowOff>133350</xdr:rowOff>
    </xdr:to>
    <xdr:pic>
      <xdr:nvPicPr>
        <xdr:cNvPr id="2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321</xdr:row>
      <xdr:rowOff>0</xdr:rowOff>
    </xdr:from>
    <xdr:to>
      <xdr:col>25</xdr:col>
      <xdr:colOff>152400</xdr:colOff>
      <xdr:row>321</xdr:row>
      <xdr:rowOff>133350</xdr:rowOff>
    </xdr:to>
    <xdr:pic>
      <xdr:nvPicPr>
        <xdr:cNvPr id="2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322</xdr:row>
      <xdr:rowOff>0</xdr:rowOff>
    </xdr:from>
    <xdr:to>
      <xdr:col>25</xdr:col>
      <xdr:colOff>152400</xdr:colOff>
      <xdr:row>322</xdr:row>
      <xdr:rowOff>133350</xdr:rowOff>
    </xdr:to>
    <xdr:pic>
      <xdr:nvPicPr>
        <xdr:cNvPr id="2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323</xdr:row>
      <xdr:rowOff>0</xdr:rowOff>
    </xdr:from>
    <xdr:to>
      <xdr:col>25</xdr:col>
      <xdr:colOff>152400</xdr:colOff>
      <xdr:row>323</xdr:row>
      <xdr:rowOff>133350</xdr:rowOff>
    </xdr:to>
    <xdr:pic>
      <xdr:nvPicPr>
        <xdr:cNvPr id="2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324</xdr:row>
      <xdr:rowOff>0</xdr:rowOff>
    </xdr:from>
    <xdr:to>
      <xdr:col>25</xdr:col>
      <xdr:colOff>152400</xdr:colOff>
      <xdr:row>324</xdr:row>
      <xdr:rowOff>133350</xdr:rowOff>
    </xdr:to>
    <xdr:pic>
      <xdr:nvPicPr>
        <xdr:cNvPr id="2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325</xdr:row>
      <xdr:rowOff>0</xdr:rowOff>
    </xdr:from>
    <xdr:to>
      <xdr:col>25</xdr:col>
      <xdr:colOff>152400</xdr:colOff>
      <xdr:row>325</xdr:row>
      <xdr:rowOff>133350</xdr:rowOff>
    </xdr:to>
    <xdr:pic>
      <xdr:nvPicPr>
        <xdr:cNvPr id="2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326</xdr:row>
      <xdr:rowOff>0</xdr:rowOff>
    </xdr:from>
    <xdr:to>
      <xdr:col>25</xdr:col>
      <xdr:colOff>152400</xdr:colOff>
      <xdr:row>326</xdr:row>
      <xdr:rowOff>133350</xdr:rowOff>
    </xdr:to>
    <xdr:pic>
      <xdr:nvPicPr>
        <xdr:cNvPr id="2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327</xdr:row>
      <xdr:rowOff>0</xdr:rowOff>
    </xdr:from>
    <xdr:to>
      <xdr:col>25</xdr:col>
      <xdr:colOff>152400</xdr:colOff>
      <xdr:row>327</xdr:row>
      <xdr:rowOff>133350</xdr:rowOff>
    </xdr:to>
    <xdr:pic>
      <xdr:nvPicPr>
        <xdr:cNvPr id="2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328</xdr:row>
      <xdr:rowOff>0</xdr:rowOff>
    </xdr:from>
    <xdr:to>
      <xdr:col>25</xdr:col>
      <xdr:colOff>152400</xdr:colOff>
      <xdr:row>328</xdr:row>
      <xdr:rowOff>133350</xdr:rowOff>
    </xdr:to>
    <xdr:pic>
      <xdr:nvPicPr>
        <xdr:cNvPr id="2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329</xdr:row>
      <xdr:rowOff>0</xdr:rowOff>
    </xdr:from>
    <xdr:to>
      <xdr:col>25</xdr:col>
      <xdr:colOff>152400</xdr:colOff>
      <xdr:row>329</xdr:row>
      <xdr:rowOff>133350</xdr:rowOff>
    </xdr:to>
    <xdr:pic>
      <xdr:nvPicPr>
        <xdr:cNvPr id="2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330</xdr:row>
      <xdr:rowOff>0</xdr:rowOff>
    </xdr:from>
    <xdr:to>
      <xdr:col>25</xdr:col>
      <xdr:colOff>152400</xdr:colOff>
      <xdr:row>330</xdr:row>
      <xdr:rowOff>133350</xdr:rowOff>
    </xdr:to>
    <xdr:pic>
      <xdr:nvPicPr>
        <xdr:cNvPr id="2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334</xdr:row>
      <xdr:rowOff>0</xdr:rowOff>
    </xdr:from>
    <xdr:to>
      <xdr:col>25</xdr:col>
      <xdr:colOff>152400</xdr:colOff>
      <xdr:row>334</xdr:row>
      <xdr:rowOff>133350</xdr:rowOff>
    </xdr:to>
    <xdr:pic>
      <xdr:nvPicPr>
        <xdr:cNvPr id="2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335</xdr:row>
      <xdr:rowOff>0</xdr:rowOff>
    </xdr:from>
    <xdr:to>
      <xdr:col>25</xdr:col>
      <xdr:colOff>152400</xdr:colOff>
      <xdr:row>335</xdr:row>
      <xdr:rowOff>133350</xdr:rowOff>
    </xdr:to>
    <xdr:pic>
      <xdr:nvPicPr>
        <xdr:cNvPr id="2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336</xdr:row>
      <xdr:rowOff>0</xdr:rowOff>
    </xdr:from>
    <xdr:to>
      <xdr:col>25</xdr:col>
      <xdr:colOff>152400</xdr:colOff>
      <xdr:row>336</xdr:row>
      <xdr:rowOff>133350</xdr:rowOff>
    </xdr:to>
    <xdr:pic>
      <xdr:nvPicPr>
        <xdr:cNvPr id="2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337</xdr:row>
      <xdr:rowOff>0</xdr:rowOff>
    </xdr:from>
    <xdr:to>
      <xdr:col>25</xdr:col>
      <xdr:colOff>152400</xdr:colOff>
      <xdr:row>337</xdr:row>
      <xdr:rowOff>133350</xdr:rowOff>
    </xdr:to>
    <xdr:pic>
      <xdr:nvPicPr>
        <xdr:cNvPr id="2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338</xdr:row>
      <xdr:rowOff>0</xdr:rowOff>
    </xdr:from>
    <xdr:to>
      <xdr:col>25</xdr:col>
      <xdr:colOff>152400</xdr:colOff>
      <xdr:row>338</xdr:row>
      <xdr:rowOff>133350</xdr:rowOff>
    </xdr:to>
    <xdr:pic>
      <xdr:nvPicPr>
        <xdr:cNvPr id="2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339</xdr:row>
      <xdr:rowOff>0</xdr:rowOff>
    </xdr:from>
    <xdr:to>
      <xdr:col>25</xdr:col>
      <xdr:colOff>152400</xdr:colOff>
      <xdr:row>339</xdr:row>
      <xdr:rowOff>133350</xdr:rowOff>
    </xdr:to>
    <xdr:pic>
      <xdr:nvPicPr>
        <xdr:cNvPr id="2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340</xdr:row>
      <xdr:rowOff>0</xdr:rowOff>
    </xdr:from>
    <xdr:to>
      <xdr:col>25</xdr:col>
      <xdr:colOff>152400</xdr:colOff>
      <xdr:row>340</xdr:row>
      <xdr:rowOff>133350</xdr:rowOff>
    </xdr:to>
    <xdr:pic>
      <xdr:nvPicPr>
        <xdr:cNvPr id="2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341</xdr:row>
      <xdr:rowOff>0</xdr:rowOff>
    </xdr:from>
    <xdr:to>
      <xdr:col>25</xdr:col>
      <xdr:colOff>152400</xdr:colOff>
      <xdr:row>341</xdr:row>
      <xdr:rowOff>133350</xdr:rowOff>
    </xdr:to>
    <xdr:pic>
      <xdr:nvPicPr>
        <xdr:cNvPr id="2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342</xdr:row>
      <xdr:rowOff>0</xdr:rowOff>
    </xdr:from>
    <xdr:to>
      <xdr:col>25</xdr:col>
      <xdr:colOff>152400</xdr:colOff>
      <xdr:row>342</xdr:row>
      <xdr:rowOff>133350</xdr:rowOff>
    </xdr:to>
    <xdr:pic>
      <xdr:nvPicPr>
        <xdr:cNvPr id="2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343</xdr:row>
      <xdr:rowOff>0</xdr:rowOff>
    </xdr:from>
    <xdr:to>
      <xdr:col>25</xdr:col>
      <xdr:colOff>152400</xdr:colOff>
      <xdr:row>343</xdr:row>
      <xdr:rowOff>133350</xdr:rowOff>
    </xdr:to>
    <xdr:pic>
      <xdr:nvPicPr>
        <xdr:cNvPr id="2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344</xdr:row>
      <xdr:rowOff>0</xdr:rowOff>
    </xdr:from>
    <xdr:to>
      <xdr:col>25</xdr:col>
      <xdr:colOff>152400</xdr:colOff>
      <xdr:row>344</xdr:row>
      <xdr:rowOff>133350</xdr:rowOff>
    </xdr:to>
    <xdr:pic>
      <xdr:nvPicPr>
        <xdr:cNvPr id="2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345</xdr:row>
      <xdr:rowOff>0</xdr:rowOff>
    </xdr:from>
    <xdr:to>
      <xdr:col>25</xdr:col>
      <xdr:colOff>152400</xdr:colOff>
      <xdr:row>345</xdr:row>
      <xdr:rowOff>133350</xdr:rowOff>
    </xdr:to>
    <xdr:pic>
      <xdr:nvPicPr>
        <xdr:cNvPr id="2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346</xdr:row>
      <xdr:rowOff>0</xdr:rowOff>
    </xdr:from>
    <xdr:to>
      <xdr:col>25</xdr:col>
      <xdr:colOff>152400</xdr:colOff>
      <xdr:row>346</xdr:row>
      <xdr:rowOff>133350</xdr:rowOff>
    </xdr:to>
    <xdr:pic>
      <xdr:nvPicPr>
        <xdr:cNvPr id="2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347</xdr:row>
      <xdr:rowOff>0</xdr:rowOff>
    </xdr:from>
    <xdr:to>
      <xdr:col>25</xdr:col>
      <xdr:colOff>152400</xdr:colOff>
      <xdr:row>347</xdr:row>
      <xdr:rowOff>133350</xdr:rowOff>
    </xdr:to>
    <xdr:pic>
      <xdr:nvPicPr>
        <xdr:cNvPr id="2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348</xdr:row>
      <xdr:rowOff>0</xdr:rowOff>
    </xdr:from>
    <xdr:to>
      <xdr:col>25</xdr:col>
      <xdr:colOff>152400</xdr:colOff>
      <xdr:row>348</xdr:row>
      <xdr:rowOff>133350</xdr:rowOff>
    </xdr:to>
    <xdr:pic>
      <xdr:nvPicPr>
        <xdr:cNvPr id="2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349</xdr:row>
      <xdr:rowOff>0</xdr:rowOff>
    </xdr:from>
    <xdr:to>
      <xdr:col>25</xdr:col>
      <xdr:colOff>152400</xdr:colOff>
      <xdr:row>349</xdr:row>
      <xdr:rowOff>133350</xdr:rowOff>
    </xdr:to>
    <xdr:pic>
      <xdr:nvPicPr>
        <xdr:cNvPr id="2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350</xdr:row>
      <xdr:rowOff>0</xdr:rowOff>
    </xdr:from>
    <xdr:to>
      <xdr:col>25</xdr:col>
      <xdr:colOff>152400</xdr:colOff>
      <xdr:row>350</xdr:row>
      <xdr:rowOff>133350</xdr:rowOff>
    </xdr:to>
    <xdr:pic>
      <xdr:nvPicPr>
        <xdr:cNvPr id="2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351</xdr:row>
      <xdr:rowOff>0</xdr:rowOff>
    </xdr:from>
    <xdr:to>
      <xdr:col>25</xdr:col>
      <xdr:colOff>152400</xdr:colOff>
      <xdr:row>351</xdr:row>
      <xdr:rowOff>133350</xdr:rowOff>
    </xdr:to>
    <xdr:pic>
      <xdr:nvPicPr>
        <xdr:cNvPr id="2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352</xdr:row>
      <xdr:rowOff>0</xdr:rowOff>
    </xdr:from>
    <xdr:to>
      <xdr:col>25</xdr:col>
      <xdr:colOff>152400</xdr:colOff>
      <xdr:row>352</xdr:row>
      <xdr:rowOff>133350</xdr:rowOff>
    </xdr:to>
    <xdr:pic>
      <xdr:nvPicPr>
        <xdr:cNvPr id="2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353</xdr:row>
      <xdr:rowOff>0</xdr:rowOff>
    </xdr:from>
    <xdr:to>
      <xdr:col>25</xdr:col>
      <xdr:colOff>152400</xdr:colOff>
      <xdr:row>353</xdr:row>
      <xdr:rowOff>133350</xdr:rowOff>
    </xdr:to>
    <xdr:pic>
      <xdr:nvPicPr>
        <xdr:cNvPr id="2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354</xdr:row>
      <xdr:rowOff>0</xdr:rowOff>
    </xdr:from>
    <xdr:to>
      <xdr:col>25</xdr:col>
      <xdr:colOff>152400</xdr:colOff>
      <xdr:row>354</xdr:row>
      <xdr:rowOff>133350</xdr:rowOff>
    </xdr:to>
    <xdr:pic>
      <xdr:nvPicPr>
        <xdr:cNvPr id="2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355</xdr:row>
      <xdr:rowOff>0</xdr:rowOff>
    </xdr:from>
    <xdr:to>
      <xdr:col>25</xdr:col>
      <xdr:colOff>152400</xdr:colOff>
      <xdr:row>355</xdr:row>
      <xdr:rowOff>133350</xdr:rowOff>
    </xdr:to>
    <xdr:pic>
      <xdr:nvPicPr>
        <xdr:cNvPr id="2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356</xdr:row>
      <xdr:rowOff>0</xdr:rowOff>
    </xdr:from>
    <xdr:to>
      <xdr:col>25</xdr:col>
      <xdr:colOff>152400</xdr:colOff>
      <xdr:row>356</xdr:row>
      <xdr:rowOff>133350</xdr:rowOff>
    </xdr:to>
    <xdr:pic>
      <xdr:nvPicPr>
        <xdr:cNvPr id="2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357</xdr:row>
      <xdr:rowOff>0</xdr:rowOff>
    </xdr:from>
    <xdr:to>
      <xdr:col>25</xdr:col>
      <xdr:colOff>152400</xdr:colOff>
      <xdr:row>357</xdr:row>
      <xdr:rowOff>133350</xdr:rowOff>
    </xdr:to>
    <xdr:pic>
      <xdr:nvPicPr>
        <xdr:cNvPr id="2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358</xdr:row>
      <xdr:rowOff>0</xdr:rowOff>
    </xdr:from>
    <xdr:to>
      <xdr:col>25</xdr:col>
      <xdr:colOff>152400</xdr:colOff>
      <xdr:row>358</xdr:row>
      <xdr:rowOff>133350</xdr:rowOff>
    </xdr:to>
    <xdr:pic>
      <xdr:nvPicPr>
        <xdr:cNvPr id="2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359</xdr:row>
      <xdr:rowOff>0</xdr:rowOff>
    </xdr:from>
    <xdr:to>
      <xdr:col>25</xdr:col>
      <xdr:colOff>152400</xdr:colOff>
      <xdr:row>359</xdr:row>
      <xdr:rowOff>133350</xdr:rowOff>
    </xdr:to>
    <xdr:pic>
      <xdr:nvPicPr>
        <xdr:cNvPr id="2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360</xdr:row>
      <xdr:rowOff>0</xdr:rowOff>
    </xdr:from>
    <xdr:to>
      <xdr:col>25</xdr:col>
      <xdr:colOff>152400</xdr:colOff>
      <xdr:row>360</xdr:row>
      <xdr:rowOff>133350</xdr:rowOff>
    </xdr:to>
    <xdr:pic>
      <xdr:nvPicPr>
        <xdr:cNvPr id="2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361</xdr:row>
      <xdr:rowOff>0</xdr:rowOff>
    </xdr:from>
    <xdr:to>
      <xdr:col>25</xdr:col>
      <xdr:colOff>152400</xdr:colOff>
      <xdr:row>361</xdr:row>
      <xdr:rowOff>133350</xdr:rowOff>
    </xdr:to>
    <xdr:pic>
      <xdr:nvPicPr>
        <xdr:cNvPr id="2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362</xdr:row>
      <xdr:rowOff>0</xdr:rowOff>
    </xdr:from>
    <xdr:to>
      <xdr:col>25</xdr:col>
      <xdr:colOff>152400</xdr:colOff>
      <xdr:row>362</xdr:row>
      <xdr:rowOff>133350</xdr:rowOff>
    </xdr:to>
    <xdr:pic>
      <xdr:nvPicPr>
        <xdr:cNvPr id="2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363</xdr:row>
      <xdr:rowOff>0</xdr:rowOff>
    </xdr:from>
    <xdr:to>
      <xdr:col>25</xdr:col>
      <xdr:colOff>152400</xdr:colOff>
      <xdr:row>363</xdr:row>
      <xdr:rowOff>133350</xdr:rowOff>
    </xdr:to>
    <xdr:pic>
      <xdr:nvPicPr>
        <xdr:cNvPr id="2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364</xdr:row>
      <xdr:rowOff>0</xdr:rowOff>
    </xdr:from>
    <xdr:to>
      <xdr:col>25</xdr:col>
      <xdr:colOff>152400</xdr:colOff>
      <xdr:row>364</xdr:row>
      <xdr:rowOff>133350</xdr:rowOff>
    </xdr:to>
    <xdr:pic>
      <xdr:nvPicPr>
        <xdr:cNvPr id="2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365</xdr:row>
      <xdr:rowOff>0</xdr:rowOff>
    </xdr:from>
    <xdr:to>
      <xdr:col>25</xdr:col>
      <xdr:colOff>152400</xdr:colOff>
      <xdr:row>365</xdr:row>
      <xdr:rowOff>133350</xdr:rowOff>
    </xdr:to>
    <xdr:pic>
      <xdr:nvPicPr>
        <xdr:cNvPr id="2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366</xdr:row>
      <xdr:rowOff>0</xdr:rowOff>
    </xdr:from>
    <xdr:to>
      <xdr:col>25</xdr:col>
      <xdr:colOff>152400</xdr:colOff>
      <xdr:row>366</xdr:row>
      <xdr:rowOff>133350</xdr:rowOff>
    </xdr:to>
    <xdr:pic>
      <xdr:nvPicPr>
        <xdr:cNvPr id="2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367</xdr:row>
      <xdr:rowOff>0</xdr:rowOff>
    </xdr:from>
    <xdr:to>
      <xdr:col>25</xdr:col>
      <xdr:colOff>152400</xdr:colOff>
      <xdr:row>367</xdr:row>
      <xdr:rowOff>133350</xdr:rowOff>
    </xdr:to>
    <xdr:pic>
      <xdr:nvPicPr>
        <xdr:cNvPr id="2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368</xdr:row>
      <xdr:rowOff>0</xdr:rowOff>
    </xdr:from>
    <xdr:to>
      <xdr:col>25</xdr:col>
      <xdr:colOff>152400</xdr:colOff>
      <xdr:row>368</xdr:row>
      <xdr:rowOff>133350</xdr:rowOff>
    </xdr:to>
    <xdr:pic>
      <xdr:nvPicPr>
        <xdr:cNvPr id="2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369</xdr:row>
      <xdr:rowOff>0</xdr:rowOff>
    </xdr:from>
    <xdr:to>
      <xdr:col>25</xdr:col>
      <xdr:colOff>152400</xdr:colOff>
      <xdr:row>369</xdr:row>
      <xdr:rowOff>133350</xdr:rowOff>
    </xdr:to>
    <xdr:pic>
      <xdr:nvPicPr>
        <xdr:cNvPr id="2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370</xdr:row>
      <xdr:rowOff>0</xdr:rowOff>
    </xdr:from>
    <xdr:to>
      <xdr:col>25</xdr:col>
      <xdr:colOff>152400</xdr:colOff>
      <xdr:row>370</xdr:row>
      <xdr:rowOff>133350</xdr:rowOff>
    </xdr:to>
    <xdr:pic>
      <xdr:nvPicPr>
        <xdr:cNvPr id="2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371</xdr:row>
      <xdr:rowOff>0</xdr:rowOff>
    </xdr:from>
    <xdr:to>
      <xdr:col>25</xdr:col>
      <xdr:colOff>152400</xdr:colOff>
      <xdr:row>371</xdr:row>
      <xdr:rowOff>133350</xdr:rowOff>
    </xdr:to>
    <xdr:pic>
      <xdr:nvPicPr>
        <xdr:cNvPr id="2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380</xdr:row>
      <xdr:rowOff>0</xdr:rowOff>
    </xdr:from>
    <xdr:to>
      <xdr:col>25</xdr:col>
      <xdr:colOff>152400</xdr:colOff>
      <xdr:row>380</xdr:row>
      <xdr:rowOff>133350</xdr:rowOff>
    </xdr:to>
    <xdr:pic>
      <xdr:nvPicPr>
        <xdr:cNvPr id="2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381</xdr:row>
      <xdr:rowOff>0</xdr:rowOff>
    </xdr:from>
    <xdr:to>
      <xdr:col>25</xdr:col>
      <xdr:colOff>152400</xdr:colOff>
      <xdr:row>381</xdr:row>
      <xdr:rowOff>133350</xdr:rowOff>
    </xdr:to>
    <xdr:pic>
      <xdr:nvPicPr>
        <xdr:cNvPr id="3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382</xdr:row>
      <xdr:rowOff>0</xdr:rowOff>
    </xdr:from>
    <xdr:to>
      <xdr:col>25</xdr:col>
      <xdr:colOff>152400</xdr:colOff>
      <xdr:row>382</xdr:row>
      <xdr:rowOff>133350</xdr:rowOff>
    </xdr:to>
    <xdr:pic>
      <xdr:nvPicPr>
        <xdr:cNvPr id="3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383</xdr:row>
      <xdr:rowOff>0</xdr:rowOff>
    </xdr:from>
    <xdr:to>
      <xdr:col>25</xdr:col>
      <xdr:colOff>152400</xdr:colOff>
      <xdr:row>383</xdr:row>
      <xdr:rowOff>133350</xdr:rowOff>
    </xdr:to>
    <xdr:pic>
      <xdr:nvPicPr>
        <xdr:cNvPr id="3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384</xdr:row>
      <xdr:rowOff>0</xdr:rowOff>
    </xdr:from>
    <xdr:to>
      <xdr:col>25</xdr:col>
      <xdr:colOff>152400</xdr:colOff>
      <xdr:row>384</xdr:row>
      <xdr:rowOff>133350</xdr:rowOff>
    </xdr:to>
    <xdr:pic>
      <xdr:nvPicPr>
        <xdr:cNvPr id="3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385</xdr:row>
      <xdr:rowOff>0</xdr:rowOff>
    </xdr:from>
    <xdr:to>
      <xdr:col>25</xdr:col>
      <xdr:colOff>152400</xdr:colOff>
      <xdr:row>385</xdr:row>
      <xdr:rowOff>133350</xdr:rowOff>
    </xdr:to>
    <xdr:pic>
      <xdr:nvPicPr>
        <xdr:cNvPr id="3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386</xdr:row>
      <xdr:rowOff>0</xdr:rowOff>
    </xdr:from>
    <xdr:to>
      <xdr:col>25</xdr:col>
      <xdr:colOff>152400</xdr:colOff>
      <xdr:row>386</xdr:row>
      <xdr:rowOff>133350</xdr:rowOff>
    </xdr:to>
    <xdr:pic>
      <xdr:nvPicPr>
        <xdr:cNvPr id="3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387</xdr:row>
      <xdr:rowOff>0</xdr:rowOff>
    </xdr:from>
    <xdr:to>
      <xdr:col>25</xdr:col>
      <xdr:colOff>152400</xdr:colOff>
      <xdr:row>387</xdr:row>
      <xdr:rowOff>133350</xdr:rowOff>
    </xdr:to>
    <xdr:pic>
      <xdr:nvPicPr>
        <xdr:cNvPr id="3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388</xdr:row>
      <xdr:rowOff>0</xdr:rowOff>
    </xdr:from>
    <xdr:to>
      <xdr:col>25</xdr:col>
      <xdr:colOff>152400</xdr:colOff>
      <xdr:row>388</xdr:row>
      <xdr:rowOff>133350</xdr:rowOff>
    </xdr:to>
    <xdr:pic>
      <xdr:nvPicPr>
        <xdr:cNvPr id="3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389</xdr:row>
      <xdr:rowOff>0</xdr:rowOff>
    </xdr:from>
    <xdr:to>
      <xdr:col>25</xdr:col>
      <xdr:colOff>152400</xdr:colOff>
      <xdr:row>389</xdr:row>
      <xdr:rowOff>133350</xdr:rowOff>
    </xdr:to>
    <xdr:pic>
      <xdr:nvPicPr>
        <xdr:cNvPr id="3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390</xdr:row>
      <xdr:rowOff>0</xdr:rowOff>
    </xdr:from>
    <xdr:to>
      <xdr:col>25</xdr:col>
      <xdr:colOff>152400</xdr:colOff>
      <xdr:row>390</xdr:row>
      <xdr:rowOff>133350</xdr:rowOff>
    </xdr:to>
    <xdr:pic>
      <xdr:nvPicPr>
        <xdr:cNvPr id="3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391</xdr:row>
      <xdr:rowOff>0</xdr:rowOff>
    </xdr:from>
    <xdr:to>
      <xdr:col>25</xdr:col>
      <xdr:colOff>152400</xdr:colOff>
      <xdr:row>391</xdr:row>
      <xdr:rowOff>133350</xdr:rowOff>
    </xdr:to>
    <xdr:pic>
      <xdr:nvPicPr>
        <xdr:cNvPr id="3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392</xdr:row>
      <xdr:rowOff>0</xdr:rowOff>
    </xdr:from>
    <xdr:to>
      <xdr:col>25</xdr:col>
      <xdr:colOff>152400</xdr:colOff>
      <xdr:row>392</xdr:row>
      <xdr:rowOff>133350</xdr:rowOff>
    </xdr:to>
    <xdr:pic>
      <xdr:nvPicPr>
        <xdr:cNvPr id="3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393</xdr:row>
      <xdr:rowOff>0</xdr:rowOff>
    </xdr:from>
    <xdr:to>
      <xdr:col>25</xdr:col>
      <xdr:colOff>152400</xdr:colOff>
      <xdr:row>393</xdr:row>
      <xdr:rowOff>133350</xdr:rowOff>
    </xdr:to>
    <xdr:pic>
      <xdr:nvPicPr>
        <xdr:cNvPr id="3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394</xdr:row>
      <xdr:rowOff>0</xdr:rowOff>
    </xdr:from>
    <xdr:to>
      <xdr:col>25</xdr:col>
      <xdr:colOff>152400</xdr:colOff>
      <xdr:row>394</xdr:row>
      <xdr:rowOff>133350</xdr:rowOff>
    </xdr:to>
    <xdr:pic>
      <xdr:nvPicPr>
        <xdr:cNvPr id="3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395</xdr:row>
      <xdr:rowOff>0</xdr:rowOff>
    </xdr:from>
    <xdr:to>
      <xdr:col>25</xdr:col>
      <xdr:colOff>152400</xdr:colOff>
      <xdr:row>395</xdr:row>
      <xdr:rowOff>133350</xdr:rowOff>
    </xdr:to>
    <xdr:pic>
      <xdr:nvPicPr>
        <xdr:cNvPr id="3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396</xdr:row>
      <xdr:rowOff>0</xdr:rowOff>
    </xdr:from>
    <xdr:to>
      <xdr:col>25</xdr:col>
      <xdr:colOff>152400</xdr:colOff>
      <xdr:row>396</xdr:row>
      <xdr:rowOff>133350</xdr:rowOff>
    </xdr:to>
    <xdr:pic>
      <xdr:nvPicPr>
        <xdr:cNvPr id="3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397</xdr:row>
      <xdr:rowOff>0</xdr:rowOff>
    </xdr:from>
    <xdr:to>
      <xdr:col>25</xdr:col>
      <xdr:colOff>152400</xdr:colOff>
      <xdr:row>397</xdr:row>
      <xdr:rowOff>133350</xdr:rowOff>
    </xdr:to>
    <xdr:pic>
      <xdr:nvPicPr>
        <xdr:cNvPr id="3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398</xdr:row>
      <xdr:rowOff>0</xdr:rowOff>
    </xdr:from>
    <xdr:to>
      <xdr:col>25</xdr:col>
      <xdr:colOff>152400</xdr:colOff>
      <xdr:row>398</xdr:row>
      <xdr:rowOff>133350</xdr:rowOff>
    </xdr:to>
    <xdr:pic>
      <xdr:nvPicPr>
        <xdr:cNvPr id="3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399</xdr:row>
      <xdr:rowOff>0</xdr:rowOff>
    </xdr:from>
    <xdr:to>
      <xdr:col>25</xdr:col>
      <xdr:colOff>152400</xdr:colOff>
      <xdr:row>399</xdr:row>
      <xdr:rowOff>133350</xdr:rowOff>
    </xdr:to>
    <xdr:pic>
      <xdr:nvPicPr>
        <xdr:cNvPr id="3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400</xdr:row>
      <xdr:rowOff>0</xdr:rowOff>
    </xdr:from>
    <xdr:to>
      <xdr:col>25</xdr:col>
      <xdr:colOff>152400</xdr:colOff>
      <xdr:row>400</xdr:row>
      <xdr:rowOff>133350</xdr:rowOff>
    </xdr:to>
    <xdr:pic>
      <xdr:nvPicPr>
        <xdr:cNvPr id="3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401</xdr:row>
      <xdr:rowOff>0</xdr:rowOff>
    </xdr:from>
    <xdr:to>
      <xdr:col>25</xdr:col>
      <xdr:colOff>152400</xdr:colOff>
      <xdr:row>401</xdr:row>
      <xdr:rowOff>133350</xdr:rowOff>
    </xdr:to>
    <xdr:pic>
      <xdr:nvPicPr>
        <xdr:cNvPr id="3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402</xdr:row>
      <xdr:rowOff>0</xdr:rowOff>
    </xdr:from>
    <xdr:to>
      <xdr:col>25</xdr:col>
      <xdr:colOff>152400</xdr:colOff>
      <xdr:row>402</xdr:row>
      <xdr:rowOff>133350</xdr:rowOff>
    </xdr:to>
    <xdr:pic>
      <xdr:nvPicPr>
        <xdr:cNvPr id="3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403</xdr:row>
      <xdr:rowOff>0</xdr:rowOff>
    </xdr:from>
    <xdr:to>
      <xdr:col>25</xdr:col>
      <xdr:colOff>152400</xdr:colOff>
      <xdr:row>403</xdr:row>
      <xdr:rowOff>133350</xdr:rowOff>
    </xdr:to>
    <xdr:pic>
      <xdr:nvPicPr>
        <xdr:cNvPr id="3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404</xdr:row>
      <xdr:rowOff>0</xdr:rowOff>
    </xdr:from>
    <xdr:to>
      <xdr:col>25</xdr:col>
      <xdr:colOff>152400</xdr:colOff>
      <xdr:row>404</xdr:row>
      <xdr:rowOff>133350</xdr:rowOff>
    </xdr:to>
    <xdr:pic>
      <xdr:nvPicPr>
        <xdr:cNvPr id="3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405</xdr:row>
      <xdr:rowOff>0</xdr:rowOff>
    </xdr:from>
    <xdr:to>
      <xdr:col>25</xdr:col>
      <xdr:colOff>152400</xdr:colOff>
      <xdr:row>405</xdr:row>
      <xdr:rowOff>133350</xdr:rowOff>
    </xdr:to>
    <xdr:pic>
      <xdr:nvPicPr>
        <xdr:cNvPr id="3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406</xdr:row>
      <xdr:rowOff>0</xdr:rowOff>
    </xdr:from>
    <xdr:to>
      <xdr:col>25</xdr:col>
      <xdr:colOff>152400</xdr:colOff>
      <xdr:row>406</xdr:row>
      <xdr:rowOff>133350</xdr:rowOff>
    </xdr:to>
    <xdr:pic>
      <xdr:nvPicPr>
        <xdr:cNvPr id="3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407</xdr:row>
      <xdr:rowOff>0</xdr:rowOff>
    </xdr:from>
    <xdr:to>
      <xdr:col>25</xdr:col>
      <xdr:colOff>152400</xdr:colOff>
      <xdr:row>407</xdr:row>
      <xdr:rowOff>133350</xdr:rowOff>
    </xdr:to>
    <xdr:pic>
      <xdr:nvPicPr>
        <xdr:cNvPr id="3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408</xdr:row>
      <xdr:rowOff>0</xdr:rowOff>
    </xdr:from>
    <xdr:to>
      <xdr:col>25</xdr:col>
      <xdr:colOff>152400</xdr:colOff>
      <xdr:row>408</xdr:row>
      <xdr:rowOff>133350</xdr:rowOff>
    </xdr:to>
    <xdr:pic>
      <xdr:nvPicPr>
        <xdr:cNvPr id="3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409</xdr:row>
      <xdr:rowOff>0</xdr:rowOff>
    </xdr:from>
    <xdr:to>
      <xdr:col>25</xdr:col>
      <xdr:colOff>152400</xdr:colOff>
      <xdr:row>409</xdr:row>
      <xdr:rowOff>133350</xdr:rowOff>
    </xdr:to>
    <xdr:pic>
      <xdr:nvPicPr>
        <xdr:cNvPr id="3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410</xdr:row>
      <xdr:rowOff>0</xdr:rowOff>
    </xdr:from>
    <xdr:to>
      <xdr:col>25</xdr:col>
      <xdr:colOff>152400</xdr:colOff>
      <xdr:row>410</xdr:row>
      <xdr:rowOff>133350</xdr:rowOff>
    </xdr:to>
    <xdr:pic>
      <xdr:nvPicPr>
        <xdr:cNvPr id="3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411</xdr:row>
      <xdr:rowOff>0</xdr:rowOff>
    </xdr:from>
    <xdr:to>
      <xdr:col>25</xdr:col>
      <xdr:colOff>152400</xdr:colOff>
      <xdr:row>411</xdr:row>
      <xdr:rowOff>133350</xdr:rowOff>
    </xdr:to>
    <xdr:pic>
      <xdr:nvPicPr>
        <xdr:cNvPr id="3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412</xdr:row>
      <xdr:rowOff>0</xdr:rowOff>
    </xdr:from>
    <xdr:to>
      <xdr:col>25</xdr:col>
      <xdr:colOff>152400</xdr:colOff>
      <xdr:row>412</xdr:row>
      <xdr:rowOff>133350</xdr:rowOff>
    </xdr:to>
    <xdr:pic>
      <xdr:nvPicPr>
        <xdr:cNvPr id="3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413</xdr:row>
      <xdr:rowOff>0</xdr:rowOff>
    </xdr:from>
    <xdr:to>
      <xdr:col>25</xdr:col>
      <xdr:colOff>152400</xdr:colOff>
      <xdr:row>413</xdr:row>
      <xdr:rowOff>133350</xdr:rowOff>
    </xdr:to>
    <xdr:pic>
      <xdr:nvPicPr>
        <xdr:cNvPr id="3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414</xdr:row>
      <xdr:rowOff>0</xdr:rowOff>
    </xdr:from>
    <xdr:to>
      <xdr:col>25</xdr:col>
      <xdr:colOff>152400</xdr:colOff>
      <xdr:row>414</xdr:row>
      <xdr:rowOff>133350</xdr:rowOff>
    </xdr:to>
    <xdr:pic>
      <xdr:nvPicPr>
        <xdr:cNvPr id="3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415</xdr:row>
      <xdr:rowOff>0</xdr:rowOff>
    </xdr:from>
    <xdr:to>
      <xdr:col>25</xdr:col>
      <xdr:colOff>152400</xdr:colOff>
      <xdr:row>415</xdr:row>
      <xdr:rowOff>133350</xdr:rowOff>
    </xdr:to>
    <xdr:pic>
      <xdr:nvPicPr>
        <xdr:cNvPr id="3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416</xdr:row>
      <xdr:rowOff>0</xdr:rowOff>
    </xdr:from>
    <xdr:to>
      <xdr:col>25</xdr:col>
      <xdr:colOff>152400</xdr:colOff>
      <xdr:row>416</xdr:row>
      <xdr:rowOff>133350</xdr:rowOff>
    </xdr:to>
    <xdr:pic>
      <xdr:nvPicPr>
        <xdr:cNvPr id="3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417</xdr:row>
      <xdr:rowOff>0</xdr:rowOff>
    </xdr:from>
    <xdr:to>
      <xdr:col>25</xdr:col>
      <xdr:colOff>152400</xdr:colOff>
      <xdr:row>417</xdr:row>
      <xdr:rowOff>133350</xdr:rowOff>
    </xdr:to>
    <xdr:pic>
      <xdr:nvPicPr>
        <xdr:cNvPr id="3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418</xdr:row>
      <xdr:rowOff>0</xdr:rowOff>
    </xdr:from>
    <xdr:to>
      <xdr:col>25</xdr:col>
      <xdr:colOff>152400</xdr:colOff>
      <xdr:row>418</xdr:row>
      <xdr:rowOff>133350</xdr:rowOff>
    </xdr:to>
    <xdr:pic>
      <xdr:nvPicPr>
        <xdr:cNvPr id="3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419</xdr:row>
      <xdr:rowOff>0</xdr:rowOff>
    </xdr:from>
    <xdr:to>
      <xdr:col>25</xdr:col>
      <xdr:colOff>152400</xdr:colOff>
      <xdr:row>419</xdr:row>
      <xdr:rowOff>133350</xdr:rowOff>
    </xdr:to>
    <xdr:pic>
      <xdr:nvPicPr>
        <xdr:cNvPr id="3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420</xdr:row>
      <xdr:rowOff>0</xdr:rowOff>
    </xdr:from>
    <xdr:to>
      <xdr:col>25</xdr:col>
      <xdr:colOff>152400</xdr:colOff>
      <xdr:row>420</xdr:row>
      <xdr:rowOff>133350</xdr:rowOff>
    </xdr:to>
    <xdr:pic>
      <xdr:nvPicPr>
        <xdr:cNvPr id="3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421</xdr:row>
      <xdr:rowOff>0</xdr:rowOff>
    </xdr:from>
    <xdr:to>
      <xdr:col>25</xdr:col>
      <xdr:colOff>152400</xdr:colOff>
      <xdr:row>421</xdr:row>
      <xdr:rowOff>133350</xdr:rowOff>
    </xdr:to>
    <xdr:pic>
      <xdr:nvPicPr>
        <xdr:cNvPr id="3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422</xdr:row>
      <xdr:rowOff>0</xdr:rowOff>
    </xdr:from>
    <xdr:to>
      <xdr:col>25</xdr:col>
      <xdr:colOff>152400</xdr:colOff>
      <xdr:row>422</xdr:row>
      <xdr:rowOff>133350</xdr:rowOff>
    </xdr:to>
    <xdr:pic>
      <xdr:nvPicPr>
        <xdr:cNvPr id="3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423</xdr:row>
      <xdr:rowOff>0</xdr:rowOff>
    </xdr:from>
    <xdr:to>
      <xdr:col>25</xdr:col>
      <xdr:colOff>152400</xdr:colOff>
      <xdr:row>423</xdr:row>
      <xdr:rowOff>133350</xdr:rowOff>
    </xdr:to>
    <xdr:pic>
      <xdr:nvPicPr>
        <xdr:cNvPr id="3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424</xdr:row>
      <xdr:rowOff>0</xdr:rowOff>
    </xdr:from>
    <xdr:to>
      <xdr:col>25</xdr:col>
      <xdr:colOff>152400</xdr:colOff>
      <xdr:row>424</xdr:row>
      <xdr:rowOff>133350</xdr:rowOff>
    </xdr:to>
    <xdr:pic>
      <xdr:nvPicPr>
        <xdr:cNvPr id="3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425</xdr:row>
      <xdr:rowOff>0</xdr:rowOff>
    </xdr:from>
    <xdr:to>
      <xdr:col>25</xdr:col>
      <xdr:colOff>152400</xdr:colOff>
      <xdr:row>425</xdr:row>
      <xdr:rowOff>133350</xdr:rowOff>
    </xdr:to>
    <xdr:pic>
      <xdr:nvPicPr>
        <xdr:cNvPr id="3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426</xdr:row>
      <xdr:rowOff>0</xdr:rowOff>
    </xdr:from>
    <xdr:to>
      <xdr:col>25</xdr:col>
      <xdr:colOff>152400</xdr:colOff>
      <xdr:row>426</xdr:row>
      <xdr:rowOff>133350</xdr:rowOff>
    </xdr:to>
    <xdr:pic>
      <xdr:nvPicPr>
        <xdr:cNvPr id="3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427</xdr:row>
      <xdr:rowOff>0</xdr:rowOff>
    </xdr:from>
    <xdr:to>
      <xdr:col>25</xdr:col>
      <xdr:colOff>152400</xdr:colOff>
      <xdr:row>427</xdr:row>
      <xdr:rowOff>133350</xdr:rowOff>
    </xdr:to>
    <xdr:pic>
      <xdr:nvPicPr>
        <xdr:cNvPr id="3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428</xdr:row>
      <xdr:rowOff>0</xdr:rowOff>
    </xdr:from>
    <xdr:to>
      <xdr:col>25</xdr:col>
      <xdr:colOff>152400</xdr:colOff>
      <xdr:row>428</xdr:row>
      <xdr:rowOff>133350</xdr:rowOff>
    </xdr:to>
    <xdr:pic>
      <xdr:nvPicPr>
        <xdr:cNvPr id="3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429</xdr:row>
      <xdr:rowOff>0</xdr:rowOff>
    </xdr:from>
    <xdr:to>
      <xdr:col>25</xdr:col>
      <xdr:colOff>152400</xdr:colOff>
      <xdr:row>429</xdr:row>
      <xdr:rowOff>133350</xdr:rowOff>
    </xdr:to>
    <xdr:pic>
      <xdr:nvPicPr>
        <xdr:cNvPr id="3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430</xdr:row>
      <xdr:rowOff>0</xdr:rowOff>
    </xdr:from>
    <xdr:to>
      <xdr:col>25</xdr:col>
      <xdr:colOff>152400</xdr:colOff>
      <xdr:row>430</xdr:row>
      <xdr:rowOff>133350</xdr:rowOff>
    </xdr:to>
    <xdr:pic>
      <xdr:nvPicPr>
        <xdr:cNvPr id="3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432</xdr:row>
      <xdr:rowOff>0</xdr:rowOff>
    </xdr:from>
    <xdr:to>
      <xdr:col>25</xdr:col>
      <xdr:colOff>152400</xdr:colOff>
      <xdr:row>432</xdr:row>
      <xdr:rowOff>133350</xdr:rowOff>
    </xdr:to>
    <xdr:pic>
      <xdr:nvPicPr>
        <xdr:cNvPr id="3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433</xdr:row>
      <xdr:rowOff>0</xdr:rowOff>
    </xdr:from>
    <xdr:to>
      <xdr:col>25</xdr:col>
      <xdr:colOff>152400</xdr:colOff>
      <xdr:row>433</xdr:row>
      <xdr:rowOff>133350</xdr:rowOff>
    </xdr:to>
    <xdr:pic>
      <xdr:nvPicPr>
        <xdr:cNvPr id="3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434</xdr:row>
      <xdr:rowOff>0</xdr:rowOff>
    </xdr:from>
    <xdr:to>
      <xdr:col>25</xdr:col>
      <xdr:colOff>152400</xdr:colOff>
      <xdr:row>434</xdr:row>
      <xdr:rowOff>133350</xdr:rowOff>
    </xdr:to>
    <xdr:pic>
      <xdr:nvPicPr>
        <xdr:cNvPr id="3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435</xdr:row>
      <xdr:rowOff>0</xdr:rowOff>
    </xdr:from>
    <xdr:to>
      <xdr:col>25</xdr:col>
      <xdr:colOff>152400</xdr:colOff>
      <xdr:row>435</xdr:row>
      <xdr:rowOff>133350</xdr:rowOff>
    </xdr:to>
    <xdr:pic>
      <xdr:nvPicPr>
        <xdr:cNvPr id="3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436</xdr:row>
      <xdr:rowOff>0</xdr:rowOff>
    </xdr:from>
    <xdr:to>
      <xdr:col>25</xdr:col>
      <xdr:colOff>152400</xdr:colOff>
      <xdr:row>436</xdr:row>
      <xdr:rowOff>133350</xdr:rowOff>
    </xdr:to>
    <xdr:pic>
      <xdr:nvPicPr>
        <xdr:cNvPr id="3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437</xdr:row>
      <xdr:rowOff>0</xdr:rowOff>
    </xdr:from>
    <xdr:to>
      <xdr:col>25</xdr:col>
      <xdr:colOff>152400</xdr:colOff>
      <xdr:row>437</xdr:row>
      <xdr:rowOff>133350</xdr:rowOff>
    </xdr:to>
    <xdr:pic>
      <xdr:nvPicPr>
        <xdr:cNvPr id="3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438</xdr:row>
      <xdr:rowOff>0</xdr:rowOff>
    </xdr:from>
    <xdr:to>
      <xdr:col>25</xdr:col>
      <xdr:colOff>152400</xdr:colOff>
      <xdr:row>438</xdr:row>
      <xdr:rowOff>133350</xdr:rowOff>
    </xdr:to>
    <xdr:pic>
      <xdr:nvPicPr>
        <xdr:cNvPr id="3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439</xdr:row>
      <xdr:rowOff>0</xdr:rowOff>
    </xdr:from>
    <xdr:to>
      <xdr:col>25</xdr:col>
      <xdr:colOff>152400</xdr:colOff>
      <xdr:row>439</xdr:row>
      <xdr:rowOff>133350</xdr:rowOff>
    </xdr:to>
    <xdr:pic>
      <xdr:nvPicPr>
        <xdr:cNvPr id="3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440</xdr:row>
      <xdr:rowOff>0</xdr:rowOff>
    </xdr:from>
    <xdr:to>
      <xdr:col>25</xdr:col>
      <xdr:colOff>152400</xdr:colOff>
      <xdr:row>440</xdr:row>
      <xdr:rowOff>133350</xdr:rowOff>
    </xdr:to>
    <xdr:pic>
      <xdr:nvPicPr>
        <xdr:cNvPr id="3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441</xdr:row>
      <xdr:rowOff>0</xdr:rowOff>
    </xdr:from>
    <xdr:to>
      <xdr:col>25</xdr:col>
      <xdr:colOff>152400</xdr:colOff>
      <xdr:row>441</xdr:row>
      <xdr:rowOff>133350</xdr:rowOff>
    </xdr:to>
    <xdr:pic>
      <xdr:nvPicPr>
        <xdr:cNvPr id="3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442</xdr:row>
      <xdr:rowOff>0</xdr:rowOff>
    </xdr:from>
    <xdr:to>
      <xdr:col>25</xdr:col>
      <xdr:colOff>152400</xdr:colOff>
      <xdr:row>442</xdr:row>
      <xdr:rowOff>133350</xdr:rowOff>
    </xdr:to>
    <xdr:pic>
      <xdr:nvPicPr>
        <xdr:cNvPr id="3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443</xdr:row>
      <xdr:rowOff>0</xdr:rowOff>
    </xdr:from>
    <xdr:to>
      <xdr:col>25</xdr:col>
      <xdr:colOff>152400</xdr:colOff>
      <xdr:row>443</xdr:row>
      <xdr:rowOff>133350</xdr:rowOff>
    </xdr:to>
    <xdr:pic>
      <xdr:nvPicPr>
        <xdr:cNvPr id="3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444</xdr:row>
      <xdr:rowOff>0</xdr:rowOff>
    </xdr:from>
    <xdr:to>
      <xdr:col>25</xdr:col>
      <xdr:colOff>152400</xdr:colOff>
      <xdr:row>444</xdr:row>
      <xdr:rowOff>133350</xdr:rowOff>
    </xdr:to>
    <xdr:pic>
      <xdr:nvPicPr>
        <xdr:cNvPr id="3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445</xdr:row>
      <xdr:rowOff>0</xdr:rowOff>
    </xdr:from>
    <xdr:to>
      <xdr:col>25</xdr:col>
      <xdr:colOff>152400</xdr:colOff>
      <xdr:row>445</xdr:row>
      <xdr:rowOff>133350</xdr:rowOff>
    </xdr:to>
    <xdr:pic>
      <xdr:nvPicPr>
        <xdr:cNvPr id="3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446</xdr:row>
      <xdr:rowOff>0</xdr:rowOff>
    </xdr:from>
    <xdr:to>
      <xdr:col>25</xdr:col>
      <xdr:colOff>152400</xdr:colOff>
      <xdr:row>446</xdr:row>
      <xdr:rowOff>133350</xdr:rowOff>
    </xdr:to>
    <xdr:pic>
      <xdr:nvPicPr>
        <xdr:cNvPr id="3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447</xdr:row>
      <xdr:rowOff>0</xdr:rowOff>
    </xdr:from>
    <xdr:to>
      <xdr:col>25</xdr:col>
      <xdr:colOff>152400</xdr:colOff>
      <xdr:row>447</xdr:row>
      <xdr:rowOff>133350</xdr:rowOff>
    </xdr:to>
    <xdr:pic>
      <xdr:nvPicPr>
        <xdr:cNvPr id="3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448</xdr:row>
      <xdr:rowOff>0</xdr:rowOff>
    </xdr:from>
    <xdr:to>
      <xdr:col>25</xdr:col>
      <xdr:colOff>152400</xdr:colOff>
      <xdr:row>448</xdr:row>
      <xdr:rowOff>133350</xdr:rowOff>
    </xdr:to>
    <xdr:pic>
      <xdr:nvPicPr>
        <xdr:cNvPr id="3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449</xdr:row>
      <xdr:rowOff>0</xdr:rowOff>
    </xdr:from>
    <xdr:to>
      <xdr:col>25</xdr:col>
      <xdr:colOff>152400</xdr:colOff>
      <xdr:row>449</xdr:row>
      <xdr:rowOff>133350</xdr:rowOff>
    </xdr:to>
    <xdr:pic>
      <xdr:nvPicPr>
        <xdr:cNvPr id="3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450</xdr:row>
      <xdr:rowOff>0</xdr:rowOff>
    </xdr:from>
    <xdr:to>
      <xdr:col>25</xdr:col>
      <xdr:colOff>152400</xdr:colOff>
      <xdr:row>450</xdr:row>
      <xdr:rowOff>133350</xdr:rowOff>
    </xdr:to>
    <xdr:pic>
      <xdr:nvPicPr>
        <xdr:cNvPr id="3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451</xdr:row>
      <xdr:rowOff>0</xdr:rowOff>
    </xdr:from>
    <xdr:to>
      <xdr:col>25</xdr:col>
      <xdr:colOff>152400</xdr:colOff>
      <xdr:row>451</xdr:row>
      <xdr:rowOff>133350</xdr:rowOff>
    </xdr:to>
    <xdr:pic>
      <xdr:nvPicPr>
        <xdr:cNvPr id="3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452</xdr:row>
      <xdr:rowOff>0</xdr:rowOff>
    </xdr:from>
    <xdr:to>
      <xdr:col>25</xdr:col>
      <xdr:colOff>152400</xdr:colOff>
      <xdr:row>452</xdr:row>
      <xdr:rowOff>133350</xdr:rowOff>
    </xdr:to>
    <xdr:pic>
      <xdr:nvPicPr>
        <xdr:cNvPr id="3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453</xdr:row>
      <xdr:rowOff>0</xdr:rowOff>
    </xdr:from>
    <xdr:to>
      <xdr:col>25</xdr:col>
      <xdr:colOff>152400</xdr:colOff>
      <xdr:row>453</xdr:row>
      <xdr:rowOff>133350</xdr:rowOff>
    </xdr:to>
    <xdr:pic>
      <xdr:nvPicPr>
        <xdr:cNvPr id="3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454</xdr:row>
      <xdr:rowOff>0</xdr:rowOff>
    </xdr:from>
    <xdr:to>
      <xdr:col>25</xdr:col>
      <xdr:colOff>152400</xdr:colOff>
      <xdr:row>454</xdr:row>
      <xdr:rowOff>133350</xdr:rowOff>
    </xdr:to>
    <xdr:pic>
      <xdr:nvPicPr>
        <xdr:cNvPr id="3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455</xdr:row>
      <xdr:rowOff>0</xdr:rowOff>
    </xdr:from>
    <xdr:to>
      <xdr:col>25</xdr:col>
      <xdr:colOff>152400</xdr:colOff>
      <xdr:row>455</xdr:row>
      <xdr:rowOff>133350</xdr:rowOff>
    </xdr:to>
    <xdr:pic>
      <xdr:nvPicPr>
        <xdr:cNvPr id="3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456</xdr:row>
      <xdr:rowOff>0</xdr:rowOff>
    </xdr:from>
    <xdr:to>
      <xdr:col>25</xdr:col>
      <xdr:colOff>152400</xdr:colOff>
      <xdr:row>456</xdr:row>
      <xdr:rowOff>133350</xdr:rowOff>
    </xdr:to>
    <xdr:pic>
      <xdr:nvPicPr>
        <xdr:cNvPr id="3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457</xdr:row>
      <xdr:rowOff>0</xdr:rowOff>
    </xdr:from>
    <xdr:to>
      <xdr:col>25</xdr:col>
      <xdr:colOff>152400</xdr:colOff>
      <xdr:row>457</xdr:row>
      <xdr:rowOff>133350</xdr:rowOff>
    </xdr:to>
    <xdr:pic>
      <xdr:nvPicPr>
        <xdr:cNvPr id="3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458</xdr:row>
      <xdr:rowOff>0</xdr:rowOff>
    </xdr:from>
    <xdr:to>
      <xdr:col>25</xdr:col>
      <xdr:colOff>152400</xdr:colOff>
      <xdr:row>458</xdr:row>
      <xdr:rowOff>133350</xdr:rowOff>
    </xdr:to>
    <xdr:pic>
      <xdr:nvPicPr>
        <xdr:cNvPr id="3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459</xdr:row>
      <xdr:rowOff>0</xdr:rowOff>
    </xdr:from>
    <xdr:to>
      <xdr:col>25</xdr:col>
      <xdr:colOff>152400</xdr:colOff>
      <xdr:row>459</xdr:row>
      <xdr:rowOff>133350</xdr:rowOff>
    </xdr:to>
    <xdr:pic>
      <xdr:nvPicPr>
        <xdr:cNvPr id="3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460</xdr:row>
      <xdr:rowOff>0</xdr:rowOff>
    </xdr:from>
    <xdr:to>
      <xdr:col>25</xdr:col>
      <xdr:colOff>152400</xdr:colOff>
      <xdr:row>460</xdr:row>
      <xdr:rowOff>133350</xdr:rowOff>
    </xdr:to>
    <xdr:pic>
      <xdr:nvPicPr>
        <xdr:cNvPr id="3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461</xdr:row>
      <xdr:rowOff>0</xdr:rowOff>
    </xdr:from>
    <xdr:to>
      <xdr:col>25</xdr:col>
      <xdr:colOff>152400</xdr:colOff>
      <xdr:row>461</xdr:row>
      <xdr:rowOff>133350</xdr:rowOff>
    </xdr:to>
    <xdr:pic>
      <xdr:nvPicPr>
        <xdr:cNvPr id="3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462</xdr:row>
      <xdr:rowOff>0</xdr:rowOff>
    </xdr:from>
    <xdr:to>
      <xdr:col>25</xdr:col>
      <xdr:colOff>152400</xdr:colOff>
      <xdr:row>462</xdr:row>
      <xdr:rowOff>133350</xdr:rowOff>
    </xdr:to>
    <xdr:pic>
      <xdr:nvPicPr>
        <xdr:cNvPr id="3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463</xdr:row>
      <xdr:rowOff>0</xdr:rowOff>
    </xdr:from>
    <xdr:to>
      <xdr:col>25</xdr:col>
      <xdr:colOff>152400</xdr:colOff>
      <xdr:row>463</xdr:row>
      <xdr:rowOff>133350</xdr:rowOff>
    </xdr:to>
    <xdr:pic>
      <xdr:nvPicPr>
        <xdr:cNvPr id="3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464</xdr:row>
      <xdr:rowOff>0</xdr:rowOff>
    </xdr:from>
    <xdr:to>
      <xdr:col>25</xdr:col>
      <xdr:colOff>152400</xdr:colOff>
      <xdr:row>464</xdr:row>
      <xdr:rowOff>133350</xdr:rowOff>
    </xdr:to>
    <xdr:pic>
      <xdr:nvPicPr>
        <xdr:cNvPr id="3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465</xdr:row>
      <xdr:rowOff>0</xdr:rowOff>
    </xdr:from>
    <xdr:to>
      <xdr:col>25</xdr:col>
      <xdr:colOff>152400</xdr:colOff>
      <xdr:row>465</xdr:row>
      <xdr:rowOff>133350</xdr:rowOff>
    </xdr:to>
    <xdr:pic>
      <xdr:nvPicPr>
        <xdr:cNvPr id="3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466</xdr:row>
      <xdr:rowOff>0</xdr:rowOff>
    </xdr:from>
    <xdr:to>
      <xdr:col>25</xdr:col>
      <xdr:colOff>152400</xdr:colOff>
      <xdr:row>466</xdr:row>
      <xdr:rowOff>133350</xdr:rowOff>
    </xdr:to>
    <xdr:pic>
      <xdr:nvPicPr>
        <xdr:cNvPr id="3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467</xdr:row>
      <xdr:rowOff>0</xdr:rowOff>
    </xdr:from>
    <xdr:to>
      <xdr:col>25</xdr:col>
      <xdr:colOff>152400</xdr:colOff>
      <xdr:row>467</xdr:row>
      <xdr:rowOff>133350</xdr:rowOff>
    </xdr:to>
    <xdr:pic>
      <xdr:nvPicPr>
        <xdr:cNvPr id="3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468</xdr:row>
      <xdr:rowOff>0</xdr:rowOff>
    </xdr:from>
    <xdr:to>
      <xdr:col>25</xdr:col>
      <xdr:colOff>152400</xdr:colOff>
      <xdr:row>468</xdr:row>
      <xdr:rowOff>133350</xdr:rowOff>
    </xdr:to>
    <xdr:pic>
      <xdr:nvPicPr>
        <xdr:cNvPr id="3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469</xdr:row>
      <xdr:rowOff>0</xdr:rowOff>
    </xdr:from>
    <xdr:to>
      <xdr:col>25</xdr:col>
      <xdr:colOff>152400</xdr:colOff>
      <xdr:row>469</xdr:row>
      <xdr:rowOff>133350</xdr:rowOff>
    </xdr:to>
    <xdr:pic>
      <xdr:nvPicPr>
        <xdr:cNvPr id="3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470</xdr:row>
      <xdr:rowOff>0</xdr:rowOff>
    </xdr:from>
    <xdr:to>
      <xdr:col>25</xdr:col>
      <xdr:colOff>152400</xdr:colOff>
      <xdr:row>470</xdr:row>
      <xdr:rowOff>133350</xdr:rowOff>
    </xdr:to>
    <xdr:pic>
      <xdr:nvPicPr>
        <xdr:cNvPr id="3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471</xdr:row>
      <xdr:rowOff>0</xdr:rowOff>
    </xdr:from>
    <xdr:to>
      <xdr:col>25</xdr:col>
      <xdr:colOff>152400</xdr:colOff>
      <xdr:row>471</xdr:row>
      <xdr:rowOff>133350</xdr:rowOff>
    </xdr:to>
    <xdr:pic>
      <xdr:nvPicPr>
        <xdr:cNvPr id="3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472</xdr:row>
      <xdr:rowOff>0</xdr:rowOff>
    </xdr:from>
    <xdr:to>
      <xdr:col>25</xdr:col>
      <xdr:colOff>152400</xdr:colOff>
      <xdr:row>472</xdr:row>
      <xdr:rowOff>133350</xdr:rowOff>
    </xdr:to>
    <xdr:pic>
      <xdr:nvPicPr>
        <xdr:cNvPr id="3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473</xdr:row>
      <xdr:rowOff>0</xdr:rowOff>
    </xdr:from>
    <xdr:to>
      <xdr:col>25</xdr:col>
      <xdr:colOff>152400</xdr:colOff>
      <xdr:row>473</xdr:row>
      <xdr:rowOff>133350</xdr:rowOff>
    </xdr:to>
    <xdr:pic>
      <xdr:nvPicPr>
        <xdr:cNvPr id="3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474</xdr:row>
      <xdr:rowOff>0</xdr:rowOff>
    </xdr:from>
    <xdr:to>
      <xdr:col>25</xdr:col>
      <xdr:colOff>152400</xdr:colOff>
      <xdr:row>474</xdr:row>
      <xdr:rowOff>133350</xdr:rowOff>
    </xdr:to>
    <xdr:pic>
      <xdr:nvPicPr>
        <xdr:cNvPr id="3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475</xdr:row>
      <xdr:rowOff>0</xdr:rowOff>
    </xdr:from>
    <xdr:to>
      <xdr:col>25</xdr:col>
      <xdr:colOff>152400</xdr:colOff>
      <xdr:row>475</xdr:row>
      <xdr:rowOff>133350</xdr:rowOff>
    </xdr:to>
    <xdr:pic>
      <xdr:nvPicPr>
        <xdr:cNvPr id="3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476</xdr:row>
      <xdr:rowOff>0</xdr:rowOff>
    </xdr:from>
    <xdr:to>
      <xdr:col>25</xdr:col>
      <xdr:colOff>152400</xdr:colOff>
      <xdr:row>476</xdr:row>
      <xdr:rowOff>133350</xdr:rowOff>
    </xdr:to>
    <xdr:pic>
      <xdr:nvPicPr>
        <xdr:cNvPr id="3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477</xdr:row>
      <xdr:rowOff>0</xdr:rowOff>
    </xdr:from>
    <xdr:to>
      <xdr:col>25</xdr:col>
      <xdr:colOff>152400</xdr:colOff>
      <xdr:row>477</xdr:row>
      <xdr:rowOff>133350</xdr:rowOff>
    </xdr:to>
    <xdr:pic>
      <xdr:nvPicPr>
        <xdr:cNvPr id="3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478</xdr:row>
      <xdr:rowOff>0</xdr:rowOff>
    </xdr:from>
    <xdr:to>
      <xdr:col>25</xdr:col>
      <xdr:colOff>152400</xdr:colOff>
      <xdr:row>478</xdr:row>
      <xdr:rowOff>133350</xdr:rowOff>
    </xdr:to>
    <xdr:pic>
      <xdr:nvPicPr>
        <xdr:cNvPr id="3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479</xdr:row>
      <xdr:rowOff>0</xdr:rowOff>
    </xdr:from>
    <xdr:to>
      <xdr:col>25</xdr:col>
      <xdr:colOff>152400</xdr:colOff>
      <xdr:row>479</xdr:row>
      <xdr:rowOff>133350</xdr:rowOff>
    </xdr:to>
    <xdr:pic>
      <xdr:nvPicPr>
        <xdr:cNvPr id="3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480</xdr:row>
      <xdr:rowOff>0</xdr:rowOff>
    </xdr:from>
    <xdr:to>
      <xdr:col>25</xdr:col>
      <xdr:colOff>152400</xdr:colOff>
      <xdr:row>480</xdr:row>
      <xdr:rowOff>133350</xdr:rowOff>
    </xdr:to>
    <xdr:pic>
      <xdr:nvPicPr>
        <xdr:cNvPr id="3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481</xdr:row>
      <xdr:rowOff>0</xdr:rowOff>
    </xdr:from>
    <xdr:to>
      <xdr:col>25</xdr:col>
      <xdr:colOff>152400</xdr:colOff>
      <xdr:row>481</xdr:row>
      <xdr:rowOff>133350</xdr:rowOff>
    </xdr:to>
    <xdr:pic>
      <xdr:nvPicPr>
        <xdr:cNvPr id="3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482</xdr:row>
      <xdr:rowOff>0</xdr:rowOff>
    </xdr:from>
    <xdr:to>
      <xdr:col>25</xdr:col>
      <xdr:colOff>152400</xdr:colOff>
      <xdr:row>482</xdr:row>
      <xdr:rowOff>133350</xdr:rowOff>
    </xdr:to>
    <xdr:pic>
      <xdr:nvPicPr>
        <xdr:cNvPr id="4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483</xdr:row>
      <xdr:rowOff>0</xdr:rowOff>
    </xdr:from>
    <xdr:to>
      <xdr:col>25</xdr:col>
      <xdr:colOff>152400</xdr:colOff>
      <xdr:row>483</xdr:row>
      <xdr:rowOff>133350</xdr:rowOff>
    </xdr:to>
    <xdr:pic>
      <xdr:nvPicPr>
        <xdr:cNvPr id="4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484</xdr:row>
      <xdr:rowOff>0</xdr:rowOff>
    </xdr:from>
    <xdr:to>
      <xdr:col>25</xdr:col>
      <xdr:colOff>152400</xdr:colOff>
      <xdr:row>484</xdr:row>
      <xdr:rowOff>133350</xdr:rowOff>
    </xdr:to>
    <xdr:pic>
      <xdr:nvPicPr>
        <xdr:cNvPr id="4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485</xdr:row>
      <xdr:rowOff>0</xdr:rowOff>
    </xdr:from>
    <xdr:to>
      <xdr:col>25</xdr:col>
      <xdr:colOff>152400</xdr:colOff>
      <xdr:row>485</xdr:row>
      <xdr:rowOff>133350</xdr:rowOff>
    </xdr:to>
    <xdr:pic>
      <xdr:nvPicPr>
        <xdr:cNvPr id="4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486</xdr:row>
      <xdr:rowOff>0</xdr:rowOff>
    </xdr:from>
    <xdr:to>
      <xdr:col>25</xdr:col>
      <xdr:colOff>152400</xdr:colOff>
      <xdr:row>486</xdr:row>
      <xdr:rowOff>133350</xdr:rowOff>
    </xdr:to>
    <xdr:pic>
      <xdr:nvPicPr>
        <xdr:cNvPr id="4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487</xdr:row>
      <xdr:rowOff>0</xdr:rowOff>
    </xdr:from>
    <xdr:to>
      <xdr:col>25</xdr:col>
      <xdr:colOff>152400</xdr:colOff>
      <xdr:row>487</xdr:row>
      <xdr:rowOff>133350</xdr:rowOff>
    </xdr:to>
    <xdr:pic>
      <xdr:nvPicPr>
        <xdr:cNvPr id="4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488</xdr:row>
      <xdr:rowOff>0</xdr:rowOff>
    </xdr:from>
    <xdr:to>
      <xdr:col>25</xdr:col>
      <xdr:colOff>152400</xdr:colOff>
      <xdr:row>488</xdr:row>
      <xdr:rowOff>133350</xdr:rowOff>
    </xdr:to>
    <xdr:pic>
      <xdr:nvPicPr>
        <xdr:cNvPr id="4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489</xdr:row>
      <xdr:rowOff>0</xdr:rowOff>
    </xdr:from>
    <xdr:to>
      <xdr:col>25</xdr:col>
      <xdr:colOff>152400</xdr:colOff>
      <xdr:row>489</xdr:row>
      <xdr:rowOff>133350</xdr:rowOff>
    </xdr:to>
    <xdr:pic>
      <xdr:nvPicPr>
        <xdr:cNvPr id="4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490</xdr:row>
      <xdr:rowOff>0</xdr:rowOff>
    </xdr:from>
    <xdr:to>
      <xdr:col>25</xdr:col>
      <xdr:colOff>152400</xdr:colOff>
      <xdr:row>490</xdr:row>
      <xdr:rowOff>133350</xdr:rowOff>
    </xdr:to>
    <xdr:pic>
      <xdr:nvPicPr>
        <xdr:cNvPr id="4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491</xdr:row>
      <xdr:rowOff>0</xdr:rowOff>
    </xdr:from>
    <xdr:to>
      <xdr:col>25</xdr:col>
      <xdr:colOff>152400</xdr:colOff>
      <xdr:row>491</xdr:row>
      <xdr:rowOff>133350</xdr:rowOff>
    </xdr:to>
    <xdr:pic>
      <xdr:nvPicPr>
        <xdr:cNvPr id="4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492</xdr:row>
      <xdr:rowOff>0</xdr:rowOff>
    </xdr:from>
    <xdr:to>
      <xdr:col>25</xdr:col>
      <xdr:colOff>152400</xdr:colOff>
      <xdr:row>492</xdr:row>
      <xdr:rowOff>133350</xdr:rowOff>
    </xdr:to>
    <xdr:pic>
      <xdr:nvPicPr>
        <xdr:cNvPr id="4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493</xdr:row>
      <xdr:rowOff>0</xdr:rowOff>
    </xdr:from>
    <xdr:to>
      <xdr:col>25</xdr:col>
      <xdr:colOff>152400</xdr:colOff>
      <xdr:row>493</xdr:row>
      <xdr:rowOff>133350</xdr:rowOff>
    </xdr:to>
    <xdr:pic>
      <xdr:nvPicPr>
        <xdr:cNvPr id="4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494</xdr:row>
      <xdr:rowOff>0</xdr:rowOff>
    </xdr:from>
    <xdr:to>
      <xdr:col>25</xdr:col>
      <xdr:colOff>152400</xdr:colOff>
      <xdr:row>494</xdr:row>
      <xdr:rowOff>133350</xdr:rowOff>
    </xdr:to>
    <xdr:pic>
      <xdr:nvPicPr>
        <xdr:cNvPr id="4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495</xdr:row>
      <xdr:rowOff>0</xdr:rowOff>
    </xdr:from>
    <xdr:to>
      <xdr:col>25</xdr:col>
      <xdr:colOff>152400</xdr:colOff>
      <xdr:row>495</xdr:row>
      <xdr:rowOff>133350</xdr:rowOff>
    </xdr:to>
    <xdr:pic>
      <xdr:nvPicPr>
        <xdr:cNvPr id="4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496</xdr:row>
      <xdr:rowOff>0</xdr:rowOff>
    </xdr:from>
    <xdr:to>
      <xdr:col>25</xdr:col>
      <xdr:colOff>152400</xdr:colOff>
      <xdr:row>496</xdr:row>
      <xdr:rowOff>133350</xdr:rowOff>
    </xdr:to>
    <xdr:pic>
      <xdr:nvPicPr>
        <xdr:cNvPr id="4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497</xdr:row>
      <xdr:rowOff>0</xdr:rowOff>
    </xdr:from>
    <xdr:to>
      <xdr:col>25</xdr:col>
      <xdr:colOff>152400</xdr:colOff>
      <xdr:row>497</xdr:row>
      <xdr:rowOff>133350</xdr:rowOff>
    </xdr:to>
    <xdr:pic>
      <xdr:nvPicPr>
        <xdr:cNvPr id="4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498</xdr:row>
      <xdr:rowOff>0</xdr:rowOff>
    </xdr:from>
    <xdr:to>
      <xdr:col>25</xdr:col>
      <xdr:colOff>152400</xdr:colOff>
      <xdr:row>498</xdr:row>
      <xdr:rowOff>133350</xdr:rowOff>
    </xdr:to>
    <xdr:pic>
      <xdr:nvPicPr>
        <xdr:cNvPr id="4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499</xdr:row>
      <xdr:rowOff>0</xdr:rowOff>
    </xdr:from>
    <xdr:to>
      <xdr:col>25</xdr:col>
      <xdr:colOff>152400</xdr:colOff>
      <xdr:row>499</xdr:row>
      <xdr:rowOff>133350</xdr:rowOff>
    </xdr:to>
    <xdr:pic>
      <xdr:nvPicPr>
        <xdr:cNvPr id="4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500</xdr:row>
      <xdr:rowOff>0</xdr:rowOff>
    </xdr:from>
    <xdr:to>
      <xdr:col>25</xdr:col>
      <xdr:colOff>152400</xdr:colOff>
      <xdr:row>500</xdr:row>
      <xdr:rowOff>133350</xdr:rowOff>
    </xdr:to>
    <xdr:pic>
      <xdr:nvPicPr>
        <xdr:cNvPr id="4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501</xdr:row>
      <xdr:rowOff>0</xdr:rowOff>
    </xdr:from>
    <xdr:to>
      <xdr:col>25</xdr:col>
      <xdr:colOff>152400</xdr:colOff>
      <xdr:row>501</xdr:row>
      <xdr:rowOff>133350</xdr:rowOff>
    </xdr:to>
    <xdr:pic>
      <xdr:nvPicPr>
        <xdr:cNvPr id="4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502</xdr:row>
      <xdr:rowOff>0</xdr:rowOff>
    </xdr:from>
    <xdr:to>
      <xdr:col>25</xdr:col>
      <xdr:colOff>152400</xdr:colOff>
      <xdr:row>502</xdr:row>
      <xdr:rowOff>133350</xdr:rowOff>
    </xdr:to>
    <xdr:pic>
      <xdr:nvPicPr>
        <xdr:cNvPr id="4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503</xdr:row>
      <xdr:rowOff>0</xdr:rowOff>
    </xdr:from>
    <xdr:to>
      <xdr:col>25</xdr:col>
      <xdr:colOff>152400</xdr:colOff>
      <xdr:row>503</xdr:row>
      <xdr:rowOff>133350</xdr:rowOff>
    </xdr:to>
    <xdr:pic>
      <xdr:nvPicPr>
        <xdr:cNvPr id="4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504</xdr:row>
      <xdr:rowOff>0</xdr:rowOff>
    </xdr:from>
    <xdr:to>
      <xdr:col>25</xdr:col>
      <xdr:colOff>152400</xdr:colOff>
      <xdr:row>504</xdr:row>
      <xdr:rowOff>133350</xdr:rowOff>
    </xdr:to>
    <xdr:pic>
      <xdr:nvPicPr>
        <xdr:cNvPr id="4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505</xdr:row>
      <xdr:rowOff>0</xdr:rowOff>
    </xdr:from>
    <xdr:to>
      <xdr:col>25</xdr:col>
      <xdr:colOff>152400</xdr:colOff>
      <xdr:row>505</xdr:row>
      <xdr:rowOff>133350</xdr:rowOff>
    </xdr:to>
    <xdr:pic>
      <xdr:nvPicPr>
        <xdr:cNvPr id="4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506</xdr:row>
      <xdr:rowOff>0</xdr:rowOff>
    </xdr:from>
    <xdr:to>
      <xdr:col>25</xdr:col>
      <xdr:colOff>152400</xdr:colOff>
      <xdr:row>506</xdr:row>
      <xdr:rowOff>133350</xdr:rowOff>
    </xdr:to>
    <xdr:pic>
      <xdr:nvPicPr>
        <xdr:cNvPr id="4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507</xdr:row>
      <xdr:rowOff>0</xdr:rowOff>
    </xdr:from>
    <xdr:to>
      <xdr:col>25</xdr:col>
      <xdr:colOff>152400</xdr:colOff>
      <xdr:row>507</xdr:row>
      <xdr:rowOff>133350</xdr:rowOff>
    </xdr:to>
    <xdr:pic>
      <xdr:nvPicPr>
        <xdr:cNvPr id="4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508</xdr:row>
      <xdr:rowOff>0</xdr:rowOff>
    </xdr:from>
    <xdr:to>
      <xdr:col>25</xdr:col>
      <xdr:colOff>152400</xdr:colOff>
      <xdr:row>508</xdr:row>
      <xdr:rowOff>133350</xdr:rowOff>
    </xdr:to>
    <xdr:pic>
      <xdr:nvPicPr>
        <xdr:cNvPr id="4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509</xdr:row>
      <xdr:rowOff>0</xdr:rowOff>
    </xdr:from>
    <xdr:to>
      <xdr:col>25</xdr:col>
      <xdr:colOff>152400</xdr:colOff>
      <xdr:row>509</xdr:row>
      <xdr:rowOff>133350</xdr:rowOff>
    </xdr:to>
    <xdr:pic>
      <xdr:nvPicPr>
        <xdr:cNvPr id="4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510</xdr:row>
      <xdr:rowOff>0</xdr:rowOff>
    </xdr:from>
    <xdr:to>
      <xdr:col>25</xdr:col>
      <xdr:colOff>152400</xdr:colOff>
      <xdr:row>510</xdr:row>
      <xdr:rowOff>133350</xdr:rowOff>
    </xdr:to>
    <xdr:pic>
      <xdr:nvPicPr>
        <xdr:cNvPr id="4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511</xdr:row>
      <xdr:rowOff>0</xdr:rowOff>
    </xdr:from>
    <xdr:to>
      <xdr:col>25</xdr:col>
      <xdr:colOff>152400</xdr:colOff>
      <xdr:row>511</xdr:row>
      <xdr:rowOff>133350</xdr:rowOff>
    </xdr:to>
    <xdr:pic>
      <xdr:nvPicPr>
        <xdr:cNvPr id="4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512</xdr:row>
      <xdr:rowOff>0</xdr:rowOff>
    </xdr:from>
    <xdr:to>
      <xdr:col>25</xdr:col>
      <xdr:colOff>152400</xdr:colOff>
      <xdr:row>512</xdr:row>
      <xdr:rowOff>133350</xdr:rowOff>
    </xdr:to>
    <xdr:pic>
      <xdr:nvPicPr>
        <xdr:cNvPr id="4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513</xdr:row>
      <xdr:rowOff>0</xdr:rowOff>
    </xdr:from>
    <xdr:to>
      <xdr:col>25</xdr:col>
      <xdr:colOff>152400</xdr:colOff>
      <xdr:row>513</xdr:row>
      <xdr:rowOff>133350</xdr:rowOff>
    </xdr:to>
    <xdr:pic>
      <xdr:nvPicPr>
        <xdr:cNvPr id="4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514</xdr:row>
      <xdr:rowOff>0</xdr:rowOff>
    </xdr:from>
    <xdr:to>
      <xdr:col>25</xdr:col>
      <xdr:colOff>152400</xdr:colOff>
      <xdr:row>514</xdr:row>
      <xdr:rowOff>133350</xdr:rowOff>
    </xdr:to>
    <xdr:pic>
      <xdr:nvPicPr>
        <xdr:cNvPr id="4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515</xdr:row>
      <xdr:rowOff>0</xdr:rowOff>
    </xdr:from>
    <xdr:to>
      <xdr:col>25</xdr:col>
      <xdr:colOff>152400</xdr:colOff>
      <xdr:row>515</xdr:row>
      <xdr:rowOff>133350</xdr:rowOff>
    </xdr:to>
    <xdr:pic>
      <xdr:nvPicPr>
        <xdr:cNvPr id="4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516</xdr:row>
      <xdr:rowOff>0</xdr:rowOff>
    </xdr:from>
    <xdr:to>
      <xdr:col>25</xdr:col>
      <xdr:colOff>152400</xdr:colOff>
      <xdr:row>516</xdr:row>
      <xdr:rowOff>133350</xdr:rowOff>
    </xdr:to>
    <xdr:pic>
      <xdr:nvPicPr>
        <xdr:cNvPr id="4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517</xdr:row>
      <xdr:rowOff>0</xdr:rowOff>
    </xdr:from>
    <xdr:to>
      <xdr:col>25</xdr:col>
      <xdr:colOff>152400</xdr:colOff>
      <xdr:row>517</xdr:row>
      <xdr:rowOff>133350</xdr:rowOff>
    </xdr:to>
    <xdr:pic>
      <xdr:nvPicPr>
        <xdr:cNvPr id="4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518</xdr:row>
      <xdr:rowOff>0</xdr:rowOff>
    </xdr:from>
    <xdr:to>
      <xdr:col>25</xdr:col>
      <xdr:colOff>152400</xdr:colOff>
      <xdr:row>518</xdr:row>
      <xdr:rowOff>133350</xdr:rowOff>
    </xdr:to>
    <xdr:pic>
      <xdr:nvPicPr>
        <xdr:cNvPr id="4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519</xdr:row>
      <xdr:rowOff>0</xdr:rowOff>
    </xdr:from>
    <xdr:to>
      <xdr:col>25</xdr:col>
      <xdr:colOff>152400</xdr:colOff>
      <xdr:row>519</xdr:row>
      <xdr:rowOff>133350</xdr:rowOff>
    </xdr:to>
    <xdr:pic>
      <xdr:nvPicPr>
        <xdr:cNvPr id="4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520</xdr:row>
      <xdr:rowOff>0</xdr:rowOff>
    </xdr:from>
    <xdr:to>
      <xdr:col>25</xdr:col>
      <xdr:colOff>152400</xdr:colOff>
      <xdr:row>520</xdr:row>
      <xdr:rowOff>133350</xdr:rowOff>
    </xdr:to>
    <xdr:pic>
      <xdr:nvPicPr>
        <xdr:cNvPr id="4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521</xdr:row>
      <xdr:rowOff>0</xdr:rowOff>
    </xdr:from>
    <xdr:to>
      <xdr:col>25</xdr:col>
      <xdr:colOff>152400</xdr:colOff>
      <xdr:row>521</xdr:row>
      <xdr:rowOff>133350</xdr:rowOff>
    </xdr:to>
    <xdr:pic>
      <xdr:nvPicPr>
        <xdr:cNvPr id="4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522</xdr:row>
      <xdr:rowOff>0</xdr:rowOff>
    </xdr:from>
    <xdr:to>
      <xdr:col>25</xdr:col>
      <xdr:colOff>152400</xdr:colOff>
      <xdr:row>522</xdr:row>
      <xdr:rowOff>133350</xdr:rowOff>
    </xdr:to>
    <xdr:pic>
      <xdr:nvPicPr>
        <xdr:cNvPr id="4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523</xdr:row>
      <xdr:rowOff>0</xdr:rowOff>
    </xdr:from>
    <xdr:to>
      <xdr:col>25</xdr:col>
      <xdr:colOff>152400</xdr:colOff>
      <xdr:row>523</xdr:row>
      <xdr:rowOff>133350</xdr:rowOff>
    </xdr:to>
    <xdr:pic>
      <xdr:nvPicPr>
        <xdr:cNvPr id="4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524</xdr:row>
      <xdr:rowOff>0</xdr:rowOff>
    </xdr:from>
    <xdr:to>
      <xdr:col>25</xdr:col>
      <xdr:colOff>152400</xdr:colOff>
      <xdr:row>524</xdr:row>
      <xdr:rowOff>133350</xdr:rowOff>
    </xdr:to>
    <xdr:pic>
      <xdr:nvPicPr>
        <xdr:cNvPr id="4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525</xdr:row>
      <xdr:rowOff>0</xdr:rowOff>
    </xdr:from>
    <xdr:to>
      <xdr:col>25</xdr:col>
      <xdr:colOff>152400</xdr:colOff>
      <xdr:row>525</xdr:row>
      <xdr:rowOff>133350</xdr:rowOff>
    </xdr:to>
    <xdr:pic>
      <xdr:nvPicPr>
        <xdr:cNvPr id="4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526</xdr:row>
      <xdr:rowOff>0</xdr:rowOff>
    </xdr:from>
    <xdr:to>
      <xdr:col>25</xdr:col>
      <xdr:colOff>152400</xdr:colOff>
      <xdr:row>526</xdr:row>
      <xdr:rowOff>133350</xdr:rowOff>
    </xdr:to>
    <xdr:pic>
      <xdr:nvPicPr>
        <xdr:cNvPr id="4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527</xdr:row>
      <xdr:rowOff>0</xdr:rowOff>
    </xdr:from>
    <xdr:to>
      <xdr:col>25</xdr:col>
      <xdr:colOff>152400</xdr:colOff>
      <xdr:row>527</xdr:row>
      <xdr:rowOff>133350</xdr:rowOff>
    </xdr:to>
    <xdr:pic>
      <xdr:nvPicPr>
        <xdr:cNvPr id="4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528</xdr:row>
      <xdr:rowOff>0</xdr:rowOff>
    </xdr:from>
    <xdr:to>
      <xdr:col>25</xdr:col>
      <xdr:colOff>152400</xdr:colOff>
      <xdr:row>528</xdr:row>
      <xdr:rowOff>133350</xdr:rowOff>
    </xdr:to>
    <xdr:pic>
      <xdr:nvPicPr>
        <xdr:cNvPr id="4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529</xdr:row>
      <xdr:rowOff>0</xdr:rowOff>
    </xdr:from>
    <xdr:to>
      <xdr:col>25</xdr:col>
      <xdr:colOff>152400</xdr:colOff>
      <xdr:row>529</xdr:row>
      <xdr:rowOff>133350</xdr:rowOff>
    </xdr:to>
    <xdr:pic>
      <xdr:nvPicPr>
        <xdr:cNvPr id="4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530</xdr:row>
      <xdr:rowOff>0</xdr:rowOff>
    </xdr:from>
    <xdr:to>
      <xdr:col>25</xdr:col>
      <xdr:colOff>152400</xdr:colOff>
      <xdr:row>530</xdr:row>
      <xdr:rowOff>133350</xdr:rowOff>
    </xdr:to>
    <xdr:pic>
      <xdr:nvPicPr>
        <xdr:cNvPr id="4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531</xdr:row>
      <xdr:rowOff>0</xdr:rowOff>
    </xdr:from>
    <xdr:to>
      <xdr:col>25</xdr:col>
      <xdr:colOff>152400</xdr:colOff>
      <xdr:row>531</xdr:row>
      <xdr:rowOff>133350</xdr:rowOff>
    </xdr:to>
    <xdr:pic>
      <xdr:nvPicPr>
        <xdr:cNvPr id="4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532</xdr:row>
      <xdr:rowOff>0</xdr:rowOff>
    </xdr:from>
    <xdr:to>
      <xdr:col>25</xdr:col>
      <xdr:colOff>152400</xdr:colOff>
      <xdr:row>532</xdr:row>
      <xdr:rowOff>133350</xdr:rowOff>
    </xdr:to>
    <xdr:pic>
      <xdr:nvPicPr>
        <xdr:cNvPr id="4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533</xdr:row>
      <xdr:rowOff>0</xdr:rowOff>
    </xdr:from>
    <xdr:to>
      <xdr:col>25</xdr:col>
      <xdr:colOff>152400</xdr:colOff>
      <xdr:row>533</xdr:row>
      <xdr:rowOff>133350</xdr:rowOff>
    </xdr:to>
    <xdr:pic>
      <xdr:nvPicPr>
        <xdr:cNvPr id="4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534</xdr:row>
      <xdr:rowOff>0</xdr:rowOff>
    </xdr:from>
    <xdr:to>
      <xdr:col>25</xdr:col>
      <xdr:colOff>152400</xdr:colOff>
      <xdr:row>534</xdr:row>
      <xdr:rowOff>133350</xdr:rowOff>
    </xdr:to>
    <xdr:pic>
      <xdr:nvPicPr>
        <xdr:cNvPr id="4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535</xdr:row>
      <xdr:rowOff>0</xdr:rowOff>
    </xdr:from>
    <xdr:to>
      <xdr:col>25</xdr:col>
      <xdr:colOff>152400</xdr:colOff>
      <xdr:row>535</xdr:row>
      <xdr:rowOff>133350</xdr:rowOff>
    </xdr:to>
    <xdr:pic>
      <xdr:nvPicPr>
        <xdr:cNvPr id="4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536</xdr:row>
      <xdr:rowOff>0</xdr:rowOff>
    </xdr:from>
    <xdr:to>
      <xdr:col>25</xdr:col>
      <xdr:colOff>152400</xdr:colOff>
      <xdr:row>536</xdr:row>
      <xdr:rowOff>133350</xdr:rowOff>
    </xdr:to>
    <xdr:pic>
      <xdr:nvPicPr>
        <xdr:cNvPr id="4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537</xdr:row>
      <xdr:rowOff>0</xdr:rowOff>
    </xdr:from>
    <xdr:to>
      <xdr:col>25</xdr:col>
      <xdr:colOff>152400</xdr:colOff>
      <xdr:row>537</xdr:row>
      <xdr:rowOff>133350</xdr:rowOff>
    </xdr:to>
    <xdr:pic>
      <xdr:nvPicPr>
        <xdr:cNvPr id="4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538</xdr:row>
      <xdr:rowOff>0</xdr:rowOff>
    </xdr:from>
    <xdr:to>
      <xdr:col>25</xdr:col>
      <xdr:colOff>152400</xdr:colOff>
      <xdr:row>538</xdr:row>
      <xdr:rowOff>133350</xdr:rowOff>
    </xdr:to>
    <xdr:pic>
      <xdr:nvPicPr>
        <xdr:cNvPr id="4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539</xdr:row>
      <xdr:rowOff>0</xdr:rowOff>
    </xdr:from>
    <xdr:to>
      <xdr:col>25</xdr:col>
      <xdr:colOff>152400</xdr:colOff>
      <xdr:row>539</xdr:row>
      <xdr:rowOff>133350</xdr:rowOff>
    </xdr:to>
    <xdr:pic>
      <xdr:nvPicPr>
        <xdr:cNvPr id="4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540</xdr:row>
      <xdr:rowOff>0</xdr:rowOff>
    </xdr:from>
    <xdr:to>
      <xdr:col>25</xdr:col>
      <xdr:colOff>152400</xdr:colOff>
      <xdr:row>540</xdr:row>
      <xdr:rowOff>133350</xdr:rowOff>
    </xdr:to>
    <xdr:pic>
      <xdr:nvPicPr>
        <xdr:cNvPr id="4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541</xdr:row>
      <xdr:rowOff>0</xdr:rowOff>
    </xdr:from>
    <xdr:to>
      <xdr:col>25</xdr:col>
      <xdr:colOff>152400</xdr:colOff>
      <xdr:row>541</xdr:row>
      <xdr:rowOff>133350</xdr:rowOff>
    </xdr:to>
    <xdr:pic>
      <xdr:nvPicPr>
        <xdr:cNvPr id="4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542</xdr:row>
      <xdr:rowOff>0</xdr:rowOff>
    </xdr:from>
    <xdr:to>
      <xdr:col>25</xdr:col>
      <xdr:colOff>152400</xdr:colOff>
      <xdr:row>542</xdr:row>
      <xdr:rowOff>133350</xdr:rowOff>
    </xdr:to>
    <xdr:pic>
      <xdr:nvPicPr>
        <xdr:cNvPr id="4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543</xdr:row>
      <xdr:rowOff>0</xdr:rowOff>
    </xdr:from>
    <xdr:to>
      <xdr:col>25</xdr:col>
      <xdr:colOff>152400</xdr:colOff>
      <xdr:row>543</xdr:row>
      <xdr:rowOff>133350</xdr:rowOff>
    </xdr:to>
    <xdr:pic>
      <xdr:nvPicPr>
        <xdr:cNvPr id="4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544</xdr:row>
      <xdr:rowOff>0</xdr:rowOff>
    </xdr:from>
    <xdr:to>
      <xdr:col>25</xdr:col>
      <xdr:colOff>152400</xdr:colOff>
      <xdr:row>544</xdr:row>
      <xdr:rowOff>133350</xdr:rowOff>
    </xdr:to>
    <xdr:pic>
      <xdr:nvPicPr>
        <xdr:cNvPr id="4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545</xdr:row>
      <xdr:rowOff>0</xdr:rowOff>
    </xdr:from>
    <xdr:to>
      <xdr:col>25</xdr:col>
      <xdr:colOff>152400</xdr:colOff>
      <xdr:row>545</xdr:row>
      <xdr:rowOff>133350</xdr:rowOff>
    </xdr:to>
    <xdr:pic>
      <xdr:nvPicPr>
        <xdr:cNvPr id="4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546</xdr:row>
      <xdr:rowOff>0</xdr:rowOff>
    </xdr:from>
    <xdr:to>
      <xdr:col>25</xdr:col>
      <xdr:colOff>152400</xdr:colOff>
      <xdr:row>546</xdr:row>
      <xdr:rowOff>133350</xdr:rowOff>
    </xdr:to>
    <xdr:pic>
      <xdr:nvPicPr>
        <xdr:cNvPr id="4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547</xdr:row>
      <xdr:rowOff>0</xdr:rowOff>
    </xdr:from>
    <xdr:to>
      <xdr:col>25</xdr:col>
      <xdr:colOff>152400</xdr:colOff>
      <xdr:row>547</xdr:row>
      <xdr:rowOff>133350</xdr:rowOff>
    </xdr:to>
    <xdr:pic>
      <xdr:nvPicPr>
        <xdr:cNvPr id="4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591</xdr:row>
      <xdr:rowOff>0</xdr:rowOff>
    </xdr:from>
    <xdr:to>
      <xdr:col>25</xdr:col>
      <xdr:colOff>152400</xdr:colOff>
      <xdr:row>591</xdr:row>
      <xdr:rowOff>133350</xdr:rowOff>
    </xdr:to>
    <xdr:pic>
      <xdr:nvPicPr>
        <xdr:cNvPr id="4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592</xdr:row>
      <xdr:rowOff>0</xdr:rowOff>
    </xdr:from>
    <xdr:to>
      <xdr:col>25</xdr:col>
      <xdr:colOff>152400</xdr:colOff>
      <xdr:row>592</xdr:row>
      <xdr:rowOff>133350</xdr:rowOff>
    </xdr:to>
    <xdr:pic>
      <xdr:nvPicPr>
        <xdr:cNvPr id="4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593</xdr:row>
      <xdr:rowOff>0</xdr:rowOff>
    </xdr:from>
    <xdr:to>
      <xdr:col>25</xdr:col>
      <xdr:colOff>152400</xdr:colOff>
      <xdr:row>593</xdr:row>
      <xdr:rowOff>133350</xdr:rowOff>
    </xdr:to>
    <xdr:pic>
      <xdr:nvPicPr>
        <xdr:cNvPr id="4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594</xdr:row>
      <xdr:rowOff>0</xdr:rowOff>
    </xdr:from>
    <xdr:to>
      <xdr:col>25</xdr:col>
      <xdr:colOff>152400</xdr:colOff>
      <xdr:row>594</xdr:row>
      <xdr:rowOff>133350</xdr:rowOff>
    </xdr:to>
    <xdr:pic>
      <xdr:nvPicPr>
        <xdr:cNvPr id="4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595</xdr:row>
      <xdr:rowOff>0</xdr:rowOff>
    </xdr:from>
    <xdr:to>
      <xdr:col>25</xdr:col>
      <xdr:colOff>152400</xdr:colOff>
      <xdr:row>595</xdr:row>
      <xdr:rowOff>133350</xdr:rowOff>
    </xdr:to>
    <xdr:pic>
      <xdr:nvPicPr>
        <xdr:cNvPr id="4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596</xdr:row>
      <xdr:rowOff>0</xdr:rowOff>
    </xdr:from>
    <xdr:to>
      <xdr:col>25</xdr:col>
      <xdr:colOff>152400</xdr:colOff>
      <xdr:row>596</xdr:row>
      <xdr:rowOff>133350</xdr:rowOff>
    </xdr:to>
    <xdr:pic>
      <xdr:nvPicPr>
        <xdr:cNvPr id="4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597</xdr:row>
      <xdr:rowOff>0</xdr:rowOff>
    </xdr:from>
    <xdr:to>
      <xdr:col>25</xdr:col>
      <xdr:colOff>152400</xdr:colOff>
      <xdr:row>597</xdr:row>
      <xdr:rowOff>133350</xdr:rowOff>
    </xdr:to>
    <xdr:pic>
      <xdr:nvPicPr>
        <xdr:cNvPr id="4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598</xdr:row>
      <xdr:rowOff>0</xdr:rowOff>
    </xdr:from>
    <xdr:to>
      <xdr:col>25</xdr:col>
      <xdr:colOff>152400</xdr:colOff>
      <xdr:row>598</xdr:row>
      <xdr:rowOff>133350</xdr:rowOff>
    </xdr:to>
    <xdr:pic>
      <xdr:nvPicPr>
        <xdr:cNvPr id="4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599</xdr:row>
      <xdr:rowOff>0</xdr:rowOff>
    </xdr:from>
    <xdr:to>
      <xdr:col>25</xdr:col>
      <xdr:colOff>152400</xdr:colOff>
      <xdr:row>599</xdr:row>
      <xdr:rowOff>133350</xdr:rowOff>
    </xdr:to>
    <xdr:pic>
      <xdr:nvPicPr>
        <xdr:cNvPr id="4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600</xdr:row>
      <xdr:rowOff>0</xdr:rowOff>
    </xdr:from>
    <xdr:to>
      <xdr:col>25</xdr:col>
      <xdr:colOff>152400</xdr:colOff>
      <xdr:row>600</xdr:row>
      <xdr:rowOff>133350</xdr:rowOff>
    </xdr:to>
    <xdr:pic>
      <xdr:nvPicPr>
        <xdr:cNvPr id="4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601</xdr:row>
      <xdr:rowOff>0</xdr:rowOff>
    </xdr:from>
    <xdr:to>
      <xdr:col>25</xdr:col>
      <xdr:colOff>152400</xdr:colOff>
      <xdr:row>601</xdr:row>
      <xdr:rowOff>133350</xdr:rowOff>
    </xdr:to>
    <xdr:pic>
      <xdr:nvPicPr>
        <xdr:cNvPr id="4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602</xdr:row>
      <xdr:rowOff>0</xdr:rowOff>
    </xdr:from>
    <xdr:to>
      <xdr:col>25</xdr:col>
      <xdr:colOff>152400</xdr:colOff>
      <xdr:row>602</xdr:row>
      <xdr:rowOff>133350</xdr:rowOff>
    </xdr:to>
    <xdr:pic>
      <xdr:nvPicPr>
        <xdr:cNvPr id="4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603</xdr:row>
      <xdr:rowOff>0</xdr:rowOff>
    </xdr:from>
    <xdr:to>
      <xdr:col>25</xdr:col>
      <xdr:colOff>152400</xdr:colOff>
      <xdr:row>603</xdr:row>
      <xdr:rowOff>133350</xdr:rowOff>
    </xdr:to>
    <xdr:pic>
      <xdr:nvPicPr>
        <xdr:cNvPr id="4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604</xdr:row>
      <xdr:rowOff>0</xdr:rowOff>
    </xdr:from>
    <xdr:to>
      <xdr:col>25</xdr:col>
      <xdr:colOff>152400</xdr:colOff>
      <xdr:row>604</xdr:row>
      <xdr:rowOff>133350</xdr:rowOff>
    </xdr:to>
    <xdr:pic>
      <xdr:nvPicPr>
        <xdr:cNvPr id="4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605</xdr:row>
      <xdr:rowOff>0</xdr:rowOff>
    </xdr:from>
    <xdr:to>
      <xdr:col>25</xdr:col>
      <xdr:colOff>152400</xdr:colOff>
      <xdr:row>605</xdr:row>
      <xdr:rowOff>133350</xdr:rowOff>
    </xdr:to>
    <xdr:pic>
      <xdr:nvPicPr>
        <xdr:cNvPr id="4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606</xdr:row>
      <xdr:rowOff>0</xdr:rowOff>
    </xdr:from>
    <xdr:to>
      <xdr:col>25</xdr:col>
      <xdr:colOff>152400</xdr:colOff>
      <xdr:row>606</xdr:row>
      <xdr:rowOff>133350</xdr:rowOff>
    </xdr:to>
    <xdr:pic>
      <xdr:nvPicPr>
        <xdr:cNvPr id="4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607</xdr:row>
      <xdr:rowOff>0</xdr:rowOff>
    </xdr:from>
    <xdr:to>
      <xdr:col>25</xdr:col>
      <xdr:colOff>152400</xdr:colOff>
      <xdr:row>607</xdr:row>
      <xdr:rowOff>133350</xdr:rowOff>
    </xdr:to>
    <xdr:pic>
      <xdr:nvPicPr>
        <xdr:cNvPr id="4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608</xdr:row>
      <xdr:rowOff>0</xdr:rowOff>
    </xdr:from>
    <xdr:to>
      <xdr:col>25</xdr:col>
      <xdr:colOff>152400</xdr:colOff>
      <xdr:row>608</xdr:row>
      <xdr:rowOff>133350</xdr:rowOff>
    </xdr:to>
    <xdr:pic>
      <xdr:nvPicPr>
        <xdr:cNvPr id="4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609</xdr:row>
      <xdr:rowOff>0</xdr:rowOff>
    </xdr:from>
    <xdr:to>
      <xdr:col>25</xdr:col>
      <xdr:colOff>152400</xdr:colOff>
      <xdr:row>609</xdr:row>
      <xdr:rowOff>133350</xdr:rowOff>
    </xdr:to>
    <xdr:pic>
      <xdr:nvPicPr>
        <xdr:cNvPr id="4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610</xdr:row>
      <xdr:rowOff>0</xdr:rowOff>
    </xdr:from>
    <xdr:to>
      <xdr:col>25</xdr:col>
      <xdr:colOff>152400</xdr:colOff>
      <xdr:row>610</xdr:row>
      <xdr:rowOff>133350</xdr:rowOff>
    </xdr:to>
    <xdr:pic>
      <xdr:nvPicPr>
        <xdr:cNvPr id="4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611</xdr:row>
      <xdr:rowOff>0</xdr:rowOff>
    </xdr:from>
    <xdr:to>
      <xdr:col>25</xdr:col>
      <xdr:colOff>152400</xdr:colOff>
      <xdr:row>611</xdr:row>
      <xdr:rowOff>133350</xdr:rowOff>
    </xdr:to>
    <xdr:pic>
      <xdr:nvPicPr>
        <xdr:cNvPr id="4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612</xdr:row>
      <xdr:rowOff>0</xdr:rowOff>
    </xdr:from>
    <xdr:to>
      <xdr:col>25</xdr:col>
      <xdr:colOff>152400</xdr:colOff>
      <xdr:row>612</xdr:row>
      <xdr:rowOff>133350</xdr:rowOff>
    </xdr:to>
    <xdr:pic>
      <xdr:nvPicPr>
        <xdr:cNvPr id="4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613</xdr:row>
      <xdr:rowOff>0</xdr:rowOff>
    </xdr:from>
    <xdr:to>
      <xdr:col>25</xdr:col>
      <xdr:colOff>152400</xdr:colOff>
      <xdr:row>613</xdr:row>
      <xdr:rowOff>133350</xdr:rowOff>
    </xdr:to>
    <xdr:pic>
      <xdr:nvPicPr>
        <xdr:cNvPr id="4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614</xdr:row>
      <xdr:rowOff>0</xdr:rowOff>
    </xdr:from>
    <xdr:to>
      <xdr:col>25</xdr:col>
      <xdr:colOff>152400</xdr:colOff>
      <xdr:row>614</xdr:row>
      <xdr:rowOff>133350</xdr:rowOff>
    </xdr:to>
    <xdr:pic>
      <xdr:nvPicPr>
        <xdr:cNvPr id="4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615</xdr:row>
      <xdr:rowOff>0</xdr:rowOff>
    </xdr:from>
    <xdr:to>
      <xdr:col>25</xdr:col>
      <xdr:colOff>152400</xdr:colOff>
      <xdr:row>615</xdr:row>
      <xdr:rowOff>133350</xdr:rowOff>
    </xdr:to>
    <xdr:pic>
      <xdr:nvPicPr>
        <xdr:cNvPr id="4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616</xdr:row>
      <xdr:rowOff>0</xdr:rowOff>
    </xdr:from>
    <xdr:to>
      <xdr:col>25</xdr:col>
      <xdr:colOff>152400</xdr:colOff>
      <xdr:row>616</xdr:row>
      <xdr:rowOff>133350</xdr:rowOff>
    </xdr:to>
    <xdr:pic>
      <xdr:nvPicPr>
        <xdr:cNvPr id="4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617</xdr:row>
      <xdr:rowOff>0</xdr:rowOff>
    </xdr:from>
    <xdr:to>
      <xdr:col>25</xdr:col>
      <xdr:colOff>152400</xdr:colOff>
      <xdr:row>617</xdr:row>
      <xdr:rowOff>133350</xdr:rowOff>
    </xdr:to>
    <xdr:pic>
      <xdr:nvPicPr>
        <xdr:cNvPr id="4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618</xdr:row>
      <xdr:rowOff>0</xdr:rowOff>
    </xdr:from>
    <xdr:to>
      <xdr:col>25</xdr:col>
      <xdr:colOff>152400</xdr:colOff>
      <xdr:row>618</xdr:row>
      <xdr:rowOff>133350</xdr:rowOff>
    </xdr:to>
    <xdr:pic>
      <xdr:nvPicPr>
        <xdr:cNvPr id="4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619</xdr:row>
      <xdr:rowOff>0</xdr:rowOff>
    </xdr:from>
    <xdr:to>
      <xdr:col>25</xdr:col>
      <xdr:colOff>152400</xdr:colOff>
      <xdr:row>619</xdr:row>
      <xdr:rowOff>133350</xdr:rowOff>
    </xdr:to>
    <xdr:pic>
      <xdr:nvPicPr>
        <xdr:cNvPr id="4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621</xdr:row>
      <xdr:rowOff>0</xdr:rowOff>
    </xdr:from>
    <xdr:to>
      <xdr:col>25</xdr:col>
      <xdr:colOff>152400</xdr:colOff>
      <xdr:row>621</xdr:row>
      <xdr:rowOff>133350</xdr:rowOff>
    </xdr:to>
    <xdr:pic>
      <xdr:nvPicPr>
        <xdr:cNvPr id="4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622</xdr:row>
      <xdr:rowOff>0</xdr:rowOff>
    </xdr:from>
    <xdr:to>
      <xdr:col>25</xdr:col>
      <xdr:colOff>152400</xdr:colOff>
      <xdr:row>622</xdr:row>
      <xdr:rowOff>133350</xdr:rowOff>
    </xdr:to>
    <xdr:pic>
      <xdr:nvPicPr>
        <xdr:cNvPr id="4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623</xdr:row>
      <xdr:rowOff>0</xdr:rowOff>
    </xdr:from>
    <xdr:to>
      <xdr:col>25</xdr:col>
      <xdr:colOff>152400</xdr:colOff>
      <xdr:row>623</xdr:row>
      <xdr:rowOff>133350</xdr:rowOff>
    </xdr:to>
    <xdr:pic>
      <xdr:nvPicPr>
        <xdr:cNvPr id="4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624</xdr:row>
      <xdr:rowOff>0</xdr:rowOff>
    </xdr:from>
    <xdr:to>
      <xdr:col>25</xdr:col>
      <xdr:colOff>152400</xdr:colOff>
      <xdr:row>624</xdr:row>
      <xdr:rowOff>133350</xdr:rowOff>
    </xdr:to>
    <xdr:pic>
      <xdr:nvPicPr>
        <xdr:cNvPr id="4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625</xdr:row>
      <xdr:rowOff>0</xdr:rowOff>
    </xdr:from>
    <xdr:to>
      <xdr:col>25</xdr:col>
      <xdr:colOff>152400</xdr:colOff>
      <xdr:row>625</xdr:row>
      <xdr:rowOff>133350</xdr:rowOff>
    </xdr:to>
    <xdr:pic>
      <xdr:nvPicPr>
        <xdr:cNvPr id="4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626</xdr:row>
      <xdr:rowOff>0</xdr:rowOff>
    </xdr:from>
    <xdr:to>
      <xdr:col>25</xdr:col>
      <xdr:colOff>152400</xdr:colOff>
      <xdr:row>626</xdr:row>
      <xdr:rowOff>133350</xdr:rowOff>
    </xdr:to>
    <xdr:pic>
      <xdr:nvPicPr>
        <xdr:cNvPr id="5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627</xdr:row>
      <xdr:rowOff>0</xdr:rowOff>
    </xdr:from>
    <xdr:to>
      <xdr:col>25</xdr:col>
      <xdr:colOff>152400</xdr:colOff>
      <xdr:row>627</xdr:row>
      <xdr:rowOff>133350</xdr:rowOff>
    </xdr:to>
    <xdr:pic>
      <xdr:nvPicPr>
        <xdr:cNvPr id="5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628</xdr:row>
      <xdr:rowOff>0</xdr:rowOff>
    </xdr:from>
    <xdr:to>
      <xdr:col>25</xdr:col>
      <xdr:colOff>152400</xdr:colOff>
      <xdr:row>628</xdr:row>
      <xdr:rowOff>133350</xdr:rowOff>
    </xdr:to>
    <xdr:pic>
      <xdr:nvPicPr>
        <xdr:cNvPr id="5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629</xdr:row>
      <xdr:rowOff>0</xdr:rowOff>
    </xdr:from>
    <xdr:to>
      <xdr:col>25</xdr:col>
      <xdr:colOff>152400</xdr:colOff>
      <xdr:row>629</xdr:row>
      <xdr:rowOff>133350</xdr:rowOff>
    </xdr:to>
    <xdr:pic>
      <xdr:nvPicPr>
        <xdr:cNvPr id="5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630</xdr:row>
      <xdr:rowOff>0</xdr:rowOff>
    </xdr:from>
    <xdr:to>
      <xdr:col>25</xdr:col>
      <xdr:colOff>152400</xdr:colOff>
      <xdr:row>630</xdr:row>
      <xdr:rowOff>133350</xdr:rowOff>
    </xdr:to>
    <xdr:pic>
      <xdr:nvPicPr>
        <xdr:cNvPr id="5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631</xdr:row>
      <xdr:rowOff>0</xdr:rowOff>
    </xdr:from>
    <xdr:to>
      <xdr:col>25</xdr:col>
      <xdr:colOff>152400</xdr:colOff>
      <xdr:row>631</xdr:row>
      <xdr:rowOff>133350</xdr:rowOff>
    </xdr:to>
    <xdr:pic>
      <xdr:nvPicPr>
        <xdr:cNvPr id="5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632</xdr:row>
      <xdr:rowOff>0</xdr:rowOff>
    </xdr:from>
    <xdr:to>
      <xdr:col>25</xdr:col>
      <xdr:colOff>152400</xdr:colOff>
      <xdr:row>632</xdr:row>
      <xdr:rowOff>133350</xdr:rowOff>
    </xdr:to>
    <xdr:pic>
      <xdr:nvPicPr>
        <xdr:cNvPr id="5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633</xdr:row>
      <xdr:rowOff>0</xdr:rowOff>
    </xdr:from>
    <xdr:to>
      <xdr:col>25</xdr:col>
      <xdr:colOff>152400</xdr:colOff>
      <xdr:row>633</xdr:row>
      <xdr:rowOff>133350</xdr:rowOff>
    </xdr:to>
    <xdr:pic>
      <xdr:nvPicPr>
        <xdr:cNvPr id="5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634</xdr:row>
      <xdr:rowOff>0</xdr:rowOff>
    </xdr:from>
    <xdr:to>
      <xdr:col>25</xdr:col>
      <xdr:colOff>152400</xdr:colOff>
      <xdr:row>634</xdr:row>
      <xdr:rowOff>133350</xdr:rowOff>
    </xdr:to>
    <xdr:pic>
      <xdr:nvPicPr>
        <xdr:cNvPr id="5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635</xdr:row>
      <xdr:rowOff>0</xdr:rowOff>
    </xdr:from>
    <xdr:to>
      <xdr:col>25</xdr:col>
      <xdr:colOff>152400</xdr:colOff>
      <xdr:row>635</xdr:row>
      <xdr:rowOff>133350</xdr:rowOff>
    </xdr:to>
    <xdr:pic>
      <xdr:nvPicPr>
        <xdr:cNvPr id="5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636</xdr:row>
      <xdr:rowOff>0</xdr:rowOff>
    </xdr:from>
    <xdr:to>
      <xdr:col>25</xdr:col>
      <xdr:colOff>152400</xdr:colOff>
      <xdr:row>636</xdr:row>
      <xdr:rowOff>133350</xdr:rowOff>
    </xdr:to>
    <xdr:pic>
      <xdr:nvPicPr>
        <xdr:cNvPr id="5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637</xdr:row>
      <xdr:rowOff>0</xdr:rowOff>
    </xdr:from>
    <xdr:to>
      <xdr:col>25</xdr:col>
      <xdr:colOff>152400</xdr:colOff>
      <xdr:row>637</xdr:row>
      <xdr:rowOff>133350</xdr:rowOff>
    </xdr:to>
    <xdr:pic>
      <xdr:nvPicPr>
        <xdr:cNvPr id="5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638</xdr:row>
      <xdr:rowOff>0</xdr:rowOff>
    </xdr:from>
    <xdr:to>
      <xdr:col>25</xdr:col>
      <xdr:colOff>152400</xdr:colOff>
      <xdr:row>638</xdr:row>
      <xdr:rowOff>133350</xdr:rowOff>
    </xdr:to>
    <xdr:pic>
      <xdr:nvPicPr>
        <xdr:cNvPr id="5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639</xdr:row>
      <xdr:rowOff>0</xdr:rowOff>
    </xdr:from>
    <xdr:to>
      <xdr:col>25</xdr:col>
      <xdr:colOff>152400</xdr:colOff>
      <xdr:row>639</xdr:row>
      <xdr:rowOff>133350</xdr:rowOff>
    </xdr:to>
    <xdr:pic>
      <xdr:nvPicPr>
        <xdr:cNvPr id="5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640</xdr:row>
      <xdr:rowOff>0</xdr:rowOff>
    </xdr:from>
    <xdr:to>
      <xdr:col>25</xdr:col>
      <xdr:colOff>152400</xdr:colOff>
      <xdr:row>640</xdr:row>
      <xdr:rowOff>133350</xdr:rowOff>
    </xdr:to>
    <xdr:pic>
      <xdr:nvPicPr>
        <xdr:cNvPr id="5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641</xdr:row>
      <xdr:rowOff>0</xdr:rowOff>
    </xdr:from>
    <xdr:to>
      <xdr:col>25</xdr:col>
      <xdr:colOff>152400</xdr:colOff>
      <xdr:row>641</xdr:row>
      <xdr:rowOff>133350</xdr:rowOff>
    </xdr:to>
    <xdr:pic>
      <xdr:nvPicPr>
        <xdr:cNvPr id="5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642</xdr:row>
      <xdr:rowOff>0</xdr:rowOff>
    </xdr:from>
    <xdr:to>
      <xdr:col>25</xdr:col>
      <xdr:colOff>152400</xdr:colOff>
      <xdr:row>642</xdr:row>
      <xdr:rowOff>133350</xdr:rowOff>
    </xdr:to>
    <xdr:pic>
      <xdr:nvPicPr>
        <xdr:cNvPr id="5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643</xdr:row>
      <xdr:rowOff>0</xdr:rowOff>
    </xdr:from>
    <xdr:to>
      <xdr:col>25</xdr:col>
      <xdr:colOff>152400</xdr:colOff>
      <xdr:row>643</xdr:row>
      <xdr:rowOff>133350</xdr:rowOff>
    </xdr:to>
    <xdr:pic>
      <xdr:nvPicPr>
        <xdr:cNvPr id="5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644</xdr:row>
      <xdr:rowOff>0</xdr:rowOff>
    </xdr:from>
    <xdr:to>
      <xdr:col>25</xdr:col>
      <xdr:colOff>152400</xdr:colOff>
      <xdr:row>644</xdr:row>
      <xdr:rowOff>133350</xdr:rowOff>
    </xdr:to>
    <xdr:pic>
      <xdr:nvPicPr>
        <xdr:cNvPr id="5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645</xdr:row>
      <xdr:rowOff>0</xdr:rowOff>
    </xdr:from>
    <xdr:to>
      <xdr:col>25</xdr:col>
      <xdr:colOff>152400</xdr:colOff>
      <xdr:row>645</xdr:row>
      <xdr:rowOff>133350</xdr:rowOff>
    </xdr:to>
    <xdr:pic>
      <xdr:nvPicPr>
        <xdr:cNvPr id="5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646</xdr:row>
      <xdr:rowOff>0</xdr:rowOff>
    </xdr:from>
    <xdr:to>
      <xdr:col>25</xdr:col>
      <xdr:colOff>152400</xdr:colOff>
      <xdr:row>646</xdr:row>
      <xdr:rowOff>133350</xdr:rowOff>
    </xdr:to>
    <xdr:pic>
      <xdr:nvPicPr>
        <xdr:cNvPr id="5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647</xdr:row>
      <xdr:rowOff>0</xdr:rowOff>
    </xdr:from>
    <xdr:to>
      <xdr:col>25</xdr:col>
      <xdr:colOff>152400</xdr:colOff>
      <xdr:row>647</xdr:row>
      <xdr:rowOff>133350</xdr:rowOff>
    </xdr:to>
    <xdr:pic>
      <xdr:nvPicPr>
        <xdr:cNvPr id="5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648</xdr:row>
      <xdr:rowOff>0</xdr:rowOff>
    </xdr:from>
    <xdr:to>
      <xdr:col>25</xdr:col>
      <xdr:colOff>152400</xdr:colOff>
      <xdr:row>648</xdr:row>
      <xdr:rowOff>133350</xdr:rowOff>
    </xdr:to>
    <xdr:pic>
      <xdr:nvPicPr>
        <xdr:cNvPr id="5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649</xdr:row>
      <xdr:rowOff>0</xdr:rowOff>
    </xdr:from>
    <xdr:to>
      <xdr:col>25</xdr:col>
      <xdr:colOff>152400</xdr:colOff>
      <xdr:row>649</xdr:row>
      <xdr:rowOff>133350</xdr:rowOff>
    </xdr:to>
    <xdr:pic>
      <xdr:nvPicPr>
        <xdr:cNvPr id="5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650</xdr:row>
      <xdr:rowOff>0</xdr:rowOff>
    </xdr:from>
    <xdr:to>
      <xdr:col>25</xdr:col>
      <xdr:colOff>152400</xdr:colOff>
      <xdr:row>650</xdr:row>
      <xdr:rowOff>133350</xdr:rowOff>
    </xdr:to>
    <xdr:pic>
      <xdr:nvPicPr>
        <xdr:cNvPr id="5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651</xdr:row>
      <xdr:rowOff>0</xdr:rowOff>
    </xdr:from>
    <xdr:to>
      <xdr:col>25</xdr:col>
      <xdr:colOff>152400</xdr:colOff>
      <xdr:row>651</xdr:row>
      <xdr:rowOff>133350</xdr:rowOff>
    </xdr:to>
    <xdr:pic>
      <xdr:nvPicPr>
        <xdr:cNvPr id="5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652</xdr:row>
      <xdr:rowOff>0</xdr:rowOff>
    </xdr:from>
    <xdr:to>
      <xdr:col>25</xdr:col>
      <xdr:colOff>152400</xdr:colOff>
      <xdr:row>652</xdr:row>
      <xdr:rowOff>133350</xdr:rowOff>
    </xdr:to>
    <xdr:pic>
      <xdr:nvPicPr>
        <xdr:cNvPr id="5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653</xdr:row>
      <xdr:rowOff>0</xdr:rowOff>
    </xdr:from>
    <xdr:to>
      <xdr:col>25</xdr:col>
      <xdr:colOff>152400</xdr:colOff>
      <xdr:row>653</xdr:row>
      <xdr:rowOff>133350</xdr:rowOff>
    </xdr:to>
    <xdr:pic>
      <xdr:nvPicPr>
        <xdr:cNvPr id="5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654</xdr:row>
      <xdr:rowOff>0</xdr:rowOff>
    </xdr:from>
    <xdr:to>
      <xdr:col>25</xdr:col>
      <xdr:colOff>152400</xdr:colOff>
      <xdr:row>654</xdr:row>
      <xdr:rowOff>133350</xdr:rowOff>
    </xdr:to>
    <xdr:pic>
      <xdr:nvPicPr>
        <xdr:cNvPr id="5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655</xdr:row>
      <xdr:rowOff>0</xdr:rowOff>
    </xdr:from>
    <xdr:to>
      <xdr:col>25</xdr:col>
      <xdr:colOff>152400</xdr:colOff>
      <xdr:row>655</xdr:row>
      <xdr:rowOff>133350</xdr:rowOff>
    </xdr:to>
    <xdr:pic>
      <xdr:nvPicPr>
        <xdr:cNvPr id="5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656</xdr:row>
      <xdr:rowOff>0</xdr:rowOff>
    </xdr:from>
    <xdr:to>
      <xdr:col>25</xdr:col>
      <xdr:colOff>152400</xdr:colOff>
      <xdr:row>656</xdr:row>
      <xdr:rowOff>133350</xdr:rowOff>
    </xdr:to>
    <xdr:pic>
      <xdr:nvPicPr>
        <xdr:cNvPr id="5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657</xdr:row>
      <xdr:rowOff>0</xdr:rowOff>
    </xdr:from>
    <xdr:to>
      <xdr:col>25</xdr:col>
      <xdr:colOff>152400</xdr:colOff>
      <xdr:row>657</xdr:row>
      <xdr:rowOff>133350</xdr:rowOff>
    </xdr:to>
    <xdr:pic>
      <xdr:nvPicPr>
        <xdr:cNvPr id="5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658</xdr:row>
      <xdr:rowOff>0</xdr:rowOff>
    </xdr:from>
    <xdr:to>
      <xdr:col>25</xdr:col>
      <xdr:colOff>152400</xdr:colOff>
      <xdr:row>658</xdr:row>
      <xdr:rowOff>133350</xdr:rowOff>
    </xdr:to>
    <xdr:pic>
      <xdr:nvPicPr>
        <xdr:cNvPr id="5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659</xdr:row>
      <xdr:rowOff>0</xdr:rowOff>
    </xdr:from>
    <xdr:to>
      <xdr:col>25</xdr:col>
      <xdr:colOff>152400</xdr:colOff>
      <xdr:row>659</xdr:row>
      <xdr:rowOff>133350</xdr:rowOff>
    </xdr:to>
    <xdr:pic>
      <xdr:nvPicPr>
        <xdr:cNvPr id="5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660</xdr:row>
      <xdr:rowOff>0</xdr:rowOff>
    </xdr:from>
    <xdr:to>
      <xdr:col>25</xdr:col>
      <xdr:colOff>152400</xdr:colOff>
      <xdr:row>660</xdr:row>
      <xdr:rowOff>133350</xdr:rowOff>
    </xdr:to>
    <xdr:pic>
      <xdr:nvPicPr>
        <xdr:cNvPr id="5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661</xdr:row>
      <xdr:rowOff>0</xdr:rowOff>
    </xdr:from>
    <xdr:to>
      <xdr:col>25</xdr:col>
      <xdr:colOff>152400</xdr:colOff>
      <xdr:row>661</xdr:row>
      <xdr:rowOff>133350</xdr:rowOff>
    </xdr:to>
    <xdr:pic>
      <xdr:nvPicPr>
        <xdr:cNvPr id="5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662</xdr:row>
      <xdr:rowOff>0</xdr:rowOff>
    </xdr:from>
    <xdr:to>
      <xdr:col>25</xdr:col>
      <xdr:colOff>152400</xdr:colOff>
      <xdr:row>662</xdr:row>
      <xdr:rowOff>133350</xdr:rowOff>
    </xdr:to>
    <xdr:pic>
      <xdr:nvPicPr>
        <xdr:cNvPr id="5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663</xdr:row>
      <xdr:rowOff>0</xdr:rowOff>
    </xdr:from>
    <xdr:to>
      <xdr:col>25</xdr:col>
      <xdr:colOff>152400</xdr:colOff>
      <xdr:row>663</xdr:row>
      <xdr:rowOff>133350</xdr:rowOff>
    </xdr:to>
    <xdr:pic>
      <xdr:nvPicPr>
        <xdr:cNvPr id="5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664</xdr:row>
      <xdr:rowOff>0</xdr:rowOff>
    </xdr:from>
    <xdr:to>
      <xdr:col>25</xdr:col>
      <xdr:colOff>152400</xdr:colOff>
      <xdr:row>664</xdr:row>
      <xdr:rowOff>133350</xdr:rowOff>
    </xdr:to>
    <xdr:pic>
      <xdr:nvPicPr>
        <xdr:cNvPr id="5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665</xdr:row>
      <xdr:rowOff>0</xdr:rowOff>
    </xdr:from>
    <xdr:to>
      <xdr:col>25</xdr:col>
      <xdr:colOff>152400</xdr:colOff>
      <xdr:row>665</xdr:row>
      <xdr:rowOff>133350</xdr:rowOff>
    </xdr:to>
    <xdr:pic>
      <xdr:nvPicPr>
        <xdr:cNvPr id="5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666</xdr:row>
      <xdr:rowOff>0</xdr:rowOff>
    </xdr:from>
    <xdr:to>
      <xdr:col>25</xdr:col>
      <xdr:colOff>152400</xdr:colOff>
      <xdr:row>666</xdr:row>
      <xdr:rowOff>133350</xdr:rowOff>
    </xdr:to>
    <xdr:pic>
      <xdr:nvPicPr>
        <xdr:cNvPr id="5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667</xdr:row>
      <xdr:rowOff>0</xdr:rowOff>
    </xdr:from>
    <xdr:to>
      <xdr:col>25</xdr:col>
      <xdr:colOff>152400</xdr:colOff>
      <xdr:row>667</xdr:row>
      <xdr:rowOff>133350</xdr:rowOff>
    </xdr:to>
    <xdr:pic>
      <xdr:nvPicPr>
        <xdr:cNvPr id="5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668</xdr:row>
      <xdr:rowOff>0</xdr:rowOff>
    </xdr:from>
    <xdr:to>
      <xdr:col>25</xdr:col>
      <xdr:colOff>152400</xdr:colOff>
      <xdr:row>668</xdr:row>
      <xdr:rowOff>133350</xdr:rowOff>
    </xdr:to>
    <xdr:pic>
      <xdr:nvPicPr>
        <xdr:cNvPr id="5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669</xdr:row>
      <xdr:rowOff>0</xdr:rowOff>
    </xdr:from>
    <xdr:to>
      <xdr:col>25</xdr:col>
      <xdr:colOff>152400</xdr:colOff>
      <xdr:row>669</xdr:row>
      <xdr:rowOff>133350</xdr:rowOff>
    </xdr:to>
    <xdr:pic>
      <xdr:nvPicPr>
        <xdr:cNvPr id="5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670</xdr:row>
      <xdr:rowOff>0</xdr:rowOff>
    </xdr:from>
    <xdr:to>
      <xdr:col>25</xdr:col>
      <xdr:colOff>152400</xdr:colOff>
      <xdr:row>670</xdr:row>
      <xdr:rowOff>133350</xdr:rowOff>
    </xdr:to>
    <xdr:pic>
      <xdr:nvPicPr>
        <xdr:cNvPr id="5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671</xdr:row>
      <xdr:rowOff>0</xdr:rowOff>
    </xdr:from>
    <xdr:to>
      <xdr:col>25</xdr:col>
      <xdr:colOff>152400</xdr:colOff>
      <xdr:row>671</xdr:row>
      <xdr:rowOff>133350</xdr:rowOff>
    </xdr:to>
    <xdr:pic>
      <xdr:nvPicPr>
        <xdr:cNvPr id="5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672</xdr:row>
      <xdr:rowOff>0</xdr:rowOff>
    </xdr:from>
    <xdr:to>
      <xdr:col>25</xdr:col>
      <xdr:colOff>152400</xdr:colOff>
      <xdr:row>672</xdr:row>
      <xdr:rowOff>133350</xdr:rowOff>
    </xdr:to>
    <xdr:pic>
      <xdr:nvPicPr>
        <xdr:cNvPr id="5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673</xdr:row>
      <xdr:rowOff>0</xdr:rowOff>
    </xdr:from>
    <xdr:to>
      <xdr:col>25</xdr:col>
      <xdr:colOff>152400</xdr:colOff>
      <xdr:row>673</xdr:row>
      <xdr:rowOff>133350</xdr:rowOff>
    </xdr:to>
    <xdr:pic>
      <xdr:nvPicPr>
        <xdr:cNvPr id="5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674</xdr:row>
      <xdr:rowOff>0</xdr:rowOff>
    </xdr:from>
    <xdr:to>
      <xdr:col>25</xdr:col>
      <xdr:colOff>152400</xdr:colOff>
      <xdr:row>674</xdr:row>
      <xdr:rowOff>133350</xdr:rowOff>
    </xdr:to>
    <xdr:pic>
      <xdr:nvPicPr>
        <xdr:cNvPr id="5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675</xdr:row>
      <xdr:rowOff>0</xdr:rowOff>
    </xdr:from>
    <xdr:to>
      <xdr:col>25</xdr:col>
      <xdr:colOff>152400</xdr:colOff>
      <xdr:row>675</xdr:row>
      <xdr:rowOff>133350</xdr:rowOff>
    </xdr:to>
    <xdr:pic>
      <xdr:nvPicPr>
        <xdr:cNvPr id="5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676</xdr:row>
      <xdr:rowOff>0</xdr:rowOff>
    </xdr:from>
    <xdr:to>
      <xdr:col>25</xdr:col>
      <xdr:colOff>152400</xdr:colOff>
      <xdr:row>676</xdr:row>
      <xdr:rowOff>133350</xdr:rowOff>
    </xdr:to>
    <xdr:pic>
      <xdr:nvPicPr>
        <xdr:cNvPr id="5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677</xdr:row>
      <xdr:rowOff>0</xdr:rowOff>
    </xdr:from>
    <xdr:to>
      <xdr:col>25</xdr:col>
      <xdr:colOff>152400</xdr:colOff>
      <xdr:row>677</xdr:row>
      <xdr:rowOff>133350</xdr:rowOff>
    </xdr:to>
    <xdr:pic>
      <xdr:nvPicPr>
        <xdr:cNvPr id="5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678</xdr:row>
      <xdr:rowOff>0</xdr:rowOff>
    </xdr:from>
    <xdr:to>
      <xdr:col>25</xdr:col>
      <xdr:colOff>152400</xdr:colOff>
      <xdr:row>678</xdr:row>
      <xdr:rowOff>133350</xdr:rowOff>
    </xdr:to>
    <xdr:pic>
      <xdr:nvPicPr>
        <xdr:cNvPr id="5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679</xdr:row>
      <xdr:rowOff>0</xdr:rowOff>
    </xdr:from>
    <xdr:to>
      <xdr:col>25</xdr:col>
      <xdr:colOff>152400</xdr:colOff>
      <xdr:row>679</xdr:row>
      <xdr:rowOff>133350</xdr:rowOff>
    </xdr:to>
    <xdr:pic>
      <xdr:nvPicPr>
        <xdr:cNvPr id="5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680</xdr:row>
      <xdr:rowOff>0</xdr:rowOff>
    </xdr:from>
    <xdr:to>
      <xdr:col>25</xdr:col>
      <xdr:colOff>152400</xdr:colOff>
      <xdr:row>680</xdr:row>
      <xdr:rowOff>133350</xdr:rowOff>
    </xdr:to>
    <xdr:pic>
      <xdr:nvPicPr>
        <xdr:cNvPr id="5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681</xdr:row>
      <xdr:rowOff>0</xdr:rowOff>
    </xdr:from>
    <xdr:to>
      <xdr:col>25</xdr:col>
      <xdr:colOff>152400</xdr:colOff>
      <xdr:row>681</xdr:row>
      <xdr:rowOff>133350</xdr:rowOff>
    </xdr:to>
    <xdr:pic>
      <xdr:nvPicPr>
        <xdr:cNvPr id="5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682</xdr:row>
      <xdr:rowOff>0</xdr:rowOff>
    </xdr:from>
    <xdr:to>
      <xdr:col>25</xdr:col>
      <xdr:colOff>152400</xdr:colOff>
      <xdr:row>682</xdr:row>
      <xdr:rowOff>133350</xdr:rowOff>
    </xdr:to>
    <xdr:pic>
      <xdr:nvPicPr>
        <xdr:cNvPr id="5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683</xdr:row>
      <xdr:rowOff>0</xdr:rowOff>
    </xdr:from>
    <xdr:to>
      <xdr:col>25</xdr:col>
      <xdr:colOff>152400</xdr:colOff>
      <xdr:row>683</xdr:row>
      <xdr:rowOff>133350</xdr:rowOff>
    </xdr:to>
    <xdr:pic>
      <xdr:nvPicPr>
        <xdr:cNvPr id="5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684</xdr:row>
      <xdr:rowOff>0</xdr:rowOff>
    </xdr:from>
    <xdr:to>
      <xdr:col>25</xdr:col>
      <xdr:colOff>152400</xdr:colOff>
      <xdr:row>684</xdr:row>
      <xdr:rowOff>133350</xdr:rowOff>
    </xdr:to>
    <xdr:pic>
      <xdr:nvPicPr>
        <xdr:cNvPr id="5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685</xdr:row>
      <xdr:rowOff>0</xdr:rowOff>
    </xdr:from>
    <xdr:to>
      <xdr:col>25</xdr:col>
      <xdr:colOff>152400</xdr:colOff>
      <xdr:row>685</xdr:row>
      <xdr:rowOff>133350</xdr:rowOff>
    </xdr:to>
    <xdr:pic>
      <xdr:nvPicPr>
        <xdr:cNvPr id="5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686</xdr:row>
      <xdr:rowOff>0</xdr:rowOff>
    </xdr:from>
    <xdr:to>
      <xdr:col>25</xdr:col>
      <xdr:colOff>152400</xdr:colOff>
      <xdr:row>686</xdr:row>
      <xdr:rowOff>133350</xdr:rowOff>
    </xdr:to>
    <xdr:pic>
      <xdr:nvPicPr>
        <xdr:cNvPr id="5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687</xdr:row>
      <xdr:rowOff>0</xdr:rowOff>
    </xdr:from>
    <xdr:to>
      <xdr:col>25</xdr:col>
      <xdr:colOff>152400</xdr:colOff>
      <xdr:row>687</xdr:row>
      <xdr:rowOff>133350</xdr:rowOff>
    </xdr:to>
    <xdr:pic>
      <xdr:nvPicPr>
        <xdr:cNvPr id="5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688</xdr:row>
      <xdr:rowOff>0</xdr:rowOff>
    </xdr:from>
    <xdr:to>
      <xdr:col>25</xdr:col>
      <xdr:colOff>152400</xdr:colOff>
      <xdr:row>688</xdr:row>
      <xdr:rowOff>133350</xdr:rowOff>
    </xdr:to>
    <xdr:pic>
      <xdr:nvPicPr>
        <xdr:cNvPr id="5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689</xdr:row>
      <xdr:rowOff>0</xdr:rowOff>
    </xdr:from>
    <xdr:to>
      <xdr:col>25</xdr:col>
      <xdr:colOff>152400</xdr:colOff>
      <xdr:row>689</xdr:row>
      <xdr:rowOff>133350</xdr:rowOff>
    </xdr:to>
    <xdr:pic>
      <xdr:nvPicPr>
        <xdr:cNvPr id="5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690</xdr:row>
      <xdr:rowOff>0</xdr:rowOff>
    </xdr:from>
    <xdr:to>
      <xdr:col>25</xdr:col>
      <xdr:colOff>152400</xdr:colOff>
      <xdr:row>690</xdr:row>
      <xdr:rowOff>133350</xdr:rowOff>
    </xdr:to>
    <xdr:pic>
      <xdr:nvPicPr>
        <xdr:cNvPr id="5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691</xdr:row>
      <xdr:rowOff>0</xdr:rowOff>
    </xdr:from>
    <xdr:to>
      <xdr:col>25</xdr:col>
      <xdr:colOff>152400</xdr:colOff>
      <xdr:row>691</xdr:row>
      <xdr:rowOff>133350</xdr:rowOff>
    </xdr:to>
    <xdr:pic>
      <xdr:nvPicPr>
        <xdr:cNvPr id="5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692</xdr:row>
      <xdr:rowOff>0</xdr:rowOff>
    </xdr:from>
    <xdr:to>
      <xdr:col>25</xdr:col>
      <xdr:colOff>152400</xdr:colOff>
      <xdr:row>692</xdr:row>
      <xdr:rowOff>133350</xdr:rowOff>
    </xdr:to>
    <xdr:pic>
      <xdr:nvPicPr>
        <xdr:cNvPr id="5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693</xdr:row>
      <xdr:rowOff>0</xdr:rowOff>
    </xdr:from>
    <xdr:to>
      <xdr:col>25</xdr:col>
      <xdr:colOff>152400</xdr:colOff>
      <xdr:row>693</xdr:row>
      <xdr:rowOff>133350</xdr:rowOff>
    </xdr:to>
    <xdr:pic>
      <xdr:nvPicPr>
        <xdr:cNvPr id="5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694</xdr:row>
      <xdr:rowOff>0</xdr:rowOff>
    </xdr:from>
    <xdr:to>
      <xdr:col>25</xdr:col>
      <xdr:colOff>152400</xdr:colOff>
      <xdr:row>694</xdr:row>
      <xdr:rowOff>133350</xdr:rowOff>
    </xdr:to>
    <xdr:pic>
      <xdr:nvPicPr>
        <xdr:cNvPr id="5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695</xdr:row>
      <xdr:rowOff>0</xdr:rowOff>
    </xdr:from>
    <xdr:to>
      <xdr:col>25</xdr:col>
      <xdr:colOff>152400</xdr:colOff>
      <xdr:row>695</xdr:row>
      <xdr:rowOff>133350</xdr:rowOff>
    </xdr:to>
    <xdr:pic>
      <xdr:nvPicPr>
        <xdr:cNvPr id="5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696</xdr:row>
      <xdr:rowOff>0</xdr:rowOff>
    </xdr:from>
    <xdr:to>
      <xdr:col>25</xdr:col>
      <xdr:colOff>152400</xdr:colOff>
      <xdr:row>696</xdr:row>
      <xdr:rowOff>133350</xdr:rowOff>
    </xdr:to>
    <xdr:pic>
      <xdr:nvPicPr>
        <xdr:cNvPr id="5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697</xdr:row>
      <xdr:rowOff>0</xdr:rowOff>
    </xdr:from>
    <xdr:to>
      <xdr:col>25</xdr:col>
      <xdr:colOff>152400</xdr:colOff>
      <xdr:row>697</xdr:row>
      <xdr:rowOff>133350</xdr:rowOff>
    </xdr:to>
    <xdr:pic>
      <xdr:nvPicPr>
        <xdr:cNvPr id="5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698</xdr:row>
      <xdr:rowOff>0</xdr:rowOff>
    </xdr:from>
    <xdr:to>
      <xdr:col>25</xdr:col>
      <xdr:colOff>152400</xdr:colOff>
      <xdr:row>698</xdr:row>
      <xdr:rowOff>133350</xdr:rowOff>
    </xdr:to>
    <xdr:pic>
      <xdr:nvPicPr>
        <xdr:cNvPr id="5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699</xdr:row>
      <xdr:rowOff>0</xdr:rowOff>
    </xdr:from>
    <xdr:to>
      <xdr:col>25</xdr:col>
      <xdr:colOff>152400</xdr:colOff>
      <xdr:row>699</xdr:row>
      <xdr:rowOff>133350</xdr:rowOff>
    </xdr:to>
    <xdr:pic>
      <xdr:nvPicPr>
        <xdr:cNvPr id="5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700</xdr:row>
      <xdr:rowOff>0</xdr:rowOff>
    </xdr:from>
    <xdr:to>
      <xdr:col>25</xdr:col>
      <xdr:colOff>152400</xdr:colOff>
      <xdr:row>700</xdr:row>
      <xdr:rowOff>133350</xdr:rowOff>
    </xdr:to>
    <xdr:pic>
      <xdr:nvPicPr>
        <xdr:cNvPr id="5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701</xdr:row>
      <xdr:rowOff>0</xdr:rowOff>
    </xdr:from>
    <xdr:to>
      <xdr:col>25</xdr:col>
      <xdr:colOff>152400</xdr:colOff>
      <xdr:row>701</xdr:row>
      <xdr:rowOff>133350</xdr:rowOff>
    </xdr:to>
    <xdr:pic>
      <xdr:nvPicPr>
        <xdr:cNvPr id="5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702</xdr:row>
      <xdr:rowOff>0</xdr:rowOff>
    </xdr:from>
    <xdr:to>
      <xdr:col>25</xdr:col>
      <xdr:colOff>152400</xdr:colOff>
      <xdr:row>702</xdr:row>
      <xdr:rowOff>133350</xdr:rowOff>
    </xdr:to>
    <xdr:pic>
      <xdr:nvPicPr>
        <xdr:cNvPr id="5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703</xdr:row>
      <xdr:rowOff>0</xdr:rowOff>
    </xdr:from>
    <xdr:to>
      <xdr:col>25</xdr:col>
      <xdr:colOff>152400</xdr:colOff>
      <xdr:row>703</xdr:row>
      <xdr:rowOff>133350</xdr:rowOff>
    </xdr:to>
    <xdr:pic>
      <xdr:nvPicPr>
        <xdr:cNvPr id="5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704</xdr:row>
      <xdr:rowOff>0</xdr:rowOff>
    </xdr:from>
    <xdr:to>
      <xdr:col>25</xdr:col>
      <xdr:colOff>152400</xdr:colOff>
      <xdr:row>704</xdr:row>
      <xdr:rowOff>133350</xdr:rowOff>
    </xdr:to>
    <xdr:pic>
      <xdr:nvPicPr>
        <xdr:cNvPr id="5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705</xdr:row>
      <xdr:rowOff>0</xdr:rowOff>
    </xdr:from>
    <xdr:to>
      <xdr:col>25</xdr:col>
      <xdr:colOff>152400</xdr:colOff>
      <xdr:row>705</xdr:row>
      <xdr:rowOff>133350</xdr:rowOff>
    </xdr:to>
    <xdr:pic>
      <xdr:nvPicPr>
        <xdr:cNvPr id="5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706</xdr:row>
      <xdr:rowOff>0</xdr:rowOff>
    </xdr:from>
    <xdr:to>
      <xdr:col>25</xdr:col>
      <xdr:colOff>152400</xdr:colOff>
      <xdr:row>706</xdr:row>
      <xdr:rowOff>133350</xdr:rowOff>
    </xdr:to>
    <xdr:pic>
      <xdr:nvPicPr>
        <xdr:cNvPr id="5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707</xdr:row>
      <xdr:rowOff>0</xdr:rowOff>
    </xdr:from>
    <xdr:to>
      <xdr:col>25</xdr:col>
      <xdr:colOff>152400</xdr:colOff>
      <xdr:row>707</xdr:row>
      <xdr:rowOff>133350</xdr:rowOff>
    </xdr:to>
    <xdr:pic>
      <xdr:nvPicPr>
        <xdr:cNvPr id="5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708</xdr:row>
      <xdr:rowOff>0</xdr:rowOff>
    </xdr:from>
    <xdr:to>
      <xdr:col>25</xdr:col>
      <xdr:colOff>152400</xdr:colOff>
      <xdr:row>708</xdr:row>
      <xdr:rowOff>133350</xdr:rowOff>
    </xdr:to>
    <xdr:pic>
      <xdr:nvPicPr>
        <xdr:cNvPr id="5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709</xdr:row>
      <xdr:rowOff>0</xdr:rowOff>
    </xdr:from>
    <xdr:to>
      <xdr:col>25</xdr:col>
      <xdr:colOff>152400</xdr:colOff>
      <xdr:row>709</xdr:row>
      <xdr:rowOff>133350</xdr:rowOff>
    </xdr:to>
    <xdr:pic>
      <xdr:nvPicPr>
        <xdr:cNvPr id="5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710</xdr:row>
      <xdr:rowOff>0</xdr:rowOff>
    </xdr:from>
    <xdr:to>
      <xdr:col>25</xdr:col>
      <xdr:colOff>152400</xdr:colOff>
      <xdr:row>710</xdr:row>
      <xdr:rowOff>133350</xdr:rowOff>
    </xdr:to>
    <xdr:pic>
      <xdr:nvPicPr>
        <xdr:cNvPr id="5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711</xdr:row>
      <xdr:rowOff>0</xdr:rowOff>
    </xdr:from>
    <xdr:to>
      <xdr:col>25</xdr:col>
      <xdr:colOff>152400</xdr:colOff>
      <xdr:row>711</xdr:row>
      <xdr:rowOff>133350</xdr:rowOff>
    </xdr:to>
    <xdr:pic>
      <xdr:nvPicPr>
        <xdr:cNvPr id="5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712</xdr:row>
      <xdr:rowOff>0</xdr:rowOff>
    </xdr:from>
    <xdr:to>
      <xdr:col>25</xdr:col>
      <xdr:colOff>152400</xdr:colOff>
      <xdr:row>712</xdr:row>
      <xdr:rowOff>133350</xdr:rowOff>
    </xdr:to>
    <xdr:pic>
      <xdr:nvPicPr>
        <xdr:cNvPr id="5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713</xdr:row>
      <xdr:rowOff>0</xdr:rowOff>
    </xdr:from>
    <xdr:to>
      <xdr:col>25</xdr:col>
      <xdr:colOff>152400</xdr:colOff>
      <xdr:row>713</xdr:row>
      <xdr:rowOff>133350</xdr:rowOff>
    </xdr:to>
    <xdr:pic>
      <xdr:nvPicPr>
        <xdr:cNvPr id="5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714</xdr:row>
      <xdr:rowOff>0</xdr:rowOff>
    </xdr:from>
    <xdr:to>
      <xdr:col>25</xdr:col>
      <xdr:colOff>152400</xdr:colOff>
      <xdr:row>714</xdr:row>
      <xdr:rowOff>133350</xdr:rowOff>
    </xdr:to>
    <xdr:pic>
      <xdr:nvPicPr>
        <xdr:cNvPr id="5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715</xdr:row>
      <xdr:rowOff>0</xdr:rowOff>
    </xdr:from>
    <xdr:to>
      <xdr:col>25</xdr:col>
      <xdr:colOff>152400</xdr:colOff>
      <xdr:row>715</xdr:row>
      <xdr:rowOff>133350</xdr:rowOff>
    </xdr:to>
    <xdr:pic>
      <xdr:nvPicPr>
        <xdr:cNvPr id="5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716</xdr:row>
      <xdr:rowOff>0</xdr:rowOff>
    </xdr:from>
    <xdr:to>
      <xdr:col>25</xdr:col>
      <xdr:colOff>152400</xdr:colOff>
      <xdr:row>716</xdr:row>
      <xdr:rowOff>133350</xdr:rowOff>
    </xdr:to>
    <xdr:pic>
      <xdr:nvPicPr>
        <xdr:cNvPr id="5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717</xdr:row>
      <xdr:rowOff>0</xdr:rowOff>
    </xdr:from>
    <xdr:to>
      <xdr:col>25</xdr:col>
      <xdr:colOff>152400</xdr:colOff>
      <xdr:row>717</xdr:row>
      <xdr:rowOff>133350</xdr:rowOff>
    </xdr:to>
    <xdr:pic>
      <xdr:nvPicPr>
        <xdr:cNvPr id="5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718</xdr:row>
      <xdr:rowOff>0</xdr:rowOff>
    </xdr:from>
    <xdr:to>
      <xdr:col>25</xdr:col>
      <xdr:colOff>152400</xdr:colOff>
      <xdr:row>718</xdr:row>
      <xdr:rowOff>133350</xdr:rowOff>
    </xdr:to>
    <xdr:pic>
      <xdr:nvPicPr>
        <xdr:cNvPr id="5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723</xdr:row>
      <xdr:rowOff>0</xdr:rowOff>
    </xdr:from>
    <xdr:to>
      <xdr:col>25</xdr:col>
      <xdr:colOff>152400</xdr:colOff>
      <xdr:row>723</xdr:row>
      <xdr:rowOff>133350</xdr:rowOff>
    </xdr:to>
    <xdr:pic>
      <xdr:nvPicPr>
        <xdr:cNvPr id="5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724</xdr:row>
      <xdr:rowOff>0</xdr:rowOff>
    </xdr:from>
    <xdr:to>
      <xdr:col>25</xdr:col>
      <xdr:colOff>152400</xdr:colOff>
      <xdr:row>724</xdr:row>
      <xdr:rowOff>133350</xdr:rowOff>
    </xdr:to>
    <xdr:pic>
      <xdr:nvPicPr>
        <xdr:cNvPr id="5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725</xdr:row>
      <xdr:rowOff>0</xdr:rowOff>
    </xdr:from>
    <xdr:to>
      <xdr:col>25</xdr:col>
      <xdr:colOff>152400</xdr:colOff>
      <xdr:row>725</xdr:row>
      <xdr:rowOff>133350</xdr:rowOff>
    </xdr:to>
    <xdr:pic>
      <xdr:nvPicPr>
        <xdr:cNvPr id="5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726</xdr:row>
      <xdr:rowOff>0</xdr:rowOff>
    </xdr:from>
    <xdr:to>
      <xdr:col>25</xdr:col>
      <xdr:colOff>152400</xdr:colOff>
      <xdr:row>726</xdr:row>
      <xdr:rowOff>133350</xdr:rowOff>
    </xdr:to>
    <xdr:pic>
      <xdr:nvPicPr>
        <xdr:cNvPr id="5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727</xdr:row>
      <xdr:rowOff>0</xdr:rowOff>
    </xdr:from>
    <xdr:to>
      <xdr:col>25</xdr:col>
      <xdr:colOff>152400</xdr:colOff>
      <xdr:row>727</xdr:row>
      <xdr:rowOff>133350</xdr:rowOff>
    </xdr:to>
    <xdr:pic>
      <xdr:nvPicPr>
        <xdr:cNvPr id="5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728</xdr:row>
      <xdr:rowOff>0</xdr:rowOff>
    </xdr:from>
    <xdr:to>
      <xdr:col>25</xdr:col>
      <xdr:colOff>152400</xdr:colOff>
      <xdr:row>728</xdr:row>
      <xdr:rowOff>133350</xdr:rowOff>
    </xdr:to>
    <xdr:pic>
      <xdr:nvPicPr>
        <xdr:cNvPr id="5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729</xdr:row>
      <xdr:rowOff>0</xdr:rowOff>
    </xdr:from>
    <xdr:to>
      <xdr:col>25</xdr:col>
      <xdr:colOff>152400</xdr:colOff>
      <xdr:row>729</xdr:row>
      <xdr:rowOff>133350</xdr:rowOff>
    </xdr:to>
    <xdr:pic>
      <xdr:nvPicPr>
        <xdr:cNvPr id="5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730</xdr:row>
      <xdr:rowOff>0</xdr:rowOff>
    </xdr:from>
    <xdr:to>
      <xdr:col>25</xdr:col>
      <xdr:colOff>152400</xdr:colOff>
      <xdr:row>730</xdr:row>
      <xdr:rowOff>133350</xdr:rowOff>
    </xdr:to>
    <xdr:pic>
      <xdr:nvPicPr>
        <xdr:cNvPr id="6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731</xdr:row>
      <xdr:rowOff>0</xdr:rowOff>
    </xdr:from>
    <xdr:to>
      <xdr:col>25</xdr:col>
      <xdr:colOff>152400</xdr:colOff>
      <xdr:row>731</xdr:row>
      <xdr:rowOff>133350</xdr:rowOff>
    </xdr:to>
    <xdr:pic>
      <xdr:nvPicPr>
        <xdr:cNvPr id="6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732</xdr:row>
      <xdr:rowOff>0</xdr:rowOff>
    </xdr:from>
    <xdr:to>
      <xdr:col>25</xdr:col>
      <xdr:colOff>152400</xdr:colOff>
      <xdr:row>732</xdr:row>
      <xdr:rowOff>133350</xdr:rowOff>
    </xdr:to>
    <xdr:pic>
      <xdr:nvPicPr>
        <xdr:cNvPr id="6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733</xdr:row>
      <xdr:rowOff>0</xdr:rowOff>
    </xdr:from>
    <xdr:to>
      <xdr:col>25</xdr:col>
      <xdr:colOff>152400</xdr:colOff>
      <xdr:row>733</xdr:row>
      <xdr:rowOff>133350</xdr:rowOff>
    </xdr:to>
    <xdr:pic>
      <xdr:nvPicPr>
        <xdr:cNvPr id="6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734</xdr:row>
      <xdr:rowOff>0</xdr:rowOff>
    </xdr:from>
    <xdr:to>
      <xdr:col>25</xdr:col>
      <xdr:colOff>152400</xdr:colOff>
      <xdr:row>734</xdr:row>
      <xdr:rowOff>133350</xdr:rowOff>
    </xdr:to>
    <xdr:pic>
      <xdr:nvPicPr>
        <xdr:cNvPr id="6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735</xdr:row>
      <xdr:rowOff>0</xdr:rowOff>
    </xdr:from>
    <xdr:to>
      <xdr:col>25</xdr:col>
      <xdr:colOff>152400</xdr:colOff>
      <xdr:row>735</xdr:row>
      <xdr:rowOff>133350</xdr:rowOff>
    </xdr:to>
    <xdr:pic>
      <xdr:nvPicPr>
        <xdr:cNvPr id="6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736</xdr:row>
      <xdr:rowOff>0</xdr:rowOff>
    </xdr:from>
    <xdr:to>
      <xdr:col>25</xdr:col>
      <xdr:colOff>152400</xdr:colOff>
      <xdr:row>736</xdr:row>
      <xdr:rowOff>133350</xdr:rowOff>
    </xdr:to>
    <xdr:pic>
      <xdr:nvPicPr>
        <xdr:cNvPr id="6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737</xdr:row>
      <xdr:rowOff>0</xdr:rowOff>
    </xdr:from>
    <xdr:to>
      <xdr:col>25</xdr:col>
      <xdr:colOff>152400</xdr:colOff>
      <xdr:row>737</xdr:row>
      <xdr:rowOff>133350</xdr:rowOff>
    </xdr:to>
    <xdr:pic>
      <xdr:nvPicPr>
        <xdr:cNvPr id="6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738</xdr:row>
      <xdr:rowOff>0</xdr:rowOff>
    </xdr:from>
    <xdr:to>
      <xdr:col>25</xdr:col>
      <xdr:colOff>152400</xdr:colOff>
      <xdr:row>738</xdr:row>
      <xdr:rowOff>133350</xdr:rowOff>
    </xdr:to>
    <xdr:pic>
      <xdr:nvPicPr>
        <xdr:cNvPr id="6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739</xdr:row>
      <xdr:rowOff>0</xdr:rowOff>
    </xdr:from>
    <xdr:to>
      <xdr:col>25</xdr:col>
      <xdr:colOff>152400</xdr:colOff>
      <xdr:row>739</xdr:row>
      <xdr:rowOff>133350</xdr:rowOff>
    </xdr:to>
    <xdr:pic>
      <xdr:nvPicPr>
        <xdr:cNvPr id="6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740</xdr:row>
      <xdr:rowOff>0</xdr:rowOff>
    </xdr:from>
    <xdr:to>
      <xdr:col>25</xdr:col>
      <xdr:colOff>152400</xdr:colOff>
      <xdr:row>740</xdr:row>
      <xdr:rowOff>133350</xdr:rowOff>
    </xdr:to>
    <xdr:pic>
      <xdr:nvPicPr>
        <xdr:cNvPr id="6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741</xdr:row>
      <xdr:rowOff>0</xdr:rowOff>
    </xdr:from>
    <xdr:to>
      <xdr:col>25</xdr:col>
      <xdr:colOff>152400</xdr:colOff>
      <xdr:row>741</xdr:row>
      <xdr:rowOff>133350</xdr:rowOff>
    </xdr:to>
    <xdr:pic>
      <xdr:nvPicPr>
        <xdr:cNvPr id="6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742</xdr:row>
      <xdr:rowOff>0</xdr:rowOff>
    </xdr:from>
    <xdr:to>
      <xdr:col>25</xdr:col>
      <xdr:colOff>152400</xdr:colOff>
      <xdr:row>742</xdr:row>
      <xdr:rowOff>133350</xdr:rowOff>
    </xdr:to>
    <xdr:pic>
      <xdr:nvPicPr>
        <xdr:cNvPr id="6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743</xdr:row>
      <xdr:rowOff>0</xdr:rowOff>
    </xdr:from>
    <xdr:to>
      <xdr:col>25</xdr:col>
      <xdr:colOff>152400</xdr:colOff>
      <xdr:row>743</xdr:row>
      <xdr:rowOff>133350</xdr:rowOff>
    </xdr:to>
    <xdr:pic>
      <xdr:nvPicPr>
        <xdr:cNvPr id="6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744</xdr:row>
      <xdr:rowOff>0</xdr:rowOff>
    </xdr:from>
    <xdr:to>
      <xdr:col>25</xdr:col>
      <xdr:colOff>152400</xdr:colOff>
      <xdr:row>744</xdr:row>
      <xdr:rowOff>133350</xdr:rowOff>
    </xdr:to>
    <xdr:pic>
      <xdr:nvPicPr>
        <xdr:cNvPr id="6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745</xdr:row>
      <xdr:rowOff>0</xdr:rowOff>
    </xdr:from>
    <xdr:to>
      <xdr:col>25</xdr:col>
      <xdr:colOff>152400</xdr:colOff>
      <xdr:row>745</xdr:row>
      <xdr:rowOff>133350</xdr:rowOff>
    </xdr:to>
    <xdr:pic>
      <xdr:nvPicPr>
        <xdr:cNvPr id="6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746</xdr:row>
      <xdr:rowOff>0</xdr:rowOff>
    </xdr:from>
    <xdr:to>
      <xdr:col>25</xdr:col>
      <xdr:colOff>152400</xdr:colOff>
      <xdr:row>746</xdr:row>
      <xdr:rowOff>133350</xdr:rowOff>
    </xdr:to>
    <xdr:pic>
      <xdr:nvPicPr>
        <xdr:cNvPr id="6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747</xdr:row>
      <xdr:rowOff>0</xdr:rowOff>
    </xdr:from>
    <xdr:to>
      <xdr:col>25</xdr:col>
      <xdr:colOff>152400</xdr:colOff>
      <xdr:row>747</xdr:row>
      <xdr:rowOff>133350</xdr:rowOff>
    </xdr:to>
    <xdr:pic>
      <xdr:nvPicPr>
        <xdr:cNvPr id="6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748</xdr:row>
      <xdr:rowOff>0</xdr:rowOff>
    </xdr:from>
    <xdr:to>
      <xdr:col>25</xdr:col>
      <xdr:colOff>152400</xdr:colOff>
      <xdr:row>748</xdr:row>
      <xdr:rowOff>133350</xdr:rowOff>
    </xdr:to>
    <xdr:pic>
      <xdr:nvPicPr>
        <xdr:cNvPr id="6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749</xdr:row>
      <xdr:rowOff>0</xdr:rowOff>
    </xdr:from>
    <xdr:to>
      <xdr:col>25</xdr:col>
      <xdr:colOff>152400</xdr:colOff>
      <xdr:row>749</xdr:row>
      <xdr:rowOff>133350</xdr:rowOff>
    </xdr:to>
    <xdr:pic>
      <xdr:nvPicPr>
        <xdr:cNvPr id="6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750</xdr:row>
      <xdr:rowOff>0</xdr:rowOff>
    </xdr:from>
    <xdr:to>
      <xdr:col>25</xdr:col>
      <xdr:colOff>152400</xdr:colOff>
      <xdr:row>750</xdr:row>
      <xdr:rowOff>133350</xdr:rowOff>
    </xdr:to>
    <xdr:pic>
      <xdr:nvPicPr>
        <xdr:cNvPr id="6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751</xdr:row>
      <xdr:rowOff>0</xdr:rowOff>
    </xdr:from>
    <xdr:to>
      <xdr:col>25</xdr:col>
      <xdr:colOff>152400</xdr:colOff>
      <xdr:row>751</xdr:row>
      <xdr:rowOff>133350</xdr:rowOff>
    </xdr:to>
    <xdr:pic>
      <xdr:nvPicPr>
        <xdr:cNvPr id="6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752</xdr:row>
      <xdr:rowOff>0</xdr:rowOff>
    </xdr:from>
    <xdr:to>
      <xdr:col>25</xdr:col>
      <xdr:colOff>152400</xdr:colOff>
      <xdr:row>752</xdr:row>
      <xdr:rowOff>133350</xdr:rowOff>
    </xdr:to>
    <xdr:pic>
      <xdr:nvPicPr>
        <xdr:cNvPr id="6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753</xdr:row>
      <xdr:rowOff>0</xdr:rowOff>
    </xdr:from>
    <xdr:to>
      <xdr:col>25</xdr:col>
      <xdr:colOff>152400</xdr:colOff>
      <xdr:row>753</xdr:row>
      <xdr:rowOff>133350</xdr:rowOff>
    </xdr:to>
    <xdr:pic>
      <xdr:nvPicPr>
        <xdr:cNvPr id="6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754</xdr:row>
      <xdr:rowOff>0</xdr:rowOff>
    </xdr:from>
    <xdr:to>
      <xdr:col>25</xdr:col>
      <xdr:colOff>152400</xdr:colOff>
      <xdr:row>754</xdr:row>
      <xdr:rowOff>133350</xdr:rowOff>
    </xdr:to>
    <xdr:pic>
      <xdr:nvPicPr>
        <xdr:cNvPr id="6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755</xdr:row>
      <xdr:rowOff>0</xdr:rowOff>
    </xdr:from>
    <xdr:to>
      <xdr:col>25</xdr:col>
      <xdr:colOff>152400</xdr:colOff>
      <xdr:row>755</xdr:row>
      <xdr:rowOff>133350</xdr:rowOff>
    </xdr:to>
    <xdr:pic>
      <xdr:nvPicPr>
        <xdr:cNvPr id="6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756</xdr:row>
      <xdr:rowOff>0</xdr:rowOff>
    </xdr:from>
    <xdr:to>
      <xdr:col>25</xdr:col>
      <xdr:colOff>152400</xdr:colOff>
      <xdr:row>756</xdr:row>
      <xdr:rowOff>133350</xdr:rowOff>
    </xdr:to>
    <xdr:pic>
      <xdr:nvPicPr>
        <xdr:cNvPr id="6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757</xdr:row>
      <xdr:rowOff>0</xdr:rowOff>
    </xdr:from>
    <xdr:to>
      <xdr:col>25</xdr:col>
      <xdr:colOff>152400</xdr:colOff>
      <xdr:row>757</xdr:row>
      <xdr:rowOff>133350</xdr:rowOff>
    </xdr:to>
    <xdr:pic>
      <xdr:nvPicPr>
        <xdr:cNvPr id="6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758</xdr:row>
      <xdr:rowOff>0</xdr:rowOff>
    </xdr:from>
    <xdr:to>
      <xdr:col>25</xdr:col>
      <xdr:colOff>152400</xdr:colOff>
      <xdr:row>758</xdr:row>
      <xdr:rowOff>133350</xdr:rowOff>
    </xdr:to>
    <xdr:pic>
      <xdr:nvPicPr>
        <xdr:cNvPr id="6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759</xdr:row>
      <xdr:rowOff>0</xdr:rowOff>
    </xdr:from>
    <xdr:to>
      <xdr:col>25</xdr:col>
      <xdr:colOff>152400</xdr:colOff>
      <xdr:row>759</xdr:row>
      <xdr:rowOff>133350</xdr:rowOff>
    </xdr:to>
    <xdr:pic>
      <xdr:nvPicPr>
        <xdr:cNvPr id="6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760</xdr:row>
      <xdr:rowOff>0</xdr:rowOff>
    </xdr:from>
    <xdr:to>
      <xdr:col>25</xdr:col>
      <xdr:colOff>152400</xdr:colOff>
      <xdr:row>760</xdr:row>
      <xdr:rowOff>133350</xdr:rowOff>
    </xdr:to>
    <xdr:pic>
      <xdr:nvPicPr>
        <xdr:cNvPr id="6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761</xdr:row>
      <xdr:rowOff>0</xdr:rowOff>
    </xdr:from>
    <xdr:to>
      <xdr:col>25</xdr:col>
      <xdr:colOff>152400</xdr:colOff>
      <xdr:row>761</xdr:row>
      <xdr:rowOff>133350</xdr:rowOff>
    </xdr:to>
    <xdr:pic>
      <xdr:nvPicPr>
        <xdr:cNvPr id="6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762</xdr:row>
      <xdr:rowOff>0</xdr:rowOff>
    </xdr:from>
    <xdr:to>
      <xdr:col>25</xdr:col>
      <xdr:colOff>152400</xdr:colOff>
      <xdr:row>762</xdr:row>
      <xdr:rowOff>133350</xdr:rowOff>
    </xdr:to>
    <xdr:pic>
      <xdr:nvPicPr>
        <xdr:cNvPr id="6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763</xdr:row>
      <xdr:rowOff>0</xdr:rowOff>
    </xdr:from>
    <xdr:to>
      <xdr:col>25</xdr:col>
      <xdr:colOff>152400</xdr:colOff>
      <xdr:row>763</xdr:row>
      <xdr:rowOff>133350</xdr:rowOff>
    </xdr:to>
    <xdr:pic>
      <xdr:nvPicPr>
        <xdr:cNvPr id="6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764</xdr:row>
      <xdr:rowOff>0</xdr:rowOff>
    </xdr:from>
    <xdr:to>
      <xdr:col>25</xdr:col>
      <xdr:colOff>152400</xdr:colOff>
      <xdr:row>764</xdr:row>
      <xdr:rowOff>133350</xdr:rowOff>
    </xdr:to>
    <xdr:pic>
      <xdr:nvPicPr>
        <xdr:cNvPr id="6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765</xdr:row>
      <xdr:rowOff>0</xdr:rowOff>
    </xdr:from>
    <xdr:to>
      <xdr:col>25</xdr:col>
      <xdr:colOff>152400</xdr:colOff>
      <xdr:row>765</xdr:row>
      <xdr:rowOff>133350</xdr:rowOff>
    </xdr:to>
    <xdr:pic>
      <xdr:nvPicPr>
        <xdr:cNvPr id="6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766</xdr:row>
      <xdr:rowOff>0</xdr:rowOff>
    </xdr:from>
    <xdr:to>
      <xdr:col>25</xdr:col>
      <xdr:colOff>152400</xdr:colOff>
      <xdr:row>766</xdr:row>
      <xdr:rowOff>133350</xdr:rowOff>
    </xdr:to>
    <xdr:pic>
      <xdr:nvPicPr>
        <xdr:cNvPr id="6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767</xdr:row>
      <xdr:rowOff>0</xdr:rowOff>
    </xdr:from>
    <xdr:to>
      <xdr:col>25</xdr:col>
      <xdr:colOff>152400</xdr:colOff>
      <xdr:row>767</xdr:row>
      <xdr:rowOff>133350</xdr:rowOff>
    </xdr:to>
    <xdr:pic>
      <xdr:nvPicPr>
        <xdr:cNvPr id="6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768</xdr:row>
      <xdr:rowOff>0</xdr:rowOff>
    </xdr:from>
    <xdr:to>
      <xdr:col>25</xdr:col>
      <xdr:colOff>152400</xdr:colOff>
      <xdr:row>768</xdr:row>
      <xdr:rowOff>133350</xdr:rowOff>
    </xdr:to>
    <xdr:pic>
      <xdr:nvPicPr>
        <xdr:cNvPr id="6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769</xdr:row>
      <xdr:rowOff>0</xdr:rowOff>
    </xdr:from>
    <xdr:to>
      <xdr:col>25</xdr:col>
      <xdr:colOff>152400</xdr:colOff>
      <xdr:row>769</xdr:row>
      <xdr:rowOff>133350</xdr:rowOff>
    </xdr:to>
    <xdr:pic>
      <xdr:nvPicPr>
        <xdr:cNvPr id="6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770</xdr:row>
      <xdr:rowOff>0</xdr:rowOff>
    </xdr:from>
    <xdr:to>
      <xdr:col>25</xdr:col>
      <xdr:colOff>152400</xdr:colOff>
      <xdr:row>770</xdr:row>
      <xdr:rowOff>133350</xdr:rowOff>
    </xdr:to>
    <xdr:pic>
      <xdr:nvPicPr>
        <xdr:cNvPr id="6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771</xdr:row>
      <xdr:rowOff>0</xdr:rowOff>
    </xdr:from>
    <xdr:to>
      <xdr:col>25</xdr:col>
      <xdr:colOff>152400</xdr:colOff>
      <xdr:row>771</xdr:row>
      <xdr:rowOff>133350</xdr:rowOff>
    </xdr:to>
    <xdr:pic>
      <xdr:nvPicPr>
        <xdr:cNvPr id="6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772</xdr:row>
      <xdr:rowOff>0</xdr:rowOff>
    </xdr:from>
    <xdr:to>
      <xdr:col>25</xdr:col>
      <xdr:colOff>152400</xdr:colOff>
      <xdr:row>772</xdr:row>
      <xdr:rowOff>133350</xdr:rowOff>
    </xdr:to>
    <xdr:pic>
      <xdr:nvPicPr>
        <xdr:cNvPr id="6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773</xdr:row>
      <xdr:rowOff>0</xdr:rowOff>
    </xdr:from>
    <xdr:to>
      <xdr:col>25</xdr:col>
      <xdr:colOff>152400</xdr:colOff>
      <xdr:row>773</xdr:row>
      <xdr:rowOff>133350</xdr:rowOff>
    </xdr:to>
    <xdr:pic>
      <xdr:nvPicPr>
        <xdr:cNvPr id="6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774</xdr:row>
      <xdr:rowOff>0</xdr:rowOff>
    </xdr:from>
    <xdr:to>
      <xdr:col>25</xdr:col>
      <xdr:colOff>152400</xdr:colOff>
      <xdr:row>774</xdr:row>
      <xdr:rowOff>133350</xdr:rowOff>
    </xdr:to>
    <xdr:pic>
      <xdr:nvPicPr>
        <xdr:cNvPr id="6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775</xdr:row>
      <xdr:rowOff>0</xdr:rowOff>
    </xdr:from>
    <xdr:to>
      <xdr:col>25</xdr:col>
      <xdr:colOff>152400</xdr:colOff>
      <xdr:row>775</xdr:row>
      <xdr:rowOff>133350</xdr:rowOff>
    </xdr:to>
    <xdr:pic>
      <xdr:nvPicPr>
        <xdr:cNvPr id="6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776</xdr:row>
      <xdr:rowOff>0</xdr:rowOff>
    </xdr:from>
    <xdr:to>
      <xdr:col>25</xdr:col>
      <xdr:colOff>152400</xdr:colOff>
      <xdr:row>776</xdr:row>
      <xdr:rowOff>133350</xdr:rowOff>
    </xdr:to>
    <xdr:pic>
      <xdr:nvPicPr>
        <xdr:cNvPr id="6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777</xdr:row>
      <xdr:rowOff>0</xdr:rowOff>
    </xdr:from>
    <xdr:to>
      <xdr:col>25</xdr:col>
      <xdr:colOff>152400</xdr:colOff>
      <xdr:row>777</xdr:row>
      <xdr:rowOff>133350</xdr:rowOff>
    </xdr:to>
    <xdr:pic>
      <xdr:nvPicPr>
        <xdr:cNvPr id="6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778</xdr:row>
      <xdr:rowOff>0</xdr:rowOff>
    </xdr:from>
    <xdr:to>
      <xdr:col>25</xdr:col>
      <xdr:colOff>152400</xdr:colOff>
      <xdr:row>778</xdr:row>
      <xdr:rowOff>133350</xdr:rowOff>
    </xdr:to>
    <xdr:pic>
      <xdr:nvPicPr>
        <xdr:cNvPr id="6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779</xdr:row>
      <xdr:rowOff>0</xdr:rowOff>
    </xdr:from>
    <xdr:to>
      <xdr:col>25</xdr:col>
      <xdr:colOff>152400</xdr:colOff>
      <xdr:row>779</xdr:row>
      <xdr:rowOff>133350</xdr:rowOff>
    </xdr:to>
    <xdr:pic>
      <xdr:nvPicPr>
        <xdr:cNvPr id="6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780</xdr:row>
      <xdr:rowOff>0</xdr:rowOff>
    </xdr:from>
    <xdr:to>
      <xdr:col>25</xdr:col>
      <xdr:colOff>152400</xdr:colOff>
      <xdr:row>780</xdr:row>
      <xdr:rowOff>133350</xdr:rowOff>
    </xdr:to>
    <xdr:pic>
      <xdr:nvPicPr>
        <xdr:cNvPr id="6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781</xdr:row>
      <xdr:rowOff>0</xdr:rowOff>
    </xdr:from>
    <xdr:to>
      <xdr:col>25</xdr:col>
      <xdr:colOff>152400</xdr:colOff>
      <xdr:row>781</xdr:row>
      <xdr:rowOff>133350</xdr:rowOff>
    </xdr:to>
    <xdr:pic>
      <xdr:nvPicPr>
        <xdr:cNvPr id="6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782</xdr:row>
      <xdr:rowOff>0</xdr:rowOff>
    </xdr:from>
    <xdr:to>
      <xdr:col>25</xdr:col>
      <xdr:colOff>152400</xdr:colOff>
      <xdr:row>782</xdr:row>
      <xdr:rowOff>133350</xdr:rowOff>
    </xdr:to>
    <xdr:pic>
      <xdr:nvPicPr>
        <xdr:cNvPr id="6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783</xdr:row>
      <xdr:rowOff>0</xdr:rowOff>
    </xdr:from>
    <xdr:to>
      <xdr:col>25</xdr:col>
      <xdr:colOff>152400</xdr:colOff>
      <xdr:row>783</xdr:row>
      <xdr:rowOff>133350</xdr:rowOff>
    </xdr:to>
    <xdr:pic>
      <xdr:nvPicPr>
        <xdr:cNvPr id="6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784</xdr:row>
      <xdr:rowOff>0</xdr:rowOff>
    </xdr:from>
    <xdr:to>
      <xdr:col>25</xdr:col>
      <xdr:colOff>152400</xdr:colOff>
      <xdr:row>784</xdr:row>
      <xdr:rowOff>133350</xdr:rowOff>
    </xdr:to>
    <xdr:pic>
      <xdr:nvPicPr>
        <xdr:cNvPr id="6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785</xdr:row>
      <xdr:rowOff>0</xdr:rowOff>
    </xdr:from>
    <xdr:to>
      <xdr:col>25</xdr:col>
      <xdr:colOff>152400</xdr:colOff>
      <xdr:row>785</xdr:row>
      <xdr:rowOff>133350</xdr:rowOff>
    </xdr:to>
    <xdr:pic>
      <xdr:nvPicPr>
        <xdr:cNvPr id="6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786</xdr:row>
      <xdr:rowOff>0</xdr:rowOff>
    </xdr:from>
    <xdr:to>
      <xdr:col>25</xdr:col>
      <xdr:colOff>152400</xdr:colOff>
      <xdr:row>786</xdr:row>
      <xdr:rowOff>133350</xdr:rowOff>
    </xdr:to>
    <xdr:pic>
      <xdr:nvPicPr>
        <xdr:cNvPr id="6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787</xdr:row>
      <xdr:rowOff>0</xdr:rowOff>
    </xdr:from>
    <xdr:to>
      <xdr:col>25</xdr:col>
      <xdr:colOff>152400</xdr:colOff>
      <xdr:row>787</xdr:row>
      <xdr:rowOff>133350</xdr:rowOff>
    </xdr:to>
    <xdr:pic>
      <xdr:nvPicPr>
        <xdr:cNvPr id="6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788</xdr:row>
      <xdr:rowOff>0</xdr:rowOff>
    </xdr:from>
    <xdr:to>
      <xdr:col>25</xdr:col>
      <xdr:colOff>152400</xdr:colOff>
      <xdr:row>788</xdr:row>
      <xdr:rowOff>133350</xdr:rowOff>
    </xdr:to>
    <xdr:pic>
      <xdr:nvPicPr>
        <xdr:cNvPr id="6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789</xdr:row>
      <xdr:rowOff>0</xdr:rowOff>
    </xdr:from>
    <xdr:to>
      <xdr:col>25</xdr:col>
      <xdr:colOff>152400</xdr:colOff>
      <xdr:row>789</xdr:row>
      <xdr:rowOff>133350</xdr:rowOff>
    </xdr:to>
    <xdr:pic>
      <xdr:nvPicPr>
        <xdr:cNvPr id="6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790</xdr:row>
      <xdr:rowOff>0</xdr:rowOff>
    </xdr:from>
    <xdr:to>
      <xdr:col>25</xdr:col>
      <xdr:colOff>152400</xdr:colOff>
      <xdr:row>790</xdr:row>
      <xdr:rowOff>133350</xdr:rowOff>
    </xdr:to>
    <xdr:pic>
      <xdr:nvPicPr>
        <xdr:cNvPr id="6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800</xdr:row>
      <xdr:rowOff>0</xdr:rowOff>
    </xdr:from>
    <xdr:to>
      <xdr:col>25</xdr:col>
      <xdr:colOff>152400</xdr:colOff>
      <xdr:row>800</xdr:row>
      <xdr:rowOff>133350</xdr:rowOff>
    </xdr:to>
    <xdr:pic>
      <xdr:nvPicPr>
        <xdr:cNvPr id="6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801</xdr:row>
      <xdr:rowOff>0</xdr:rowOff>
    </xdr:from>
    <xdr:to>
      <xdr:col>25</xdr:col>
      <xdr:colOff>152400</xdr:colOff>
      <xdr:row>801</xdr:row>
      <xdr:rowOff>133350</xdr:rowOff>
    </xdr:to>
    <xdr:pic>
      <xdr:nvPicPr>
        <xdr:cNvPr id="6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802</xdr:row>
      <xdr:rowOff>0</xdr:rowOff>
    </xdr:from>
    <xdr:to>
      <xdr:col>25</xdr:col>
      <xdr:colOff>152400</xdr:colOff>
      <xdr:row>802</xdr:row>
      <xdr:rowOff>133350</xdr:rowOff>
    </xdr:to>
    <xdr:pic>
      <xdr:nvPicPr>
        <xdr:cNvPr id="6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803</xdr:row>
      <xdr:rowOff>0</xdr:rowOff>
    </xdr:from>
    <xdr:to>
      <xdr:col>25</xdr:col>
      <xdr:colOff>152400</xdr:colOff>
      <xdr:row>803</xdr:row>
      <xdr:rowOff>133350</xdr:rowOff>
    </xdr:to>
    <xdr:pic>
      <xdr:nvPicPr>
        <xdr:cNvPr id="6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804</xdr:row>
      <xdr:rowOff>0</xdr:rowOff>
    </xdr:from>
    <xdr:to>
      <xdr:col>25</xdr:col>
      <xdr:colOff>152400</xdr:colOff>
      <xdr:row>804</xdr:row>
      <xdr:rowOff>133350</xdr:rowOff>
    </xdr:to>
    <xdr:pic>
      <xdr:nvPicPr>
        <xdr:cNvPr id="6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805</xdr:row>
      <xdr:rowOff>0</xdr:rowOff>
    </xdr:from>
    <xdr:to>
      <xdr:col>25</xdr:col>
      <xdr:colOff>152400</xdr:colOff>
      <xdr:row>805</xdr:row>
      <xdr:rowOff>133350</xdr:rowOff>
    </xdr:to>
    <xdr:pic>
      <xdr:nvPicPr>
        <xdr:cNvPr id="6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806</xdr:row>
      <xdr:rowOff>0</xdr:rowOff>
    </xdr:from>
    <xdr:to>
      <xdr:col>25</xdr:col>
      <xdr:colOff>152400</xdr:colOff>
      <xdr:row>806</xdr:row>
      <xdr:rowOff>133350</xdr:rowOff>
    </xdr:to>
    <xdr:pic>
      <xdr:nvPicPr>
        <xdr:cNvPr id="6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807</xdr:row>
      <xdr:rowOff>0</xdr:rowOff>
    </xdr:from>
    <xdr:to>
      <xdr:col>25</xdr:col>
      <xdr:colOff>152400</xdr:colOff>
      <xdr:row>807</xdr:row>
      <xdr:rowOff>133350</xdr:rowOff>
    </xdr:to>
    <xdr:pic>
      <xdr:nvPicPr>
        <xdr:cNvPr id="6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808</xdr:row>
      <xdr:rowOff>0</xdr:rowOff>
    </xdr:from>
    <xdr:to>
      <xdr:col>25</xdr:col>
      <xdr:colOff>152400</xdr:colOff>
      <xdr:row>808</xdr:row>
      <xdr:rowOff>133350</xdr:rowOff>
    </xdr:to>
    <xdr:pic>
      <xdr:nvPicPr>
        <xdr:cNvPr id="6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809</xdr:row>
      <xdr:rowOff>0</xdr:rowOff>
    </xdr:from>
    <xdr:to>
      <xdr:col>25</xdr:col>
      <xdr:colOff>152400</xdr:colOff>
      <xdr:row>809</xdr:row>
      <xdr:rowOff>133350</xdr:rowOff>
    </xdr:to>
    <xdr:pic>
      <xdr:nvPicPr>
        <xdr:cNvPr id="6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810</xdr:row>
      <xdr:rowOff>0</xdr:rowOff>
    </xdr:from>
    <xdr:to>
      <xdr:col>25</xdr:col>
      <xdr:colOff>152400</xdr:colOff>
      <xdr:row>810</xdr:row>
      <xdr:rowOff>133350</xdr:rowOff>
    </xdr:to>
    <xdr:pic>
      <xdr:nvPicPr>
        <xdr:cNvPr id="6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811</xdr:row>
      <xdr:rowOff>0</xdr:rowOff>
    </xdr:from>
    <xdr:to>
      <xdr:col>25</xdr:col>
      <xdr:colOff>152400</xdr:colOff>
      <xdr:row>811</xdr:row>
      <xdr:rowOff>133350</xdr:rowOff>
    </xdr:to>
    <xdr:pic>
      <xdr:nvPicPr>
        <xdr:cNvPr id="6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812</xdr:row>
      <xdr:rowOff>0</xdr:rowOff>
    </xdr:from>
    <xdr:to>
      <xdr:col>25</xdr:col>
      <xdr:colOff>152400</xdr:colOff>
      <xdr:row>812</xdr:row>
      <xdr:rowOff>133350</xdr:rowOff>
    </xdr:to>
    <xdr:pic>
      <xdr:nvPicPr>
        <xdr:cNvPr id="6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813</xdr:row>
      <xdr:rowOff>0</xdr:rowOff>
    </xdr:from>
    <xdr:to>
      <xdr:col>25</xdr:col>
      <xdr:colOff>152400</xdr:colOff>
      <xdr:row>813</xdr:row>
      <xdr:rowOff>133350</xdr:rowOff>
    </xdr:to>
    <xdr:pic>
      <xdr:nvPicPr>
        <xdr:cNvPr id="6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814</xdr:row>
      <xdr:rowOff>0</xdr:rowOff>
    </xdr:from>
    <xdr:to>
      <xdr:col>25</xdr:col>
      <xdr:colOff>152400</xdr:colOff>
      <xdr:row>814</xdr:row>
      <xdr:rowOff>133350</xdr:rowOff>
    </xdr:to>
    <xdr:pic>
      <xdr:nvPicPr>
        <xdr:cNvPr id="6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815</xdr:row>
      <xdr:rowOff>0</xdr:rowOff>
    </xdr:from>
    <xdr:to>
      <xdr:col>25</xdr:col>
      <xdr:colOff>152400</xdr:colOff>
      <xdr:row>815</xdr:row>
      <xdr:rowOff>133350</xdr:rowOff>
    </xdr:to>
    <xdr:pic>
      <xdr:nvPicPr>
        <xdr:cNvPr id="6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816</xdr:row>
      <xdr:rowOff>0</xdr:rowOff>
    </xdr:from>
    <xdr:to>
      <xdr:col>25</xdr:col>
      <xdr:colOff>152400</xdr:colOff>
      <xdr:row>816</xdr:row>
      <xdr:rowOff>133350</xdr:rowOff>
    </xdr:to>
    <xdr:pic>
      <xdr:nvPicPr>
        <xdr:cNvPr id="6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817</xdr:row>
      <xdr:rowOff>0</xdr:rowOff>
    </xdr:from>
    <xdr:to>
      <xdr:col>25</xdr:col>
      <xdr:colOff>152400</xdr:colOff>
      <xdr:row>817</xdr:row>
      <xdr:rowOff>133350</xdr:rowOff>
    </xdr:to>
    <xdr:pic>
      <xdr:nvPicPr>
        <xdr:cNvPr id="6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818</xdr:row>
      <xdr:rowOff>0</xdr:rowOff>
    </xdr:from>
    <xdr:to>
      <xdr:col>25</xdr:col>
      <xdr:colOff>152400</xdr:colOff>
      <xdr:row>818</xdr:row>
      <xdr:rowOff>133350</xdr:rowOff>
    </xdr:to>
    <xdr:pic>
      <xdr:nvPicPr>
        <xdr:cNvPr id="6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819</xdr:row>
      <xdr:rowOff>0</xdr:rowOff>
    </xdr:from>
    <xdr:to>
      <xdr:col>25</xdr:col>
      <xdr:colOff>152400</xdr:colOff>
      <xdr:row>819</xdr:row>
      <xdr:rowOff>133350</xdr:rowOff>
    </xdr:to>
    <xdr:pic>
      <xdr:nvPicPr>
        <xdr:cNvPr id="6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820</xdr:row>
      <xdr:rowOff>0</xdr:rowOff>
    </xdr:from>
    <xdr:to>
      <xdr:col>25</xdr:col>
      <xdr:colOff>152400</xdr:colOff>
      <xdr:row>820</xdr:row>
      <xdr:rowOff>133350</xdr:rowOff>
    </xdr:to>
    <xdr:pic>
      <xdr:nvPicPr>
        <xdr:cNvPr id="6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821</xdr:row>
      <xdr:rowOff>0</xdr:rowOff>
    </xdr:from>
    <xdr:to>
      <xdr:col>25</xdr:col>
      <xdr:colOff>152400</xdr:colOff>
      <xdr:row>821</xdr:row>
      <xdr:rowOff>133350</xdr:rowOff>
    </xdr:to>
    <xdr:pic>
      <xdr:nvPicPr>
        <xdr:cNvPr id="6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822</xdr:row>
      <xdr:rowOff>0</xdr:rowOff>
    </xdr:from>
    <xdr:to>
      <xdr:col>25</xdr:col>
      <xdr:colOff>152400</xdr:colOff>
      <xdr:row>822</xdr:row>
      <xdr:rowOff>133350</xdr:rowOff>
    </xdr:to>
    <xdr:pic>
      <xdr:nvPicPr>
        <xdr:cNvPr id="6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823</xdr:row>
      <xdr:rowOff>0</xdr:rowOff>
    </xdr:from>
    <xdr:to>
      <xdr:col>25</xdr:col>
      <xdr:colOff>152400</xdr:colOff>
      <xdr:row>823</xdr:row>
      <xdr:rowOff>133350</xdr:rowOff>
    </xdr:to>
    <xdr:pic>
      <xdr:nvPicPr>
        <xdr:cNvPr id="6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824</xdr:row>
      <xdr:rowOff>0</xdr:rowOff>
    </xdr:from>
    <xdr:to>
      <xdr:col>25</xdr:col>
      <xdr:colOff>152400</xdr:colOff>
      <xdr:row>824</xdr:row>
      <xdr:rowOff>133350</xdr:rowOff>
    </xdr:to>
    <xdr:pic>
      <xdr:nvPicPr>
        <xdr:cNvPr id="6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825</xdr:row>
      <xdr:rowOff>0</xdr:rowOff>
    </xdr:from>
    <xdr:to>
      <xdr:col>25</xdr:col>
      <xdr:colOff>152400</xdr:colOff>
      <xdr:row>825</xdr:row>
      <xdr:rowOff>133350</xdr:rowOff>
    </xdr:to>
    <xdr:pic>
      <xdr:nvPicPr>
        <xdr:cNvPr id="6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826</xdr:row>
      <xdr:rowOff>0</xdr:rowOff>
    </xdr:from>
    <xdr:to>
      <xdr:col>25</xdr:col>
      <xdr:colOff>152400</xdr:colOff>
      <xdr:row>826</xdr:row>
      <xdr:rowOff>133350</xdr:rowOff>
    </xdr:to>
    <xdr:pic>
      <xdr:nvPicPr>
        <xdr:cNvPr id="6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828</xdr:row>
      <xdr:rowOff>0</xdr:rowOff>
    </xdr:from>
    <xdr:to>
      <xdr:col>25</xdr:col>
      <xdr:colOff>152400</xdr:colOff>
      <xdr:row>828</xdr:row>
      <xdr:rowOff>133350</xdr:rowOff>
    </xdr:to>
    <xdr:pic>
      <xdr:nvPicPr>
        <xdr:cNvPr id="6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829</xdr:row>
      <xdr:rowOff>0</xdr:rowOff>
    </xdr:from>
    <xdr:to>
      <xdr:col>25</xdr:col>
      <xdr:colOff>152400</xdr:colOff>
      <xdr:row>829</xdr:row>
      <xdr:rowOff>133350</xdr:rowOff>
    </xdr:to>
    <xdr:pic>
      <xdr:nvPicPr>
        <xdr:cNvPr id="6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830</xdr:row>
      <xdr:rowOff>0</xdr:rowOff>
    </xdr:from>
    <xdr:to>
      <xdr:col>25</xdr:col>
      <xdr:colOff>152400</xdr:colOff>
      <xdr:row>830</xdr:row>
      <xdr:rowOff>133350</xdr:rowOff>
    </xdr:to>
    <xdr:pic>
      <xdr:nvPicPr>
        <xdr:cNvPr id="6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831</xdr:row>
      <xdr:rowOff>0</xdr:rowOff>
    </xdr:from>
    <xdr:to>
      <xdr:col>25</xdr:col>
      <xdr:colOff>152400</xdr:colOff>
      <xdr:row>831</xdr:row>
      <xdr:rowOff>133350</xdr:rowOff>
    </xdr:to>
    <xdr:pic>
      <xdr:nvPicPr>
        <xdr:cNvPr id="6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832</xdr:row>
      <xdr:rowOff>0</xdr:rowOff>
    </xdr:from>
    <xdr:to>
      <xdr:col>25</xdr:col>
      <xdr:colOff>152400</xdr:colOff>
      <xdr:row>832</xdr:row>
      <xdr:rowOff>133350</xdr:rowOff>
    </xdr:to>
    <xdr:pic>
      <xdr:nvPicPr>
        <xdr:cNvPr id="6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833</xdr:row>
      <xdr:rowOff>0</xdr:rowOff>
    </xdr:from>
    <xdr:to>
      <xdr:col>25</xdr:col>
      <xdr:colOff>152400</xdr:colOff>
      <xdr:row>833</xdr:row>
      <xdr:rowOff>133350</xdr:rowOff>
    </xdr:to>
    <xdr:pic>
      <xdr:nvPicPr>
        <xdr:cNvPr id="6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834</xdr:row>
      <xdr:rowOff>0</xdr:rowOff>
    </xdr:from>
    <xdr:to>
      <xdr:col>25</xdr:col>
      <xdr:colOff>152400</xdr:colOff>
      <xdr:row>834</xdr:row>
      <xdr:rowOff>133350</xdr:rowOff>
    </xdr:to>
    <xdr:pic>
      <xdr:nvPicPr>
        <xdr:cNvPr id="6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835</xdr:row>
      <xdr:rowOff>0</xdr:rowOff>
    </xdr:from>
    <xdr:to>
      <xdr:col>25</xdr:col>
      <xdr:colOff>152400</xdr:colOff>
      <xdr:row>835</xdr:row>
      <xdr:rowOff>133350</xdr:rowOff>
    </xdr:to>
    <xdr:pic>
      <xdr:nvPicPr>
        <xdr:cNvPr id="6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836</xdr:row>
      <xdr:rowOff>0</xdr:rowOff>
    </xdr:from>
    <xdr:to>
      <xdr:col>25</xdr:col>
      <xdr:colOff>152400</xdr:colOff>
      <xdr:row>836</xdr:row>
      <xdr:rowOff>133350</xdr:rowOff>
    </xdr:to>
    <xdr:pic>
      <xdr:nvPicPr>
        <xdr:cNvPr id="6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837</xdr:row>
      <xdr:rowOff>0</xdr:rowOff>
    </xdr:from>
    <xdr:to>
      <xdr:col>25</xdr:col>
      <xdr:colOff>152400</xdr:colOff>
      <xdr:row>837</xdr:row>
      <xdr:rowOff>133350</xdr:rowOff>
    </xdr:to>
    <xdr:pic>
      <xdr:nvPicPr>
        <xdr:cNvPr id="6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838</xdr:row>
      <xdr:rowOff>0</xdr:rowOff>
    </xdr:from>
    <xdr:to>
      <xdr:col>25</xdr:col>
      <xdr:colOff>152400</xdr:colOff>
      <xdr:row>838</xdr:row>
      <xdr:rowOff>133350</xdr:rowOff>
    </xdr:to>
    <xdr:pic>
      <xdr:nvPicPr>
        <xdr:cNvPr id="6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839</xdr:row>
      <xdr:rowOff>0</xdr:rowOff>
    </xdr:from>
    <xdr:to>
      <xdr:col>25</xdr:col>
      <xdr:colOff>152400</xdr:colOff>
      <xdr:row>839</xdr:row>
      <xdr:rowOff>133350</xdr:rowOff>
    </xdr:to>
    <xdr:pic>
      <xdr:nvPicPr>
        <xdr:cNvPr id="6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840</xdr:row>
      <xdr:rowOff>0</xdr:rowOff>
    </xdr:from>
    <xdr:to>
      <xdr:col>25</xdr:col>
      <xdr:colOff>152400</xdr:colOff>
      <xdr:row>840</xdr:row>
      <xdr:rowOff>133350</xdr:rowOff>
    </xdr:to>
    <xdr:pic>
      <xdr:nvPicPr>
        <xdr:cNvPr id="7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841</xdr:row>
      <xdr:rowOff>0</xdr:rowOff>
    </xdr:from>
    <xdr:to>
      <xdr:col>25</xdr:col>
      <xdr:colOff>152400</xdr:colOff>
      <xdr:row>841</xdr:row>
      <xdr:rowOff>133350</xdr:rowOff>
    </xdr:to>
    <xdr:pic>
      <xdr:nvPicPr>
        <xdr:cNvPr id="7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842</xdr:row>
      <xdr:rowOff>0</xdr:rowOff>
    </xdr:from>
    <xdr:to>
      <xdr:col>25</xdr:col>
      <xdr:colOff>152400</xdr:colOff>
      <xdr:row>842</xdr:row>
      <xdr:rowOff>133350</xdr:rowOff>
    </xdr:to>
    <xdr:pic>
      <xdr:nvPicPr>
        <xdr:cNvPr id="7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843</xdr:row>
      <xdr:rowOff>0</xdr:rowOff>
    </xdr:from>
    <xdr:to>
      <xdr:col>25</xdr:col>
      <xdr:colOff>152400</xdr:colOff>
      <xdr:row>843</xdr:row>
      <xdr:rowOff>133350</xdr:rowOff>
    </xdr:to>
    <xdr:pic>
      <xdr:nvPicPr>
        <xdr:cNvPr id="7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844</xdr:row>
      <xdr:rowOff>0</xdr:rowOff>
    </xdr:from>
    <xdr:to>
      <xdr:col>25</xdr:col>
      <xdr:colOff>152400</xdr:colOff>
      <xdr:row>844</xdr:row>
      <xdr:rowOff>133350</xdr:rowOff>
    </xdr:to>
    <xdr:pic>
      <xdr:nvPicPr>
        <xdr:cNvPr id="7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845</xdr:row>
      <xdr:rowOff>0</xdr:rowOff>
    </xdr:from>
    <xdr:to>
      <xdr:col>25</xdr:col>
      <xdr:colOff>152400</xdr:colOff>
      <xdr:row>845</xdr:row>
      <xdr:rowOff>133350</xdr:rowOff>
    </xdr:to>
    <xdr:pic>
      <xdr:nvPicPr>
        <xdr:cNvPr id="7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846</xdr:row>
      <xdr:rowOff>0</xdr:rowOff>
    </xdr:from>
    <xdr:to>
      <xdr:col>25</xdr:col>
      <xdr:colOff>152400</xdr:colOff>
      <xdr:row>846</xdr:row>
      <xdr:rowOff>133350</xdr:rowOff>
    </xdr:to>
    <xdr:pic>
      <xdr:nvPicPr>
        <xdr:cNvPr id="7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847</xdr:row>
      <xdr:rowOff>0</xdr:rowOff>
    </xdr:from>
    <xdr:to>
      <xdr:col>25</xdr:col>
      <xdr:colOff>152400</xdr:colOff>
      <xdr:row>847</xdr:row>
      <xdr:rowOff>133350</xdr:rowOff>
    </xdr:to>
    <xdr:pic>
      <xdr:nvPicPr>
        <xdr:cNvPr id="7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848</xdr:row>
      <xdr:rowOff>0</xdr:rowOff>
    </xdr:from>
    <xdr:to>
      <xdr:col>25</xdr:col>
      <xdr:colOff>152400</xdr:colOff>
      <xdr:row>848</xdr:row>
      <xdr:rowOff>133350</xdr:rowOff>
    </xdr:to>
    <xdr:pic>
      <xdr:nvPicPr>
        <xdr:cNvPr id="7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849</xdr:row>
      <xdr:rowOff>0</xdr:rowOff>
    </xdr:from>
    <xdr:to>
      <xdr:col>25</xdr:col>
      <xdr:colOff>152400</xdr:colOff>
      <xdr:row>849</xdr:row>
      <xdr:rowOff>133350</xdr:rowOff>
    </xdr:to>
    <xdr:pic>
      <xdr:nvPicPr>
        <xdr:cNvPr id="7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850</xdr:row>
      <xdr:rowOff>0</xdr:rowOff>
    </xdr:from>
    <xdr:to>
      <xdr:col>25</xdr:col>
      <xdr:colOff>152400</xdr:colOff>
      <xdr:row>850</xdr:row>
      <xdr:rowOff>133350</xdr:rowOff>
    </xdr:to>
    <xdr:pic>
      <xdr:nvPicPr>
        <xdr:cNvPr id="7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851</xdr:row>
      <xdr:rowOff>0</xdr:rowOff>
    </xdr:from>
    <xdr:to>
      <xdr:col>25</xdr:col>
      <xdr:colOff>152400</xdr:colOff>
      <xdr:row>851</xdr:row>
      <xdr:rowOff>133350</xdr:rowOff>
    </xdr:to>
    <xdr:pic>
      <xdr:nvPicPr>
        <xdr:cNvPr id="7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852</xdr:row>
      <xdr:rowOff>0</xdr:rowOff>
    </xdr:from>
    <xdr:to>
      <xdr:col>25</xdr:col>
      <xdr:colOff>152400</xdr:colOff>
      <xdr:row>852</xdr:row>
      <xdr:rowOff>133350</xdr:rowOff>
    </xdr:to>
    <xdr:pic>
      <xdr:nvPicPr>
        <xdr:cNvPr id="7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853</xdr:row>
      <xdr:rowOff>0</xdr:rowOff>
    </xdr:from>
    <xdr:to>
      <xdr:col>25</xdr:col>
      <xdr:colOff>152400</xdr:colOff>
      <xdr:row>853</xdr:row>
      <xdr:rowOff>133350</xdr:rowOff>
    </xdr:to>
    <xdr:pic>
      <xdr:nvPicPr>
        <xdr:cNvPr id="7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854</xdr:row>
      <xdr:rowOff>0</xdr:rowOff>
    </xdr:from>
    <xdr:to>
      <xdr:col>25</xdr:col>
      <xdr:colOff>152400</xdr:colOff>
      <xdr:row>854</xdr:row>
      <xdr:rowOff>133350</xdr:rowOff>
    </xdr:to>
    <xdr:pic>
      <xdr:nvPicPr>
        <xdr:cNvPr id="7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855</xdr:row>
      <xdr:rowOff>0</xdr:rowOff>
    </xdr:from>
    <xdr:to>
      <xdr:col>25</xdr:col>
      <xdr:colOff>152400</xdr:colOff>
      <xdr:row>855</xdr:row>
      <xdr:rowOff>133350</xdr:rowOff>
    </xdr:to>
    <xdr:pic>
      <xdr:nvPicPr>
        <xdr:cNvPr id="7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856</xdr:row>
      <xdr:rowOff>0</xdr:rowOff>
    </xdr:from>
    <xdr:to>
      <xdr:col>25</xdr:col>
      <xdr:colOff>152400</xdr:colOff>
      <xdr:row>856</xdr:row>
      <xdr:rowOff>133350</xdr:rowOff>
    </xdr:to>
    <xdr:pic>
      <xdr:nvPicPr>
        <xdr:cNvPr id="7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857</xdr:row>
      <xdr:rowOff>0</xdr:rowOff>
    </xdr:from>
    <xdr:to>
      <xdr:col>25</xdr:col>
      <xdr:colOff>152400</xdr:colOff>
      <xdr:row>857</xdr:row>
      <xdr:rowOff>133350</xdr:rowOff>
    </xdr:to>
    <xdr:pic>
      <xdr:nvPicPr>
        <xdr:cNvPr id="7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858</xdr:row>
      <xdr:rowOff>0</xdr:rowOff>
    </xdr:from>
    <xdr:to>
      <xdr:col>25</xdr:col>
      <xdr:colOff>152400</xdr:colOff>
      <xdr:row>858</xdr:row>
      <xdr:rowOff>133350</xdr:rowOff>
    </xdr:to>
    <xdr:pic>
      <xdr:nvPicPr>
        <xdr:cNvPr id="7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859</xdr:row>
      <xdr:rowOff>0</xdr:rowOff>
    </xdr:from>
    <xdr:to>
      <xdr:col>25</xdr:col>
      <xdr:colOff>152400</xdr:colOff>
      <xdr:row>859</xdr:row>
      <xdr:rowOff>133350</xdr:rowOff>
    </xdr:to>
    <xdr:pic>
      <xdr:nvPicPr>
        <xdr:cNvPr id="7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860</xdr:row>
      <xdr:rowOff>0</xdr:rowOff>
    </xdr:from>
    <xdr:to>
      <xdr:col>25</xdr:col>
      <xdr:colOff>152400</xdr:colOff>
      <xdr:row>860</xdr:row>
      <xdr:rowOff>133350</xdr:rowOff>
    </xdr:to>
    <xdr:pic>
      <xdr:nvPicPr>
        <xdr:cNvPr id="7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861</xdr:row>
      <xdr:rowOff>0</xdr:rowOff>
    </xdr:from>
    <xdr:to>
      <xdr:col>25</xdr:col>
      <xdr:colOff>152400</xdr:colOff>
      <xdr:row>861</xdr:row>
      <xdr:rowOff>133350</xdr:rowOff>
    </xdr:to>
    <xdr:pic>
      <xdr:nvPicPr>
        <xdr:cNvPr id="7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862</xdr:row>
      <xdr:rowOff>0</xdr:rowOff>
    </xdr:from>
    <xdr:to>
      <xdr:col>25</xdr:col>
      <xdr:colOff>152400</xdr:colOff>
      <xdr:row>862</xdr:row>
      <xdr:rowOff>133350</xdr:rowOff>
    </xdr:to>
    <xdr:pic>
      <xdr:nvPicPr>
        <xdr:cNvPr id="7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863</xdr:row>
      <xdr:rowOff>0</xdr:rowOff>
    </xdr:from>
    <xdr:to>
      <xdr:col>25</xdr:col>
      <xdr:colOff>152400</xdr:colOff>
      <xdr:row>863</xdr:row>
      <xdr:rowOff>133350</xdr:rowOff>
    </xdr:to>
    <xdr:pic>
      <xdr:nvPicPr>
        <xdr:cNvPr id="7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864</xdr:row>
      <xdr:rowOff>0</xdr:rowOff>
    </xdr:from>
    <xdr:to>
      <xdr:col>25</xdr:col>
      <xdr:colOff>152400</xdr:colOff>
      <xdr:row>864</xdr:row>
      <xdr:rowOff>133350</xdr:rowOff>
    </xdr:to>
    <xdr:pic>
      <xdr:nvPicPr>
        <xdr:cNvPr id="7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865</xdr:row>
      <xdr:rowOff>0</xdr:rowOff>
    </xdr:from>
    <xdr:to>
      <xdr:col>25</xdr:col>
      <xdr:colOff>152400</xdr:colOff>
      <xdr:row>865</xdr:row>
      <xdr:rowOff>133350</xdr:rowOff>
    </xdr:to>
    <xdr:pic>
      <xdr:nvPicPr>
        <xdr:cNvPr id="7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866</xdr:row>
      <xdr:rowOff>0</xdr:rowOff>
    </xdr:from>
    <xdr:to>
      <xdr:col>25</xdr:col>
      <xdr:colOff>152400</xdr:colOff>
      <xdr:row>866</xdr:row>
      <xdr:rowOff>133350</xdr:rowOff>
    </xdr:to>
    <xdr:pic>
      <xdr:nvPicPr>
        <xdr:cNvPr id="7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867</xdr:row>
      <xdr:rowOff>0</xdr:rowOff>
    </xdr:from>
    <xdr:to>
      <xdr:col>25</xdr:col>
      <xdr:colOff>152400</xdr:colOff>
      <xdr:row>867</xdr:row>
      <xdr:rowOff>133350</xdr:rowOff>
    </xdr:to>
    <xdr:pic>
      <xdr:nvPicPr>
        <xdr:cNvPr id="7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869</xdr:row>
      <xdr:rowOff>0</xdr:rowOff>
    </xdr:from>
    <xdr:to>
      <xdr:col>25</xdr:col>
      <xdr:colOff>152400</xdr:colOff>
      <xdr:row>869</xdr:row>
      <xdr:rowOff>133350</xdr:rowOff>
    </xdr:to>
    <xdr:pic>
      <xdr:nvPicPr>
        <xdr:cNvPr id="7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870</xdr:row>
      <xdr:rowOff>0</xdr:rowOff>
    </xdr:from>
    <xdr:to>
      <xdr:col>25</xdr:col>
      <xdr:colOff>152400</xdr:colOff>
      <xdr:row>870</xdr:row>
      <xdr:rowOff>133350</xdr:rowOff>
    </xdr:to>
    <xdr:pic>
      <xdr:nvPicPr>
        <xdr:cNvPr id="7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871</xdr:row>
      <xdr:rowOff>0</xdr:rowOff>
    </xdr:from>
    <xdr:to>
      <xdr:col>25</xdr:col>
      <xdr:colOff>152400</xdr:colOff>
      <xdr:row>871</xdr:row>
      <xdr:rowOff>133350</xdr:rowOff>
    </xdr:to>
    <xdr:pic>
      <xdr:nvPicPr>
        <xdr:cNvPr id="7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874</xdr:row>
      <xdr:rowOff>0</xdr:rowOff>
    </xdr:from>
    <xdr:to>
      <xdr:col>25</xdr:col>
      <xdr:colOff>152400</xdr:colOff>
      <xdr:row>874</xdr:row>
      <xdr:rowOff>133350</xdr:rowOff>
    </xdr:to>
    <xdr:pic>
      <xdr:nvPicPr>
        <xdr:cNvPr id="7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880</xdr:row>
      <xdr:rowOff>0</xdr:rowOff>
    </xdr:from>
    <xdr:to>
      <xdr:col>25</xdr:col>
      <xdr:colOff>152400</xdr:colOff>
      <xdr:row>880</xdr:row>
      <xdr:rowOff>133350</xdr:rowOff>
    </xdr:to>
    <xdr:pic>
      <xdr:nvPicPr>
        <xdr:cNvPr id="7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881</xdr:row>
      <xdr:rowOff>0</xdr:rowOff>
    </xdr:from>
    <xdr:to>
      <xdr:col>25</xdr:col>
      <xdr:colOff>152400</xdr:colOff>
      <xdr:row>881</xdr:row>
      <xdr:rowOff>133350</xdr:rowOff>
    </xdr:to>
    <xdr:pic>
      <xdr:nvPicPr>
        <xdr:cNvPr id="7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882</xdr:row>
      <xdr:rowOff>0</xdr:rowOff>
    </xdr:from>
    <xdr:to>
      <xdr:col>25</xdr:col>
      <xdr:colOff>152400</xdr:colOff>
      <xdr:row>882</xdr:row>
      <xdr:rowOff>133350</xdr:rowOff>
    </xdr:to>
    <xdr:pic>
      <xdr:nvPicPr>
        <xdr:cNvPr id="7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883</xdr:row>
      <xdr:rowOff>0</xdr:rowOff>
    </xdr:from>
    <xdr:to>
      <xdr:col>25</xdr:col>
      <xdr:colOff>152400</xdr:colOff>
      <xdr:row>883</xdr:row>
      <xdr:rowOff>133350</xdr:rowOff>
    </xdr:to>
    <xdr:pic>
      <xdr:nvPicPr>
        <xdr:cNvPr id="7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885</xdr:row>
      <xdr:rowOff>0</xdr:rowOff>
    </xdr:from>
    <xdr:to>
      <xdr:col>25</xdr:col>
      <xdr:colOff>152400</xdr:colOff>
      <xdr:row>885</xdr:row>
      <xdr:rowOff>133350</xdr:rowOff>
    </xdr:to>
    <xdr:pic>
      <xdr:nvPicPr>
        <xdr:cNvPr id="7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887</xdr:row>
      <xdr:rowOff>0</xdr:rowOff>
    </xdr:from>
    <xdr:to>
      <xdr:col>25</xdr:col>
      <xdr:colOff>152400</xdr:colOff>
      <xdr:row>887</xdr:row>
      <xdr:rowOff>133350</xdr:rowOff>
    </xdr:to>
    <xdr:pic>
      <xdr:nvPicPr>
        <xdr:cNvPr id="7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889</xdr:row>
      <xdr:rowOff>0</xdr:rowOff>
    </xdr:from>
    <xdr:to>
      <xdr:col>25</xdr:col>
      <xdr:colOff>152400</xdr:colOff>
      <xdr:row>889</xdr:row>
      <xdr:rowOff>133350</xdr:rowOff>
    </xdr:to>
    <xdr:pic>
      <xdr:nvPicPr>
        <xdr:cNvPr id="7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890</xdr:row>
      <xdr:rowOff>0</xdr:rowOff>
    </xdr:from>
    <xdr:to>
      <xdr:col>25</xdr:col>
      <xdr:colOff>152400</xdr:colOff>
      <xdr:row>890</xdr:row>
      <xdr:rowOff>133350</xdr:rowOff>
    </xdr:to>
    <xdr:pic>
      <xdr:nvPicPr>
        <xdr:cNvPr id="7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891</xdr:row>
      <xdr:rowOff>0</xdr:rowOff>
    </xdr:from>
    <xdr:to>
      <xdr:col>25</xdr:col>
      <xdr:colOff>152400</xdr:colOff>
      <xdr:row>891</xdr:row>
      <xdr:rowOff>133350</xdr:rowOff>
    </xdr:to>
    <xdr:pic>
      <xdr:nvPicPr>
        <xdr:cNvPr id="7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892</xdr:row>
      <xdr:rowOff>0</xdr:rowOff>
    </xdr:from>
    <xdr:to>
      <xdr:col>25</xdr:col>
      <xdr:colOff>152400</xdr:colOff>
      <xdr:row>892</xdr:row>
      <xdr:rowOff>133350</xdr:rowOff>
    </xdr:to>
    <xdr:pic>
      <xdr:nvPicPr>
        <xdr:cNvPr id="7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893</xdr:row>
      <xdr:rowOff>0</xdr:rowOff>
    </xdr:from>
    <xdr:to>
      <xdr:col>25</xdr:col>
      <xdr:colOff>152400</xdr:colOff>
      <xdr:row>893</xdr:row>
      <xdr:rowOff>133350</xdr:rowOff>
    </xdr:to>
    <xdr:pic>
      <xdr:nvPicPr>
        <xdr:cNvPr id="7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894</xdr:row>
      <xdr:rowOff>0</xdr:rowOff>
    </xdr:from>
    <xdr:to>
      <xdr:col>25</xdr:col>
      <xdr:colOff>152400</xdr:colOff>
      <xdr:row>894</xdr:row>
      <xdr:rowOff>133350</xdr:rowOff>
    </xdr:to>
    <xdr:pic>
      <xdr:nvPicPr>
        <xdr:cNvPr id="7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895</xdr:row>
      <xdr:rowOff>0</xdr:rowOff>
    </xdr:from>
    <xdr:to>
      <xdr:col>25</xdr:col>
      <xdr:colOff>152400</xdr:colOff>
      <xdr:row>895</xdr:row>
      <xdr:rowOff>133350</xdr:rowOff>
    </xdr:to>
    <xdr:pic>
      <xdr:nvPicPr>
        <xdr:cNvPr id="7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896</xdr:row>
      <xdr:rowOff>0</xdr:rowOff>
    </xdr:from>
    <xdr:to>
      <xdr:col>25</xdr:col>
      <xdr:colOff>152400</xdr:colOff>
      <xdr:row>896</xdr:row>
      <xdr:rowOff>133350</xdr:rowOff>
    </xdr:to>
    <xdr:pic>
      <xdr:nvPicPr>
        <xdr:cNvPr id="7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897</xdr:row>
      <xdr:rowOff>0</xdr:rowOff>
    </xdr:from>
    <xdr:to>
      <xdr:col>25</xdr:col>
      <xdr:colOff>152400</xdr:colOff>
      <xdr:row>897</xdr:row>
      <xdr:rowOff>133350</xdr:rowOff>
    </xdr:to>
    <xdr:pic>
      <xdr:nvPicPr>
        <xdr:cNvPr id="7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898</xdr:row>
      <xdr:rowOff>0</xdr:rowOff>
    </xdr:from>
    <xdr:to>
      <xdr:col>25</xdr:col>
      <xdr:colOff>152400</xdr:colOff>
      <xdr:row>898</xdr:row>
      <xdr:rowOff>133350</xdr:rowOff>
    </xdr:to>
    <xdr:pic>
      <xdr:nvPicPr>
        <xdr:cNvPr id="7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899</xdr:row>
      <xdr:rowOff>0</xdr:rowOff>
    </xdr:from>
    <xdr:to>
      <xdr:col>25</xdr:col>
      <xdr:colOff>152400</xdr:colOff>
      <xdr:row>899</xdr:row>
      <xdr:rowOff>133350</xdr:rowOff>
    </xdr:to>
    <xdr:pic>
      <xdr:nvPicPr>
        <xdr:cNvPr id="7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900</xdr:row>
      <xdr:rowOff>0</xdr:rowOff>
    </xdr:from>
    <xdr:to>
      <xdr:col>25</xdr:col>
      <xdr:colOff>152400</xdr:colOff>
      <xdr:row>900</xdr:row>
      <xdr:rowOff>133350</xdr:rowOff>
    </xdr:to>
    <xdr:pic>
      <xdr:nvPicPr>
        <xdr:cNvPr id="7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901</xdr:row>
      <xdr:rowOff>0</xdr:rowOff>
    </xdr:from>
    <xdr:to>
      <xdr:col>25</xdr:col>
      <xdr:colOff>152400</xdr:colOff>
      <xdr:row>901</xdr:row>
      <xdr:rowOff>133350</xdr:rowOff>
    </xdr:to>
    <xdr:pic>
      <xdr:nvPicPr>
        <xdr:cNvPr id="7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902</xdr:row>
      <xdr:rowOff>0</xdr:rowOff>
    </xdr:from>
    <xdr:to>
      <xdr:col>25</xdr:col>
      <xdr:colOff>152400</xdr:colOff>
      <xdr:row>902</xdr:row>
      <xdr:rowOff>133350</xdr:rowOff>
    </xdr:to>
    <xdr:pic>
      <xdr:nvPicPr>
        <xdr:cNvPr id="7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903</xdr:row>
      <xdr:rowOff>0</xdr:rowOff>
    </xdr:from>
    <xdr:to>
      <xdr:col>25</xdr:col>
      <xdr:colOff>152400</xdr:colOff>
      <xdr:row>903</xdr:row>
      <xdr:rowOff>133350</xdr:rowOff>
    </xdr:to>
    <xdr:pic>
      <xdr:nvPicPr>
        <xdr:cNvPr id="7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904</xdr:row>
      <xdr:rowOff>0</xdr:rowOff>
    </xdr:from>
    <xdr:to>
      <xdr:col>25</xdr:col>
      <xdr:colOff>152400</xdr:colOff>
      <xdr:row>904</xdr:row>
      <xdr:rowOff>133350</xdr:rowOff>
    </xdr:to>
    <xdr:pic>
      <xdr:nvPicPr>
        <xdr:cNvPr id="7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905</xdr:row>
      <xdr:rowOff>0</xdr:rowOff>
    </xdr:from>
    <xdr:to>
      <xdr:col>25</xdr:col>
      <xdr:colOff>152400</xdr:colOff>
      <xdr:row>905</xdr:row>
      <xdr:rowOff>133350</xdr:rowOff>
    </xdr:to>
    <xdr:pic>
      <xdr:nvPicPr>
        <xdr:cNvPr id="7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906</xdr:row>
      <xdr:rowOff>0</xdr:rowOff>
    </xdr:from>
    <xdr:to>
      <xdr:col>25</xdr:col>
      <xdr:colOff>152400</xdr:colOff>
      <xdr:row>906</xdr:row>
      <xdr:rowOff>133350</xdr:rowOff>
    </xdr:to>
    <xdr:pic>
      <xdr:nvPicPr>
        <xdr:cNvPr id="7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907</xdr:row>
      <xdr:rowOff>0</xdr:rowOff>
    </xdr:from>
    <xdr:to>
      <xdr:col>25</xdr:col>
      <xdr:colOff>152400</xdr:colOff>
      <xdr:row>907</xdr:row>
      <xdr:rowOff>133350</xdr:rowOff>
    </xdr:to>
    <xdr:pic>
      <xdr:nvPicPr>
        <xdr:cNvPr id="7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908</xdr:row>
      <xdr:rowOff>0</xdr:rowOff>
    </xdr:from>
    <xdr:to>
      <xdr:col>25</xdr:col>
      <xdr:colOff>152400</xdr:colOff>
      <xdr:row>908</xdr:row>
      <xdr:rowOff>133350</xdr:rowOff>
    </xdr:to>
    <xdr:pic>
      <xdr:nvPicPr>
        <xdr:cNvPr id="7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909</xdr:row>
      <xdr:rowOff>0</xdr:rowOff>
    </xdr:from>
    <xdr:to>
      <xdr:col>25</xdr:col>
      <xdr:colOff>152400</xdr:colOff>
      <xdr:row>909</xdr:row>
      <xdr:rowOff>133350</xdr:rowOff>
    </xdr:to>
    <xdr:pic>
      <xdr:nvPicPr>
        <xdr:cNvPr id="7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910</xdr:row>
      <xdr:rowOff>0</xdr:rowOff>
    </xdr:from>
    <xdr:to>
      <xdr:col>25</xdr:col>
      <xdr:colOff>152400</xdr:colOff>
      <xdr:row>910</xdr:row>
      <xdr:rowOff>133350</xdr:rowOff>
    </xdr:to>
    <xdr:pic>
      <xdr:nvPicPr>
        <xdr:cNvPr id="7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911</xdr:row>
      <xdr:rowOff>0</xdr:rowOff>
    </xdr:from>
    <xdr:to>
      <xdr:col>25</xdr:col>
      <xdr:colOff>152400</xdr:colOff>
      <xdr:row>911</xdr:row>
      <xdr:rowOff>133350</xdr:rowOff>
    </xdr:to>
    <xdr:pic>
      <xdr:nvPicPr>
        <xdr:cNvPr id="7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912</xdr:row>
      <xdr:rowOff>0</xdr:rowOff>
    </xdr:from>
    <xdr:to>
      <xdr:col>25</xdr:col>
      <xdr:colOff>152400</xdr:colOff>
      <xdr:row>912</xdr:row>
      <xdr:rowOff>133350</xdr:rowOff>
    </xdr:to>
    <xdr:pic>
      <xdr:nvPicPr>
        <xdr:cNvPr id="7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913</xdr:row>
      <xdr:rowOff>0</xdr:rowOff>
    </xdr:from>
    <xdr:to>
      <xdr:col>25</xdr:col>
      <xdr:colOff>152400</xdr:colOff>
      <xdr:row>913</xdr:row>
      <xdr:rowOff>133350</xdr:rowOff>
    </xdr:to>
    <xdr:pic>
      <xdr:nvPicPr>
        <xdr:cNvPr id="7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914</xdr:row>
      <xdr:rowOff>0</xdr:rowOff>
    </xdr:from>
    <xdr:to>
      <xdr:col>25</xdr:col>
      <xdr:colOff>152400</xdr:colOff>
      <xdr:row>914</xdr:row>
      <xdr:rowOff>133350</xdr:rowOff>
    </xdr:to>
    <xdr:pic>
      <xdr:nvPicPr>
        <xdr:cNvPr id="7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915</xdr:row>
      <xdr:rowOff>0</xdr:rowOff>
    </xdr:from>
    <xdr:to>
      <xdr:col>25</xdr:col>
      <xdr:colOff>152400</xdr:colOff>
      <xdr:row>915</xdr:row>
      <xdr:rowOff>133350</xdr:rowOff>
    </xdr:to>
    <xdr:pic>
      <xdr:nvPicPr>
        <xdr:cNvPr id="7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916</xdr:row>
      <xdr:rowOff>0</xdr:rowOff>
    </xdr:from>
    <xdr:to>
      <xdr:col>25</xdr:col>
      <xdr:colOff>152400</xdr:colOff>
      <xdr:row>916</xdr:row>
      <xdr:rowOff>133350</xdr:rowOff>
    </xdr:to>
    <xdr:pic>
      <xdr:nvPicPr>
        <xdr:cNvPr id="7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917</xdr:row>
      <xdr:rowOff>0</xdr:rowOff>
    </xdr:from>
    <xdr:to>
      <xdr:col>25</xdr:col>
      <xdr:colOff>152400</xdr:colOff>
      <xdr:row>917</xdr:row>
      <xdr:rowOff>133350</xdr:rowOff>
    </xdr:to>
    <xdr:pic>
      <xdr:nvPicPr>
        <xdr:cNvPr id="7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918</xdr:row>
      <xdr:rowOff>0</xdr:rowOff>
    </xdr:from>
    <xdr:to>
      <xdr:col>25</xdr:col>
      <xdr:colOff>152400</xdr:colOff>
      <xdr:row>918</xdr:row>
      <xdr:rowOff>133350</xdr:rowOff>
    </xdr:to>
    <xdr:pic>
      <xdr:nvPicPr>
        <xdr:cNvPr id="7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919</xdr:row>
      <xdr:rowOff>0</xdr:rowOff>
    </xdr:from>
    <xdr:to>
      <xdr:col>25</xdr:col>
      <xdr:colOff>152400</xdr:colOff>
      <xdr:row>919</xdr:row>
      <xdr:rowOff>133350</xdr:rowOff>
    </xdr:to>
    <xdr:pic>
      <xdr:nvPicPr>
        <xdr:cNvPr id="7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920</xdr:row>
      <xdr:rowOff>0</xdr:rowOff>
    </xdr:from>
    <xdr:to>
      <xdr:col>25</xdr:col>
      <xdr:colOff>152400</xdr:colOff>
      <xdr:row>920</xdr:row>
      <xdr:rowOff>133350</xdr:rowOff>
    </xdr:to>
    <xdr:pic>
      <xdr:nvPicPr>
        <xdr:cNvPr id="7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921</xdr:row>
      <xdr:rowOff>0</xdr:rowOff>
    </xdr:from>
    <xdr:to>
      <xdr:col>25</xdr:col>
      <xdr:colOff>152400</xdr:colOff>
      <xdr:row>921</xdr:row>
      <xdr:rowOff>133350</xdr:rowOff>
    </xdr:to>
    <xdr:pic>
      <xdr:nvPicPr>
        <xdr:cNvPr id="7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922</xdr:row>
      <xdr:rowOff>0</xdr:rowOff>
    </xdr:from>
    <xdr:to>
      <xdr:col>25</xdr:col>
      <xdr:colOff>152400</xdr:colOff>
      <xdr:row>922</xdr:row>
      <xdr:rowOff>133350</xdr:rowOff>
    </xdr:to>
    <xdr:pic>
      <xdr:nvPicPr>
        <xdr:cNvPr id="7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923</xdr:row>
      <xdr:rowOff>0</xdr:rowOff>
    </xdr:from>
    <xdr:to>
      <xdr:col>25</xdr:col>
      <xdr:colOff>152400</xdr:colOff>
      <xdr:row>923</xdr:row>
      <xdr:rowOff>133350</xdr:rowOff>
    </xdr:to>
    <xdr:pic>
      <xdr:nvPicPr>
        <xdr:cNvPr id="7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924</xdr:row>
      <xdr:rowOff>0</xdr:rowOff>
    </xdr:from>
    <xdr:to>
      <xdr:col>25</xdr:col>
      <xdr:colOff>152400</xdr:colOff>
      <xdr:row>924</xdr:row>
      <xdr:rowOff>133350</xdr:rowOff>
    </xdr:to>
    <xdr:pic>
      <xdr:nvPicPr>
        <xdr:cNvPr id="7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925</xdr:row>
      <xdr:rowOff>0</xdr:rowOff>
    </xdr:from>
    <xdr:to>
      <xdr:col>25</xdr:col>
      <xdr:colOff>152400</xdr:colOff>
      <xdr:row>925</xdr:row>
      <xdr:rowOff>133350</xdr:rowOff>
    </xdr:to>
    <xdr:pic>
      <xdr:nvPicPr>
        <xdr:cNvPr id="7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926</xdr:row>
      <xdr:rowOff>0</xdr:rowOff>
    </xdr:from>
    <xdr:to>
      <xdr:col>25</xdr:col>
      <xdr:colOff>152400</xdr:colOff>
      <xdr:row>926</xdr:row>
      <xdr:rowOff>133350</xdr:rowOff>
    </xdr:to>
    <xdr:pic>
      <xdr:nvPicPr>
        <xdr:cNvPr id="7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927</xdr:row>
      <xdr:rowOff>0</xdr:rowOff>
    </xdr:from>
    <xdr:to>
      <xdr:col>25</xdr:col>
      <xdr:colOff>152400</xdr:colOff>
      <xdr:row>927</xdr:row>
      <xdr:rowOff>133350</xdr:rowOff>
    </xdr:to>
    <xdr:pic>
      <xdr:nvPicPr>
        <xdr:cNvPr id="7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928</xdr:row>
      <xdr:rowOff>0</xdr:rowOff>
    </xdr:from>
    <xdr:to>
      <xdr:col>25</xdr:col>
      <xdr:colOff>152400</xdr:colOff>
      <xdr:row>928</xdr:row>
      <xdr:rowOff>133350</xdr:rowOff>
    </xdr:to>
    <xdr:pic>
      <xdr:nvPicPr>
        <xdr:cNvPr id="7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929</xdr:row>
      <xdr:rowOff>0</xdr:rowOff>
    </xdr:from>
    <xdr:to>
      <xdr:col>25</xdr:col>
      <xdr:colOff>152400</xdr:colOff>
      <xdr:row>929</xdr:row>
      <xdr:rowOff>133350</xdr:rowOff>
    </xdr:to>
    <xdr:pic>
      <xdr:nvPicPr>
        <xdr:cNvPr id="7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930</xdr:row>
      <xdr:rowOff>0</xdr:rowOff>
    </xdr:from>
    <xdr:to>
      <xdr:col>25</xdr:col>
      <xdr:colOff>152400</xdr:colOff>
      <xdr:row>930</xdr:row>
      <xdr:rowOff>133350</xdr:rowOff>
    </xdr:to>
    <xdr:pic>
      <xdr:nvPicPr>
        <xdr:cNvPr id="7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931</xdr:row>
      <xdr:rowOff>0</xdr:rowOff>
    </xdr:from>
    <xdr:to>
      <xdr:col>25</xdr:col>
      <xdr:colOff>152400</xdr:colOff>
      <xdr:row>931</xdr:row>
      <xdr:rowOff>133350</xdr:rowOff>
    </xdr:to>
    <xdr:pic>
      <xdr:nvPicPr>
        <xdr:cNvPr id="7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932</xdr:row>
      <xdr:rowOff>0</xdr:rowOff>
    </xdr:from>
    <xdr:to>
      <xdr:col>25</xdr:col>
      <xdr:colOff>152400</xdr:colOff>
      <xdr:row>932</xdr:row>
      <xdr:rowOff>133350</xdr:rowOff>
    </xdr:to>
    <xdr:pic>
      <xdr:nvPicPr>
        <xdr:cNvPr id="7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933</xdr:row>
      <xdr:rowOff>0</xdr:rowOff>
    </xdr:from>
    <xdr:to>
      <xdr:col>25</xdr:col>
      <xdr:colOff>152400</xdr:colOff>
      <xdr:row>933</xdr:row>
      <xdr:rowOff>133350</xdr:rowOff>
    </xdr:to>
    <xdr:pic>
      <xdr:nvPicPr>
        <xdr:cNvPr id="7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934</xdr:row>
      <xdr:rowOff>0</xdr:rowOff>
    </xdr:from>
    <xdr:to>
      <xdr:col>25</xdr:col>
      <xdr:colOff>152400</xdr:colOff>
      <xdr:row>934</xdr:row>
      <xdr:rowOff>133350</xdr:rowOff>
    </xdr:to>
    <xdr:pic>
      <xdr:nvPicPr>
        <xdr:cNvPr id="7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935</xdr:row>
      <xdr:rowOff>0</xdr:rowOff>
    </xdr:from>
    <xdr:to>
      <xdr:col>25</xdr:col>
      <xdr:colOff>152400</xdr:colOff>
      <xdr:row>935</xdr:row>
      <xdr:rowOff>133350</xdr:rowOff>
    </xdr:to>
    <xdr:pic>
      <xdr:nvPicPr>
        <xdr:cNvPr id="7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936</xdr:row>
      <xdr:rowOff>0</xdr:rowOff>
    </xdr:from>
    <xdr:to>
      <xdr:col>25</xdr:col>
      <xdr:colOff>152400</xdr:colOff>
      <xdr:row>936</xdr:row>
      <xdr:rowOff>133350</xdr:rowOff>
    </xdr:to>
    <xdr:pic>
      <xdr:nvPicPr>
        <xdr:cNvPr id="7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937</xdr:row>
      <xdr:rowOff>0</xdr:rowOff>
    </xdr:from>
    <xdr:to>
      <xdr:col>25</xdr:col>
      <xdr:colOff>152400</xdr:colOff>
      <xdr:row>937</xdr:row>
      <xdr:rowOff>133350</xdr:rowOff>
    </xdr:to>
    <xdr:pic>
      <xdr:nvPicPr>
        <xdr:cNvPr id="7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938</xdr:row>
      <xdr:rowOff>0</xdr:rowOff>
    </xdr:from>
    <xdr:to>
      <xdr:col>25</xdr:col>
      <xdr:colOff>152400</xdr:colOff>
      <xdr:row>938</xdr:row>
      <xdr:rowOff>133350</xdr:rowOff>
    </xdr:to>
    <xdr:pic>
      <xdr:nvPicPr>
        <xdr:cNvPr id="7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939</xdr:row>
      <xdr:rowOff>0</xdr:rowOff>
    </xdr:from>
    <xdr:to>
      <xdr:col>25</xdr:col>
      <xdr:colOff>152400</xdr:colOff>
      <xdr:row>939</xdr:row>
      <xdr:rowOff>133350</xdr:rowOff>
    </xdr:to>
    <xdr:pic>
      <xdr:nvPicPr>
        <xdr:cNvPr id="7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940</xdr:row>
      <xdr:rowOff>0</xdr:rowOff>
    </xdr:from>
    <xdr:to>
      <xdr:col>25</xdr:col>
      <xdr:colOff>152400</xdr:colOff>
      <xdr:row>940</xdr:row>
      <xdr:rowOff>133350</xdr:rowOff>
    </xdr:to>
    <xdr:pic>
      <xdr:nvPicPr>
        <xdr:cNvPr id="7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941</xdr:row>
      <xdr:rowOff>0</xdr:rowOff>
    </xdr:from>
    <xdr:to>
      <xdr:col>25</xdr:col>
      <xdr:colOff>152400</xdr:colOff>
      <xdr:row>941</xdr:row>
      <xdr:rowOff>133350</xdr:rowOff>
    </xdr:to>
    <xdr:pic>
      <xdr:nvPicPr>
        <xdr:cNvPr id="7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942</xdr:row>
      <xdr:rowOff>0</xdr:rowOff>
    </xdr:from>
    <xdr:to>
      <xdr:col>25</xdr:col>
      <xdr:colOff>152400</xdr:colOff>
      <xdr:row>942</xdr:row>
      <xdr:rowOff>133350</xdr:rowOff>
    </xdr:to>
    <xdr:pic>
      <xdr:nvPicPr>
        <xdr:cNvPr id="7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943</xdr:row>
      <xdr:rowOff>0</xdr:rowOff>
    </xdr:from>
    <xdr:to>
      <xdr:col>25</xdr:col>
      <xdr:colOff>152400</xdr:colOff>
      <xdr:row>943</xdr:row>
      <xdr:rowOff>133350</xdr:rowOff>
    </xdr:to>
    <xdr:pic>
      <xdr:nvPicPr>
        <xdr:cNvPr id="7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944</xdr:row>
      <xdr:rowOff>0</xdr:rowOff>
    </xdr:from>
    <xdr:to>
      <xdr:col>25</xdr:col>
      <xdr:colOff>152400</xdr:colOff>
      <xdr:row>944</xdr:row>
      <xdr:rowOff>133350</xdr:rowOff>
    </xdr:to>
    <xdr:pic>
      <xdr:nvPicPr>
        <xdr:cNvPr id="7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945</xdr:row>
      <xdr:rowOff>0</xdr:rowOff>
    </xdr:from>
    <xdr:to>
      <xdr:col>25</xdr:col>
      <xdr:colOff>152400</xdr:colOff>
      <xdr:row>945</xdr:row>
      <xdr:rowOff>133350</xdr:rowOff>
    </xdr:to>
    <xdr:pic>
      <xdr:nvPicPr>
        <xdr:cNvPr id="7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946</xdr:row>
      <xdr:rowOff>0</xdr:rowOff>
    </xdr:from>
    <xdr:to>
      <xdr:col>25</xdr:col>
      <xdr:colOff>152400</xdr:colOff>
      <xdr:row>946</xdr:row>
      <xdr:rowOff>133350</xdr:rowOff>
    </xdr:to>
    <xdr:pic>
      <xdr:nvPicPr>
        <xdr:cNvPr id="7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947</xdr:row>
      <xdr:rowOff>0</xdr:rowOff>
    </xdr:from>
    <xdr:to>
      <xdr:col>25</xdr:col>
      <xdr:colOff>152400</xdr:colOff>
      <xdr:row>947</xdr:row>
      <xdr:rowOff>133350</xdr:rowOff>
    </xdr:to>
    <xdr:pic>
      <xdr:nvPicPr>
        <xdr:cNvPr id="7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948</xdr:row>
      <xdr:rowOff>0</xdr:rowOff>
    </xdr:from>
    <xdr:to>
      <xdr:col>25</xdr:col>
      <xdr:colOff>152400</xdr:colOff>
      <xdr:row>948</xdr:row>
      <xdr:rowOff>133350</xdr:rowOff>
    </xdr:to>
    <xdr:pic>
      <xdr:nvPicPr>
        <xdr:cNvPr id="7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949</xdr:row>
      <xdr:rowOff>0</xdr:rowOff>
    </xdr:from>
    <xdr:to>
      <xdr:col>25</xdr:col>
      <xdr:colOff>152400</xdr:colOff>
      <xdr:row>949</xdr:row>
      <xdr:rowOff>133350</xdr:rowOff>
    </xdr:to>
    <xdr:pic>
      <xdr:nvPicPr>
        <xdr:cNvPr id="7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950</xdr:row>
      <xdr:rowOff>0</xdr:rowOff>
    </xdr:from>
    <xdr:to>
      <xdr:col>25</xdr:col>
      <xdr:colOff>152400</xdr:colOff>
      <xdr:row>950</xdr:row>
      <xdr:rowOff>133350</xdr:rowOff>
    </xdr:to>
    <xdr:pic>
      <xdr:nvPicPr>
        <xdr:cNvPr id="7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951</xdr:row>
      <xdr:rowOff>0</xdr:rowOff>
    </xdr:from>
    <xdr:to>
      <xdr:col>25</xdr:col>
      <xdr:colOff>152400</xdr:colOff>
      <xdr:row>951</xdr:row>
      <xdr:rowOff>133350</xdr:rowOff>
    </xdr:to>
    <xdr:pic>
      <xdr:nvPicPr>
        <xdr:cNvPr id="8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953</xdr:row>
      <xdr:rowOff>0</xdr:rowOff>
    </xdr:from>
    <xdr:to>
      <xdr:col>25</xdr:col>
      <xdr:colOff>152400</xdr:colOff>
      <xdr:row>953</xdr:row>
      <xdr:rowOff>133350</xdr:rowOff>
    </xdr:to>
    <xdr:pic>
      <xdr:nvPicPr>
        <xdr:cNvPr id="8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954</xdr:row>
      <xdr:rowOff>0</xdr:rowOff>
    </xdr:from>
    <xdr:to>
      <xdr:col>25</xdr:col>
      <xdr:colOff>152400</xdr:colOff>
      <xdr:row>954</xdr:row>
      <xdr:rowOff>133350</xdr:rowOff>
    </xdr:to>
    <xdr:pic>
      <xdr:nvPicPr>
        <xdr:cNvPr id="8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955</xdr:row>
      <xdr:rowOff>0</xdr:rowOff>
    </xdr:from>
    <xdr:to>
      <xdr:col>25</xdr:col>
      <xdr:colOff>152400</xdr:colOff>
      <xdr:row>955</xdr:row>
      <xdr:rowOff>133350</xdr:rowOff>
    </xdr:to>
    <xdr:pic>
      <xdr:nvPicPr>
        <xdr:cNvPr id="8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956</xdr:row>
      <xdr:rowOff>0</xdr:rowOff>
    </xdr:from>
    <xdr:to>
      <xdr:col>25</xdr:col>
      <xdr:colOff>152400</xdr:colOff>
      <xdr:row>956</xdr:row>
      <xdr:rowOff>133350</xdr:rowOff>
    </xdr:to>
    <xdr:pic>
      <xdr:nvPicPr>
        <xdr:cNvPr id="8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957</xdr:row>
      <xdr:rowOff>0</xdr:rowOff>
    </xdr:from>
    <xdr:to>
      <xdr:col>25</xdr:col>
      <xdr:colOff>152400</xdr:colOff>
      <xdr:row>957</xdr:row>
      <xdr:rowOff>133350</xdr:rowOff>
    </xdr:to>
    <xdr:pic>
      <xdr:nvPicPr>
        <xdr:cNvPr id="8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958</xdr:row>
      <xdr:rowOff>0</xdr:rowOff>
    </xdr:from>
    <xdr:to>
      <xdr:col>25</xdr:col>
      <xdr:colOff>152400</xdr:colOff>
      <xdr:row>958</xdr:row>
      <xdr:rowOff>133350</xdr:rowOff>
    </xdr:to>
    <xdr:pic>
      <xdr:nvPicPr>
        <xdr:cNvPr id="8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959</xdr:row>
      <xdr:rowOff>0</xdr:rowOff>
    </xdr:from>
    <xdr:to>
      <xdr:col>25</xdr:col>
      <xdr:colOff>152400</xdr:colOff>
      <xdr:row>959</xdr:row>
      <xdr:rowOff>133350</xdr:rowOff>
    </xdr:to>
    <xdr:pic>
      <xdr:nvPicPr>
        <xdr:cNvPr id="8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960</xdr:row>
      <xdr:rowOff>0</xdr:rowOff>
    </xdr:from>
    <xdr:to>
      <xdr:col>25</xdr:col>
      <xdr:colOff>152400</xdr:colOff>
      <xdr:row>960</xdr:row>
      <xdr:rowOff>133350</xdr:rowOff>
    </xdr:to>
    <xdr:pic>
      <xdr:nvPicPr>
        <xdr:cNvPr id="8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961</xdr:row>
      <xdr:rowOff>0</xdr:rowOff>
    </xdr:from>
    <xdr:to>
      <xdr:col>25</xdr:col>
      <xdr:colOff>152400</xdr:colOff>
      <xdr:row>961</xdr:row>
      <xdr:rowOff>133350</xdr:rowOff>
    </xdr:to>
    <xdr:pic>
      <xdr:nvPicPr>
        <xdr:cNvPr id="8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962</xdr:row>
      <xdr:rowOff>0</xdr:rowOff>
    </xdr:from>
    <xdr:to>
      <xdr:col>25</xdr:col>
      <xdr:colOff>152400</xdr:colOff>
      <xdr:row>962</xdr:row>
      <xdr:rowOff>133350</xdr:rowOff>
    </xdr:to>
    <xdr:pic>
      <xdr:nvPicPr>
        <xdr:cNvPr id="8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963</xdr:row>
      <xdr:rowOff>0</xdr:rowOff>
    </xdr:from>
    <xdr:to>
      <xdr:col>25</xdr:col>
      <xdr:colOff>152400</xdr:colOff>
      <xdr:row>963</xdr:row>
      <xdr:rowOff>133350</xdr:rowOff>
    </xdr:to>
    <xdr:pic>
      <xdr:nvPicPr>
        <xdr:cNvPr id="8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964</xdr:row>
      <xdr:rowOff>0</xdr:rowOff>
    </xdr:from>
    <xdr:to>
      <xdr:col>25</xdr:col>
      <xdr:colOff>152400</xdr:colOff>
      <xdr:row>964</xdr:row>
      <xdr:rowOff>133350</xdr:rowOff>
    </xdr:to>
    <xdr:pic>
      <xdr:nvPicPr>
        <xdr:cNvPr id="8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965</xdr:row>
      <xdr:rowOff>0</xdr:rowOff>
    </xdr:from>
    <xdr:to>
      <xdr:col>25</xdr:col>
      <xdr:colOff>152400</xdr:colOff>
      <xdr:row>965</xdr:row>
      <xdr:rowOff>133350</xdr:rowOff>
    </xdr:to>
    <xdr:pic>
      <xdr:nvPicPr>
        <xdr:cNvPr id="8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966</xdr:row>
      <xdr:rowOff>0</xdr:rowOff>
    </xdr:from>
    <xdr:to>
      <xdr:col>25</xdr:col>
      <xdr:colOff>152400</xdr:colOff>
      <xdr:row>966</xdr:row>
      <xdr:rowOff>133350</xdr:rowOff>
    </xdr:to>
    <xdr:pic>
      <xdr:nvPicPr>
        <xdr:cNvPr id="8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967</xdr:row>
      <xdr:rowOff>0</xdr:rowOff>
    </xdr:from>
    <xdr:to>
      <xdr:col>25</xdr:col>
      <xdr:colOff>152400</xdr:colOff>
      <xdr:row>967</xdr:row>
      <xdr:rowOff>133350</xdr:rowOff>
    </xdr:to>
    <xdr:pic>
      <xdr:nvPicPr>
        <xdr:cNvPr id="8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968</xdr:row>
      <xdr:rowOff>0</xdr:rowOff>
    </xdr:from>
    <xdr:to>
      <xdr:col>25</xdr:col>
      <xdr:colOff>152400</xdr:colOff>
      <xdr:row>968</xdr:row>
      <xdr:rowOff>133350</xdr:rowOff>
    </xdr:to>
    <xdr:pic>
      <xdr:nvPicPr>
        <xdr:cNvPr id="8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969</xdr:row>
      <xdr:rowOff>0</xdr:rowOff>
    </xdr:from>
    <xdr:to>
      <xdr:col>25</xdr:col>
      <xdr:colOff>152400</xdr:colOff>
      <xdr:row>969</xdr:row>
      <xdr:rowOff>133350</xdr:rowOff>
    </xdr:to>
    <xdr:pic>
      <xdr:nvPicPr>
        <xdr:cNvPr id="8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970</xdr:row>
      <xdr:rowOff>0</xdr:rowOff>
    </xdr:from>
    <xdr:to>
      <xdr:col>25</xdr:col>
      <xdr:colOff>152400</xdr:colOff>
      <xdr:row>970</xdr:row>
      <xdr:rowOff>133350</xdr:rowOff>
    </xdr:to>
    <xdr:pic>
      <xdr:nvPicPr>
        <xdr:cNvPr id="8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971</xdr:row>
      <xdr:rowOff>0</xdr:rowOff>
    </xdr:from>
    <xdr:to>
      <xdr:col>25</xdr:col>
      <xdr:colOff>152400</xdr:colOff>
      <xdr:row>971</xdr:row>
      <xdr:rowOff>133350</xdr:rowOff>
    </xdr:to>
    <xdr:pic>
      <xdr:nvPicPr>
        <xdr:cNvPr id="8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972</xdr:row>
      <xdr:rowOff>0</xdr:rowOff>
    </xdr:from>
    <xdr:to>
      <xdr:col>25</xdr:col>
      <xdr:colOff>152400</xdr:colOff>
      <xdr:row>972</xdr:row>
      <xdr:rowOff>133350</xdr:rowOff>
    </xdr:to>
    <xdr:pic>
      <xdr:nvPicPr>
        <xdr:cNvPr id="8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973</xdr:row>
      <xdr:rowOff>0</xdr:rowOff>
    </xdr:from>
    <xdr:to>
      <xdr:col>25</xdr:col>
      <xdr:colOff>152400</xdr:colOff>
      <xdr:row>973</xdr:row>
      <xdr:rowOff>133350</xdr:rowOff>
    </xdr:to>
    <xdr:pic>
      <xdr:nvPicPr>
        <xdr:cNvPr id="8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974</xdr:row>
      <xdr:rowOff>0</xdr:rowOff>
    </xdr:from>
    <xdr:to>
      <xdr:col>25</xdr:col>
      <xdr:colOff>152400</xdr:colOff>
      <xdr:row>974</xdr:row>
      <xdr:rowOff>133350</xdr:rowOff>
    </xdr:to>
    <xdr:pic>
      <xdr:nvPicPr>
        <xdr:cNvPr id="8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975</xdr:row>
      <xdr:rowOff>0</xdr:rowOff>
    </xdr:from>
    <xdr:to>
      <xdr:col>25</xdr:col>
      <xdr:colOff>152400</xdr:colOff>
      <xdr:row>975</xdr:row>
      <xdr:rowOff>133350</xdr:rowOff>
    </xdr:to>
    <xdr:pic>
      <xdr:nvPicPr>
        <xdr:cNvPr id="8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976</xdr:row>
      <xdr:rowOff>0</xdr:rowOff>
    </xdr:from>
    <xdr:to>
      <xdr:col>25</xdr:col>
      <xdr:colOff>152400</xdr:colOff>
      <xdr:row>976</xdr:row>
      <xdr:rowOff>133350</xdr:rowOff>
    </xdr:to>
    <xdr:pic>
      <xdr:nvPicPr>
        <xdr:cNvPr id="8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977</xdr:row>
      <xdr:rowOff>0</xdr:rowOff>
    </xdr:from>
    <xdr:to>
      <xdr:col>25</xdr:col>
      <xdr:colOff>152400</xdr:colOff>
      <xdr:row>977</xdr:row>
      <xdr:rowOff>133350</xdr:rowOff>
    </xdr:to>
    <xdr:pic>
      <xdr:nvPicPr>
        <xdr:cNvPr id="8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978</xdr:row>
      <xdr:rowOff>0</xdr:rowOff>
    </xdr:from>
    <xdr:to>
      <xdr:col>25</xdr:col>
      <xdr:colOff>152400</xdr:colOff>
      <xdr:row>978</xdr:row>
      <xdr:rowOff>133350</xdr:rowOff>
    </xdr:to>
    <xdr:pic>
      <xdr:nvPicPr>
        <xdr:cNvPr id="8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979</xdr:row>
      <xdr:rowOff>0</xdr:rowOff>
    </xdr:from>
    <xdr:to>
      <xdr:col>25</xdr:col>
      <xdr:colOff>152400</xdr:colOff>
      <xdr:row>979</xdr:row>
      <xdr:rowOff>133350</xdr:rowOff>
    </xdr:to>
    <xdr:pic>
      <xdr:nvPicPr>
        <xdr:cNvPr id="8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980</xdr:row>
      <xdr:rowOff>0</xdr:rowOff>
    </xdr:from>
    <xdr:to>
      <xdr:col>25</xdr:col>
      <xdr:colOff>152400</xdr:colOff>
      <xdr:row>980</xdr:row>
      <xdr:rowOff>133350</xdr:rowOff>
    </xdr:to>
    <xdr:pic>
      <xdr:nvPicPr>
        <xdr:cNvPr id="8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981</xdr:row>
      <xdr:rowOff>0</xdr:rowOff>
    </xdr:from>
    <xdr:to>
      <xdr:col>25</xdr:col>
      <xdr:colOff>152400</xdr:colOff>
      <xdr:row>981</xdr:row>
      <xdr:rowOff>133350</xdr:rowOff>
    </xdr:to>
    <xdr:pic>
      <xdr:nvPicPr>
        <xdr:cNvPr id="8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982</xdr:row>
      <xdr:rowOff>0</xdr:rowOff>
    </xdr:from>
    <xdr:to>
      <xdr:col>25</xdr:col>
      <xdr:colOff>152400</xdr:colOff>
      <xdr:row>982</xdr:row>
      <xdr:rowOff>133350</xdr:rowOff>
    </xdr:to>
    <xdr:pic>
      <xdr:nvPicPr>
        <xdr:cNvPr id="8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983</xdr:row>
      <xdr:rowOff>0</xdr:rowOff>
    </xdr:from>
    <xdr:to>
      <xdr:col>25</xdr:col>
      <xdr:colOff>152400</xdr:colOff>
      <xdr:row>983</xdr:row>
      <xdr:rowOff>133350</xdr:rowOff>
    </xdr:to>
    <xdr:pic>
      <xdr:nvPicPr>
        <xdr:cNvPr id="8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984</xdr:row>
      <xdr:rowOff>0</xdr:rowOff>
    </xdr:from>
    <xdr:to>
      <xdr:col>25</xdr:col>
      <xdr:colOff>152400</xdr:colOff>
      <xdr:row>984</xdr:row>
      <xdr:rowOff>133350</xdr:rowOff>
    </xdr:to>
    <xdr:pic>
      <xdr:nvPicPr>
        <xdr:cNvPr id="8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985</xdr:row>
      <xdr:rowOff>0</xdr:rowOff>
    </xdr:from>
    <xdr:to>
      <xdr:col>25</xdr:col>
      <xdr:colOff>152400</xdr:colOff>
      <xdr:row>985</xdr:row>
      <xdr:rowOff>133350</xdr:rowOff>
    </xdr:to>
    <xdr:pic>
      <xdr:nvPicPr>
        <xdr:cNvPr id="8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986</xdr:row>
      <xdr:rowOff>0</xdr:rowOff>
    </xdr:from>
    <xdr:to>
      <xdr:col>25</xdr:col>
      <xdr:colOff>152400</xdr:colOff>
      <xdr:row>986</xdr:row>
      <xdr:rowOff>133350</xdr:rowOff>
    </xdr:to>
    <xdr:pic>
      <xdr:nvPicPr>
        <xdr:cNvPr id="8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987</xdr:row>
      <xdr:rowOff>0</xdr:rowOff>
    </xdr:from>
    <xdr:to>
      <xdr:col>25</xdr:col>
      <xdr:colOff>152400</xdr:colOff>
      <xdr:row>987</xdr:row>
      <xdr:rowOff>133350</xdr:rowOff>
    </xdr:to>
    <xdr:pic>
      <xdr:nvPicPr>
        <xdr:cNvPr id="8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988</xdr:row>
      <xdr:rowOff>0</xdr:rowOff>
    </xdr:from>
    <xdr:to>
      <xdr:col>25</xdr:col>
      <xdr:colOff>152400</xdr:colOff>
      <xdr:row>988</xdr:row>
      <xdr:rowOff>133350</xdr:rowOff>
    </xdr:to>
    <xdr:pic>
      <xdr:nvPicPr>
        <xdr:cNvPr id="8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989</xdr:row>
      <xdr:rowOff>0</xdr:rowOff>
    </xdr:from>
    <xdr:to>
      <xdr:col>25</xdr:col>
      <xdr:colOff>152400</xdr:colOff>
      <xdr:row>989</xdr:row>
      <xdr:rowOff>133350</xdr:rowOff>
    </xdr:to>
    <xdr:pic>
      <xdr:nvPicPr>
        <xdr:cNvPr id="8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990</xdr:row>
      <xdr:rowOff>0</xdr:rowOff>
    </xdr:from>
    <xdr:to>
      <xdr:col>25</xdr:col>
      <xdr:colOff>152400</xdr:colOff>
      <xdr:row>990</xdr:row>
      <xdr:rowOff>133350</xdr:rowOff>
    </xdr:to>
    <xdr:pic>
      <xdr:nvPicPr>
        <xdr:cNvPr id="8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991</xdr:row>
      <xdr:rowOff>0</xdr:rowOff>
    </xdr:from>
    <xdr:to>
      <xdr:col>25</xdr:col>
      <xdr:colOff>152400</xdr:colOff>
      <xdr:row>991</xdr:row>
      <xdr:rowOff>133350</xdr:rowOff>
    </xdr:to>
    <xdr:pic>
      <xdr:nvPicPr>
        <xdr:cNvPr id="8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992</xdr:row>
      <xdr:rowOff>0</xdr:rowOff>
    </xdr:from>
    <xdr:to>
      <xdr:col>25</xdr:col>
      <xdr:colOff>152400</xdr:colOff>
      <xdr:row>992</xdr:row>
      <xdr:rowOff>133350</xdr:rowOff>
    </xdr:to>
    <xdr:pic>
      <xdr:nvPicPr>
        <xdr:cNvPr id="8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993</xdr:row>
      <xdr:rowOff>0</xdr:rowOff>
    </xdr:from>
    <xdr:to>
      <xdr:col>25</xdr:col>
      <xdr:colOff>152400</xdr:colOff>
      <xdr:row>993</xdr:row>
      <xdr:rowOff>133350</xdr:rowOff>
    </xdr:to>
    <xdr:pic>
      <xdr:nvPicPr>
        <xdr:cNvPr id="8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994</xdr:row>
      <xdr:rowOff>0</xdr:rowOff>
    </xdr:from>
    <xdr:to>
      <xdr:col>25</xdr:col>
      <xdr:colOff>152400</xdr:colOff>
      <xdr:row>994</xdr:row>
      <xdr:rowOff>133350</xdr:rowOff>
    </xdr:to>
    <xdr:pic>
      <xdr:nvPicPr>
        <xdr:cNvPr id="8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995</xdr:row>
      <xdr:rowOff>0</xdr:rowOff>
    </xdr:from>
    <xdr:to>
      <xdr:col>25</xdr:col>
      <xdr:colOff>152400</xdr:colOff>
      <xdr:row>995</xdr:row>
      <xdr:rowOff>133350</xdr:rowOff>
    </xdr:to>
    <xdr:pic>
      <xdr:nvPicPr>
        <xdr:cNvPr id="8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996</xdr:row>
      <xdr:rowOff>0</xdr:rowOff>
    </xdr:from>
    <xdr:to>
      <xdr:col>25</xdr:col>
      <xdr:colOff>152400</xdr:colOff>
      <xdr:row>996</xdr:row>
      <xdr:rowOff>133350</xdr:rowOff>
    </xdr:to>
    <xdr:pic>
      <xdr:nvPicPr>
        <xdr:cNvPr id="8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997</xdr:row>
      <xdr:rowOff>0</xdr:rowOff>
    </xdr:from>
    <xdr:to>
      <xdr:col>25</xdr:col>
      <xdr:colOff>152400</xdr:colOff>
      <xdr:row>997</xdr:row>
      <xdr:rowOff>133350</xdr:rowOff>
    </xdr:to>
    <xdr:pic>
      <xdr:nvPicPr>
        <xdr:cNvPr id="8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998</xdr:row>
      <xdr:rowOff>0</xdr:rowOff>
    </xdr:from>
    <xdr:to>
      <xdr:col>25</xdr:col>
      <xdr:colOff>152400</xdr:colOff>
      <xdr:row>998</xdr:row>
      <xdr:rowOff>133350</xdr:rowOff>
    </xdr:to>
    <xdr:pic>
      <xdr:nvPicPr>
        <xdr:cNvPr id="8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999</xdr:row>
      <xdr:rowOff>0</xdr:rowOff>
    </xdr:from>
    <xdr:to>
      <xdr:col>25</xdr:col>
      <xdr:colOff>152400</xdr:colOff>
      <xdr:row>999</xdr:row>
      <xdr:rowOff>133350</xdr:rowOff>
    </xdr:to>
    <xdr:pic>
      <xdr:nvPicPr>
        <xdr:cNvPr id="8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1000</xdr:row>
      <xdr:rowOff>0</xdr:rowOff>
    </xdr:from>
    <xdr:to>
      <xdr:col>25</xdr:col>
      <xdr:colOff>152400</xdr:colOff>
      <xdr:row>1000</xdr:row>
      <xdr:rowOff>133350</xdr:rowOff>
    </xdr:to>
    <xdr:pic>
      <xdr:nvPicPr>
        <xdr:cNvPr id="8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1001</xdr:row>
      <xdr:rowOff>0</xdr:rowOff>
    </xdr:from>
    <xdr:to>
      <xdr:col>25</xdr:col>
      <xdr:colOff>152400</xdr:colOff>
      <xdr:row>1001</xdr:row>
      <xdr:rowOff>133350</xdr:rowOff>
    </xdr:to>
    <xdr:pic>
      <xdr:nvPicPr>
        <xdr:cNvPr id="8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1002</xdr:row>
      <xdr:rowOff>0</xdr:rowOff>
    </xdr:from>
    <xdr:to>
      <xdr:col>25</xdr:col>
      <xdr:colOff>152400</xdr:colOff>
      <xdr:row>1002</xdr:row>
      <xdr:rowOff>133350</xdr:rowOff>
    </xdr:to>
    <xdr:pic>
      <xdr:nvPicPr>
        <xdr:cNvPr id="8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1003</xdr:row>
      <xdr:rowOff>0</xdr:rowOff>
    </xdr:from>
    <xdr:to>
      <xdr:col>25</xdr:col>
      <xdr:colOff>152400</xdr:colOff>
      <xdr:row>1003</xdr:row>
      <xdr:rowOff>133350</xdr:rowOff>
    </xdr:to>
    <xdr:pic>
      <xdr:nvPicPr>
        <xdr:cNvPr id="8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1004</xdr:row>
      <xdr:rowOff>0</xdr:rowOff>
    </xdr:from>
    <xdr:to>
      <xdr:col>25</xdr:col>
      <xdr:colOff>152400</xdr:colOff>
      <xdr:row>1004</xdr:row>
      <xdr:rowOff>133350</xdr:rowOff>
    </xdr:to>
    <xdr:pic>
      <xdr:nvPicPr>
        <xdr:cNvPr id="8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1005</xdr:row>
      <xdr:rowOff>0</xdr:rowOff>
    </xdr:from>
    <xdr:to>
      <xdr:col>25</xdr:col>
      <xdr:colOff>152400</xdr:colOff>
      <xdr:row>1005</xdr:row>
      <xdr:rowOff>133350</xdr:rowOff>
    </xdr:to>
    <xdr:pic>
      <xdr:nvPicPr>
        <xdr:cNvPr id="8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1006</xdr:row>
      <xdr:rowOff>0</xdr:rowOff>
    </xdr:from>
    <xdr:to>
      <xdr:col>25</xdr:col>
      <xdr:colOff>152400</xdr:colOff>
      <xdr:row>1006</xdr:row>
      <xdr:rowOff>133350</xdr:rowOff>
    </xdr:to>
    <xdr:pic>
      <xdr:nvPicPr>
        <xdr:cNvPr id="8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1025</xdr:row>
      <xdr:rowOff>0</xdr:rowOff>
    </xdr:from>
    <xdr:to>
      <xdr:col>25</xdr:col>
      <xdr:colOff>152400</xdr:colOff>
      <xdr:row>1025</xdr:row>
      <xdr:rowOff>133350</xdr:rowOff>
    </xdr:to>
    <xdr:pic>
      <xdr:nvPicPr>
        <xdr:cNvPr id="8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1026</xdr:row>
      <xdr:rowOff>0</xdr:rowOff>
    </xdr:from>
    <xdr:to>
      <xdr:col>25</xdr:col>
      <xdr:colOff>152400</xdr:colOff>
      <xdr:row>1026</xdr:row>
      <xdr:rowOff>133350</xdr:rowOff>
    </xdr:to>
    <xdr:pic>
      <xdr:nvPicPr>
        <xdr:cNvPr id="8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1027</xdr:row>
      <xdr:rowOff>0</xdr:rowOff>
    </xdr:from>
    <xdr:to>
      <xdr:col>25</xdr:col>
      <xdr:colOff>152400</xdr:colOff>
      <xdr:row>1027</xdr:row>
      <xdr:rowOff>133350</xdr:rowOff>
    </xdr:to>
    <xdr:pic>
      <xdr:nvPicPr>
        <xdr:cNvPr id="8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1028</xdr:row>
      <xdr:rowOff>0</xdr:rowOff>
    </xdr:from>
    <xdr:to>
      <xdr:col>25</xdr:col>
      <xdr:colOff>152400</xdr:colOff>
      <xdr:row>1028</xdr:row>
      <xdr:rowOff>133350</xdr:rowOff>
    </xdr:to>
    <xdr:pic>
      <xdr:nvPicPr>
        <xdr:cNvPr id="8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1173</xdr:row>
      <xdr:rowOff>0</xdr:rowOff>
    </xdr:from>
    <xdr:to>
      <xdr:col>25</xdr:col>
      <xdr:colOff>152400</xdr:colOff>
      <xdr:row>1173</xdr:row>
      <xdr:rowOff>133350</xdr:rowOff>
    </xdr:to>
    <xdr:pic>
      <xdr:nvPicPr>
        <xdr:cNvPr id="8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1174</xdr:row>
      <xdr:rowOff>0</xdr:rowOff>
    </xdr:from>
    <xdr:to>
      <xdr:col>25</xdr:col>
      <xdr:colOff>152400</xdr:colOff>
      <xdr:row>1174</xdr:row>
      <xdr:rowOff>133350</xdr:rowOff>
    </xdr:to>
    <xdr:pic>
      <xdr:nvPicPr>
        <xdr:cNvPr id="8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1175</xdr:row>
      <xdr:rowOff>0</xdr:rowOff>
    </xdr:from>
    <xdr:to>
      <xdr:col>25</xdr:col>
      <xdr:colOff>152400</xdr:colOff>
      <xdr:row>1175</xdr:row>
      <xdr:rowOff>133350</xdr:rowOff>
    </xdr:to>
    <xdr:pic>
      <xdr:nvPicPr>
        <xdr:cNvPr id="8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25</xdr:col>
      <xdr:colOff>0</xdr:colOff>
      <xdr:row>1176</xdr:row>
      <xdr:rowOff>0</xdr:rowOff>
    </xdr:from>
    <xdr:to>
      <xdr:col>25</xdr:col>
      <xdr:colOff>152400</xdr:colOff>
      <xdr:row>1176</xdr:row>
      <xdr:rowOff>133350</xdr:rowOff>
    </xdr:to>
    <xdr:pic>
      <xdr:nvPicPr>
        <xdr:cNvPr id="8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GST_Codes_Total_Percentage.xlsx" TargetMode="External"/><Relationship Id="rId2" Type="http://schemas.openxmlformats.org/officeDocument/2006/relationships/externalLinkPath" Target="file:///C:\Users\anirudh.verma\Downloads\GST_Codes_Total_Percentage.xlsx" TargetMode="External"/><Relationship Id="rId1" Type="http://schemas.openxmlformats.org/officeDocument/2006/relationships/externalLinkPath" Target="/Users/anirudh.verma/Downloads/GST_Codes_Total_Percen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ST Codes"/>
    </sheetNames>
    <sheetDataSet>
      <sheetData sheetId="0">
        <row r="1">
          <cell r="A1" t="str">
            <v>Code</v>
          </cell>
          <cell r="C1" t="str">
            <v>Total Percentage</v>
          </cell>
        </row>
        <row r="2">
          <cell r="A2" t="str">
            <v>IA</v>
          </cell>
          <cell r="C2">
            <v>0</v>
          </cell>
        </row>
        <row r="3">
          <cell r="A3" t="str">
            <v>IB</v>
          </cell>
          <cell r="C3">
            <v>0</v>
          </cell>
        </row>
        <row r="4">
          <cell r="A4" t="str">
            <v>IC</v>
          </cell>
          <cell r="C4">
            <v>40</v>
          </cell>
        </row>
        <row r="5">
          <cell r="A5" t="str">
            <v>ID</v>
          </cell>
          <cell r="C5">
            <v>5</v>
          </cell>
        </row>
        <row r="6">
          <cell r="A6" t="str">
            <v>IE</v>
          </cell>
          <cell r="C6">
            <v>5</v>
          </cell>
        </row>
        <row r="7">
          <cell r="A7" t="str">
            <v>IF</v>
          </cell>
          <cell r="C7">
            <v>5</v>
          </cell>
        </row>
        <row r="8">
          <cell r="A8" t="str">
            <v>IG</v>
          </cell>
          <cell r="C8">
            <v>12</v>
          </cell>
        </row>
        <row r="9">
          <cell r="A9" t="str">
            <v>IH</v>
          </cell>
          <cell r="C9">
            <v>12</v>
          </cell>
        </row>
        <row r="10">
          <cell r="A10" t="str">
            <v>II</v>
          </cell>
          <cell r="C10">
            <v>12</v>
          </cell>
        </row>
        <row r="11">
          <cell r="A11" t="str">
            <v>IJ</v>
          </cell>
          <cell r="C11">
            <v>18</v>
          </cell>
        </row>
        <row r="12">
          <cell r="A12" t="str">
            <v>IK</v>
          </cell>
          <cell r="C12">
            <v>18</v>
          </cell>
        </row>
        <row r="13">
          <cell r="A13" t="str">
            <v>IL</v>
          </cell>
          <cell r="C13">
            <v>18</v>
          </cell>
        </row>
        <row r="14">
          <cell r="A14" t="str">
            <v>IM</v>
          </cell>
          <cell r="C14">
            <v>28</v>
          </cell>
        </row>
        <row r="15">
          <cell r="A15" t="str">
            <v>IN</v>
          </cell>
          <cell r="C15">
            <v>28</v>
          </cell>
        </row>
        <row r="16">
          <cell r="A16" t="str">
            <v>IO</v>
          </cell>
          <cell r="C16">
            <v>28</v>
          </cell>
        </row>
        <row r="17">
          <cell r="A17" t="str">
            <v>IP</v>
          </cell>
          <cell r="C17">
            <v>3</v>
          </cell>
        </row>
        <row r="18">
          <cell r="A18" t="str">
            <v>IQ</v>
          </cell>
          <cell r="C18">
            <v>3</v>
          </cell>
        </row>
        <row r="19">
          <cell r="A19" t="str">
            <v>IR</v>
          </cell>
          <cell r="C19">
            <v>3</v>
          </cell>
        </row>
        <row r="20">
          <cell r="A20" t="str">
            <v>IS</v>
          </cell>
          <cell r="C20">
            <v>32</v>
          </cell>
        </row>
        <row r="21">
          <cell r="A21" t="str">
            <v>IT</v>
          </cell>
          <cell r="C21">
            <v>32</v>
          </cell>
        </row>
        <row r="22">
          <cell r="A22" t="str">
            <v>IU</v>
          </cell>
          <cell r="C22">
            <v>40</v>
          </cell>
        </row>
        <row r="23">
          <cell r="A23" t="str">
            <v>IV</v>
          </cell>
          <cell r="C23">
            <v>40</v>
          </cell>
        </row>
        <row r="24">
          <cell r="A24" t="str">
            <v>NA</v>
          </cell>
          <cell r="C24">
            <v>5</v>
          </cell>
        </row>
        <row r="25">
          <cell r="A25" t="str">
            <v>NB</v>
          </cell>
          <cell r="C25">
            <v>5</v>
          </cell>
        </row>
        <row r="26">
          <cell r="A26" t="str">
            <v>NC</v>
          </cell>
          <cell r="C26">
            <v>40</v>
          </cell>
        </row>
        <row r="27">
          <cell r="A27" t="str">
            <v>ND</v>
          </cell>
          <cell r="C27">
            <v>12</v>
          </cell>
        </row>
        <row r="28">
          <cell r="A28" t="str">
            <v>NE</v>
          </cell>
          <cell r="C28">
            <v>12</v>
          </cell>
        </row>
        <row r="29">
          <cell r="A29" t="str">
            <v>NF</v>
          </cell>
          <cell r="C29">
            <v>18</v>
          </cell>
        </row>
        <row r="30">
          <cell r="A30" t="str">
            <v>NG</v>
          </cell>
          <cell r="C30">
            <v>18</v>
          </cell>
        </row>
        <row r="31">
          <cell r="A31" t="str">
            <v>NH</v>
          </cell>
          <cell r="C31">
            <v>28</v>
          </cell>
        </row>
        <row r="32">
          <cell r="A32" t="str">
            <v>NJ</v>
          </cell>
          <cell r="C32">
            <v>28</v>
          </cell>
        </row>
        <row r="33">
          <cell r="A33" t="str">
            <v>NP</v>
          </cell>
          <cell r="C33">
            <v>0</v>
          </cell>
        </row>
        <row r="34">
          <cell r="A34" t="str">
            <v>NQ</v>
          </cell>
          <cell r="C34">
            <v>50</v>
          </cell>
        </row>
        <row r="35">
          <cell r="A35" t="str">
            <v>NR</v>
          </cell>
          <cell r="C35">
            <v>0</v>
          </cell>
        </row>
        <row r="36">
          <cell r="A36" t="str">
            <v>NU</v>
          </cell>
          <cell r="C36">
            <v>3</v>
          </cell>
        </row>
        <row r="37">
          <cell r="A37" t="str">
            <v>NV</v>
          </cell>
          <cell r="C37">
            <v>3</v>
          </cell>
        </row>
        <row r="38">
          <cell r="A38" t="str">
            <v>NW</v>
          </cell>
          <cell r="C38">
            <v>40</v>
          </cell>
        </row>
        <row r="39">
          <cell r="A39" t="str">
            <v>NX</v>
          </cell>
          <cell r="C39">
            <v>40</v>
          </cell>
        </row>
        <row r="40">
          <cell r="A40" t="str">
            <v>OC</v>
          </cell>
          <cell r="C40">
            <v>0</v>
          </cell>
        </row>
        <row r="41">
          <cell r="A41" t="str">
            <v>OD</v>
          </cell>
          <cell r="C41">
            <v>5</v>
          </cell>
        </row>
        <row r="42">
          <cell r="A42" t="str">
            <v>OE</v>
          </cell>
          <cell r="C42">
            <v>5</v>
          </cell>
        </row>
        <row r="43">
          <cell r="A43" t="str">
            <v>OF</v>
          </cell>
          <cell r="C43">
            <v>5</v>
          </cell>
        </row>
        <row r="44">
          <cell r="A44" t="str">
            <v>OG</v>
          </cell>
          <cell r="C44">
            <v>12</v>
          </cell>
        </row>
        <row r="45">
          <cell r="A45" t="str">
            <v>OH</v>
          </cell>
          <cell r="C45">
            <v>12</v>
          </cell>
        </row>
        <row r="46">
          <cell r="A46" t="str">
            <v>OI</v>
          </cell>
          <cell r="C46">
            <v>12</v>
          </cell>
        </row>
        <row r="47">
          <cell r="A47" t="str">
            <v>OJ</v>
          </cell>
          <cell r="C47">
            <v>18</v>
          </cell>
        </row>
        <row r="48">
          <cell r="A48" t="str">
            <v>OK</v>
          </cell>
          <cell r="C48">
            <v>18</v>
          </cell>
        </row>
        <row r="49">
          <cell r="A49" t="str">
            <v>OL</v>
          </cell>
          <cell r="C49">
            <v>18</v>
          </cell>
        </row>
        <row r="50">
          <cell r="A50" t="str">
            <v>OM</v>
          </cell>
          <cell r="C50">
            <v>28</v>
          </cell>
        </row>
        <row r="51">
          <cell r="A51" t="str">
            <v>ON</v>
          </cell>
          <cell r="C51">
            <v>28</v>
          </cell>
        </row>
        <row r="52">
          <cell r="A52" t="str">
            <v>OO</v>
          </cell>
          <cell r="C52">
            <v>28</v>
          </cell>
        </row>
        <row r="53">
          <cell r="A53" t="str">
            <v>OQ</v>
          </cell>
          <cell r="C53">
            <v>18</v>
          </cell>
        </row>
        <row r="54">
          <cell r="A54" t="str">
            <v>OR</v>
          </cell>
          <cell r="C54">
            <v>5.0999999999999996</v>
          </cell>
        </row>
        <row r="55">
          <cell r="A55" t="str">
            <v>OS</v>
          </cell>
          <cell r="C55">
            <v>19</v>
          </cell>
        </row>
        <row r="56">
          <cell r="A56" t="str">
            <v>OT</v>
          </cell>
          <cell r="C56">
            <v>19</v>
          </cell>
        </row>
        <row r="57">
          <cell r="A57" t="str">
            <v>PA</v>
          </cell>
          <cell r="C57">
            <v>18</v>
          </cell>
        </row>
        <row r="58">
          <cell r="A58" t="str">
            <v>R9</v>
          </cell>
          <cell r="C58">
            <v>5</v>
          </cell>
        </row>
        <row r="59">
          <cell r="A59" t="str">
            <v>RD</v>
          </cell>
          <cell r="C59">
            <v>5</v>
          </cell>
        </row>
        <row r="60">
          <cell r="A60" t="str">
            <v>RE</v>
          </cell>
          <cell r="C60">
            <v>5</v>
          </cell>
        </row>
        <row r="61">
          <cell r="A61" t="str">
            <v>RG</v>
          </cell>
          <cell r="C61">
            <v>12</v>
          </cell>
        </row>
        <row r="62">
          <cell r="A62" t="str">
            <v>RH</v>
          </cell>
          <cell r="C62">
            <v>12</v>
          </cell>
        </row>
        <row r="63">
          <cell r="A63" t="str">
            <v>RJ</v>
          </cell>
          <cell r="C63">
            <v>18</v>
          </cell>
        </row>
        <row r="64">
          <cell r="A64" t="str">
            <v>RK</v>
          </cell>
          <cell r="C64">
            <v>18</v>
          </cell>
        </row>
        <row r="65">
          <cell r="A65" t="str">
            <v>RM</v>
          </cell>
          <cell r="C65">
            <v>28</v>
          </cell>
        </row>
        <row r="66">
          <cell r="A66" t="str">
            <v>RN</v>
          </cell>
          <cell r="C66">
            <v>28</v>
          </cell>
        </row>
        <row r="67">
          <cell r="A67" t="str">
            <v>RO</v>
          </cell>
          <cell r="C67">
            <v>3</v>
          </cell>
        </row>
        <row r="68">
          <cell r="A68" t="str">
            <v>RQ</v>
          </cell>
          <cell r="C68">
            <v>3</v>
          </cell>
        </row>
        <row r="69">
          <cell r="A69" t="str">
            <v>RR</v>
          </cell>
          <cell r="C69">
            <v>18</v>
          </cell>
        </row>
        <row r="70">
          <cell r="A70" t="str">
            <v>RS</v>
          </cell>
          <cell r="C70">
            <v>18</v>
          </cell>
        </row>
        <row r="71">
          <cell r="A71" t="str">
            <v>RT</v>
          </cell>
          <cell r="C71">
            <v>18</v>
          </cell>
        </row>
        <row r="72">
          <cell r="A72" t="str">
            <v>T1</v>
          </cell>
          <cell r="C72">
            <v>19</v>
          </cell>
        </row>
        <row r="73">
          <cell r="A73" t="str">
            <v>T2</v>
          </cell>
          <cell r="C73">
            <v>19</v>
          </cell>
        </row>
        <row r="74">
          <cell r="A74" t="str">
            <v>TC</v>
          </cell>
          <cell r="C74">
            <v>18.100000000000001</v>
          </cell>
        </row>
        <row r="75">
          <cell r="A75" t="str">
            <v>V0</v>
          </cell>
          <cell r="C7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B1177"/>
  <sheetViews>
    <sheetView tabSelected="1" topLeftCell="T1" workbookViewId="0">
      <selection activeCell="AD1" sqref="AD1"/>
    </sheetView>
  </sheetViews>
  <sheetFormatPr defaultRowHeight="13.2" x14ac:dyDescent="0.25"/>
  <cols>
    <col min="1" max="1" width="21" bestFit="1" customWidth="1"/>
    <col min="2" max="2" width="15" bestFit="1" customWidth="1"/>
    <col min="3" max="4" width="21" bestFit="1" customWidth="1"/>
    <col min="5" max="5" width="7" bestFit="1" customWidth="1"/>
    <col min="6" max="7" width="12" bestFit="1" customWidth="1"/>
    <col min="8" max="8" width="14" bestFit="1" customWidth="1"/>
    <col min="9" max="9" width="37" bestFit="1" customWidth="1"/>
    <col min="10" max="10" width="13" bestFit="1" customWidth="1"/>
    <col min="11" max="11" width="6" bestFit="1" customWidth="1"/>
    <col min="12" max="12" width="11" bestFit="1" customWidth="1"/>
    <col min="13" max="13" width="42" bestFit="1" customWidth="1"/>
    <col min="14" max="14" width="13" bestFit="1" customWidth="1"/>
    <col min="15" max="15" width="15" bestFit="1" customWidth="1"/>
    <col min="16" max="16" width="12" bestFit="1" customWidth="1"/>
    <col min="17" max="17" width="16" bestFit="1" customWidth="1"/>
    <col min="18" max="18" width="11" bestFit="1" customWidth="1"/>
    <col min="19" max="19" width="12" bestFit="1" customWidth="1"/>
    <col min="20" max="20" width="17" bestFit="1" customWidth="1"/>
    <col min="21" max="21" width="10" bestFit="1" customWidth="1"/>
    <col min="22" max="22" width="13" bestFit="1" customWidth="1"/>
    <col min="23" max="23" width="10" bestFit="1" customWidth="1"/>
    <col min="24" max="24" width="13" bestFit="1" customWidth="1"/>
    <col min="25" max="25" width="13" customWidth="1"/>
    <col min="26" max="26" width="20" bestFit="1" customWidth="1"/>
    <col min="27" max="27" width="6" bestFit="1" customWidth="1"/>
    <col min="28" max="28" width="10" bestFit="1" customWidth="1"/>
    <col min="29" max="29" width="33" bestFit="1" customWidth="1"/>
    <col min="30" max="30" width="33" customWidth="1"/>
    <col min="31" max="31" width="10" bestFit="1" customWidth="1"/>
    <col min="32" max="32" width="19" bestFit="1" customWidth="1"/>
    <col min="33" max="33" width="5" bestFit="1" customWidth="1"/>
    <col min="34" max="35" width="11" bestFit="1" customWidth="1"/>
    <col min="36" max="36" width="9" bestFit="1" customWidth="1"/>
    <col min="37" max="37" width="10" bestFit="1" customWidth="1"/>
    <col min="38" max="38" width="6" bestFit="1" customWidth="1"/>
    <col min="39" max="39" width="48" bestFit="1" customWidth="1"/>
    <col min="40" max="40" width="31" bestFit="1" customWidth="1"/>
    <col min="41" max="41" width="11" bestFit="1" customWidth="1"/>
    <col min="42" max="42" width="18" bestFit="1" customWidth="1"/>
    <col min="43" max="43" width="17" bestFit="1" customWidth="1"/>
    <col min="44" max="44" width="12" bestFit="1" customWidth="1"/>
    <col min="45" max="45" width="19" bestFit="1" customWidth="1"/>
    <col min="46" max="46" width="13" bestFit="1" customWidth="1"/>
    <col min="47" max="48" width="6" bestFit="1" customWidth="1"/>
    <col min="49" max="49" width="12" bestFit="1" customWidth="1"/>
    <col min="50" max="50" width="6" bestFit="1" customWidth="1"/>
    <col min="51" max="51" width="10" bestFit="1" customWidth="1"/>
    <col min="52" max="53" width="13" bestFit="1" customWidth="1"/>
    <col min="54" max="54" width="20" bestFit="1" customWidth="1"/>
    <col min="55" max="55" width="12" bestFit="1" customWidth="1"/>
    <col min="56" max="56" width="6" bestFit="1" customWidth="1"/>
    <col min="57" max="57" width="19" bestFit="1" customWidth="1"/>
    <col min="58" max="58" width="12" bestFit="1" customWidth="1"/>
    <col min="59" max="59" width="10" bestFit="1" customWidth="1"/>
    <col min="60" max="60" width="22" bestFit="1" customWidth="1"/>
    <col min="61" max="61" width="12" bestFit="1" customWidth="1"/>
    <col min="62" max="62" width="18" bestFit="1" customWidth="1"/>
    <col min="63" max="63" width="12" bestFit="1" customWidth="1"/>
    <col min="64" max="64" width="11" bestFit="1" customWidth="1"/>
    <col min="65" max="65" width="15" bestFit="1" customWidth="1"/>
    <col min="66" max="66" width="21" bestFit="1" customWidth="1"/>
    <col min="67" max="67" width="26" bestFit="1" customWidth="1"/>
    <col min="68" max="68" width="13" bestFit="1" customWidth="1"/>
    <col min="69" max="69" width="24" bestFit="1" customWidth="1"/>
    <col min="70" max="70" width="12" bestFit="1" customWidth="1"/>
    <col min="71" max="71" width="10" bestFit="1" customWidth="1"/>
    <col min="72" max="72" width="14" bestFit="1" customWidth="1"/>
    <col min="73" max="73" width="20" bestFit="1" customWidth="1"/>
    <col min="74" max="74" width="12" bestFit="1" customWidth="1"/>
    <col min="75" max="75" width="24" bestFit="1" customWidth="1"/>
    <col min="76" max="76" width="30" bestFit="1" customWidth="1"/>
    <col min="77" max="77" width="24" bestFit="1" customWidth="1"/>
    <col min="78" max="78" width="30" bestFit="1" customWidth="1"/>
    <col min="79" max="79" width="24" bestFit="1" customWidth="1"/>
    <col min="80" max="80" width="30" bestFit="1" customWidth="1"/>
  </cols>
  <sheetData>
    <row r="1" spans="1:80" ht="66" x14ac:dyDescent="0.25">
      <c r="A1" s="1" t="s">
        <v>644</v>
      </c>
      <c r="B1" s="1" t="s">
        <v>645</v>
      </c>
      <c r="C1" s="1" t="s">
        <v>646</v>
      </c>
      <c r="D1" s="1" t="s">
        <v>647</v>
      </c>
      <c r="E1" s="1" t="s">
        <v>648</v>
      </c>
      <c r="F1" s="7" t="s">
        <v>649</v>
      </c>
      <c r="G1" s="7" t="s">
        <v>650</v>
      </c>
      <c r="H1" s="7" t="s">
        <v>651</v>
      </c>
      <c r="I1" s="1" t="s">
        <v>652</v>
      </c>
      <c r="J1" s="7" t="s">
        <v>653</v>
      </c>
      <c r="K1" s="1" t="s">
        <v>654</v>
      </c>
      <c r="L1" s="1" t="s">
        <v>655</v>
      </c>
      <c r="M1" s="1" t="s">
        <v>656</v>
      </c>
      <c r="N1" s="7" t="s">
        <v>657</v>
      </c>
      <c r="O1" s="1" t="s">
        <v>658</v>
      </c>
      <c r="P1" s="1" t="s">
        <v>659</v>
      </c>
      <c r="Q1" s="1" t="s">
        <v>660</v>
      </c>
      <c r="R1" s="1" t="s">
        <v>661</v>
      </c>
      <c r="S1" s="1" t="s">
        <v>662</v>
      </c>
      <c r="T1" s="1" t="s">
        <v>663</v>
      </c>
      <c r="U1" s="7" t="s">
        <v>664</v>
      </c>
      <c r="V1" s="7" t="s">
        <v>665</v>
      </c>
      <c r="W1" s="7" t="s">
        <v>666</v>
      </c>
      <c r="X1" s="7" t="s">
        <v>667</v>
      </c>
      <c r="Y1" s="7" t="s">
        <v>721</v>
      </c>
      <c r="Z1" s="7" t="s">
        <v>668</v>
      </c>
      <c r="AA1" s="7" t="s">
        <v>669</v>
      </c>
      <c r="AB1" s="1" t="s">
        <v>670</v>
      </c>
      <c r="AC1" s="1" t="s">
        <v>722</v>
      </c>
      <c r="AD1" s="1" t="s">
        <v>723</v>
      </c>
      <c r="AE1" s="7" t="s">
        <v>671</v>
      </c>
      <c r="AF1" s="1" t="s">
        <v>672</v>
      </c>
      <c r="AG1" s="7" t="s">
        <v>673</v>
      </c>
      <c r="AH1" s="7" t="s">
        <v>674</v>
      </c>
      <c r="AI1" s="7" t="s">
        <v>675</v>
      </c>
      <c r="AJ1" s="7" t="s">
        <v>676</v>
      </c>
      <c r="AK1" s="1" t="s">
        <v>677</v>
      </c>
      <c r="AL1" s="7" t="s">
        <v>678</v>
      </c>
      <c r="AM1" s="1" t="s">
        <v>679</v>
      </c>
      <c r="AN1" s="1" t="s">
        <v>680</v>
      </c>
      <c r="AO1" s="7" t="s">
        <v>681</v>
      </c>
      <c r="AP1" s="1" t="s">
        <v>682</v>
      </c>
      <c r="AQ1" s="1" t="s">
        <v>683</v>
      </c>
      <c r="AR1" s="7" t="s">
        <v>684</v>
      </c>
      <c r="AS1" s="1" t="s">
        <v>685</v>
      </c>
      <c r="AT1" s="7" t="s">
        <v>686</v>
      </c>
      <c r="AU1" s="7" t="s">
        <v>687</v>
      </c>
      <c r="AV1" s="7" t="s">
        <v>688</v>
      </c>
      <c r="AW1" s="1" t="s">
        <v>689</v>
      </c>
      <c r="AX1" s="7" t="s">
        <v>690</v>
      </c>
      <c r="AY1" s="7" t="s">
        <v>691</v>
      </c>
      <c r="AZ1" s="7" t="s">
        <v>692</v>
      </c>
      <c r="BA1" s="7" t="s">
        <v>693</v>
      </c>
      <c r="BB1" s="1" t="s">
        <v>694</v>
      </c>
      <c r="BC1" s="1" t="s">
        <v>695</v>
      </c>
      <c r="BD1" s="7" t="s">
        <v>696</v>
      </c>
      <c r="BE1" s="1" t="s">
        <v>697</v>
      </c>
      <c r="BF1" s="7" t="s">
        <v>698</v>
      </c>
      <c r="BG1" s="7" t="s">
        <v>699</v>
      </c>
      <c r="BH1" s="1" t="s">
        <v>700</v>
      </c>
      <c r="BI1" s="7" t="s">
        <v>701</v>
      </c>
      <c r="BJ1" s="1" t="s">
        <v>702</v>
      </c>
      <c r="BK1" s="1" t="s">
        <v>703</v>
      </c>
      <c r="BL1" s="7" t="s">
        <v>704</v>
      </c>
      <c r="BM1" s="1" t="s">
        <v>705</v>
      </c>
      <c r="BN1" s="1" t="s">
        <v>706</v>
      </c>
      <c r="BO1" s="1" t="s">
        <v>707</v>
      </c>
      <c r="BP1" s="7" t="s">
        <v>708</v>
      </c>
      <c r="BQ1" s="1" t="s">
        <v>709</v>
      </c>
      <c r="BR1" s="7" t="s">
        <v>710</v>
      </c>
      <c r="BS1" s="7" t="s">
        <v>711</v>
      </c>
      <c r="BT1" s="1" t="s">
        <v>712</v>
      </c>
      <c r="BU1" s="1" t="s">
        <v>713</v>
      </c>
      <c r="BV1" s="1" t="s">
        <v>714</v>
      </c>
      <c r="BW1" s="1" t="s">
        <v>715</v>
      </c>
      <c r="BX1" s="1" t="s">
        <v>716</v>
      </c>
      <c r="BY1" s="1" t="s">
        <v>717</v>
      </c>
      <c r="BZ1" s="1" t="s">
        <v>718</v>
      </c>
      <c r="CA1" s="1" t="s">
        <v>719</v>
      </c>
      <c r="CB1" s="1" t="s">
        <v>720</v>
      </c>
    </row>
    <row r="2" spans="1:80" ht="13.95" customHeight="1" x14ac:dyDescent="0.25">
      <c r="A2" t="s">
        <v>1</v>
      </c>
      <c r="B2" s="2">
        <v>45232</v>
      </c>
      <c r="C2" s="2">
        <v>45677</v>
      </c>
      <c r="D2" s="2">
        <v>45736</v>
      </c>
      <c r="E2" t="s">
        <v>2</v>
      </c>
      <c r="F2" t="s">
        <v>3</v>
      </c>
      <c r="G2" t="s">
        <v>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0</v>
      </c>
      <c r="P2" t="s">
        <v>11</v>
      </c>
      <c r="Q2" s="3">
        <v>68.52</v>
      </c>
      <c r="R2" s="4">
        <v>53400</v>
      </c>
      <c r="S2" s="5">
        <v>1</v>
      </c>
      <c r="T2" s="4">
        <v>3658968</v>
      </c>
      <c r="U2" s="5">
        <v>0</v>
      </c>
      <c r="V2" s="4">
        <v>0</v>
      </c>
      <c r="W2" s="5">
        <v>0</v>
      </c>
      <c r="X2" s="4">
        <v>0</v>
      </c>
      <c r="Y2" s="4">
        <f>T2-V2</f>
        <v>3658968</v>
      </c>
      <c r="Z2" s="6" t="s">
        <v>0</v>
      </c>
      <c r="AA2" t="s">
        <v>2</v>
      </c>
      <c r="AB2" t="s">
        <v>12</v>
      </c>
      <c r="AC2">
        <f>_xlfn.XLOOKUP(AB2,'[1]GST Codes'!$A:$A,'[1]GST Codes'!$C:$C,0,0)</f>
        <v>18</v>
      </c>
      <c r="AD2">
        <f>Y2+(Y2*AC2/100)</f>
        <v>4317582.24</v>
      </c>
      <c r="AE2" t="s">
        <v>13</v>
      </c>
      <c r="AF2" t="s">
        <v>0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5</v>
      </c>
      <c r="AN2" t="s">
        <v>0</v>
      </c>
      <c r="AO2" t="s">
        <v>20</v>
      </c>
      <c r="AP2" t="s">
        <v>0</v>
      </c>
      <c r="AQ2" s="3">
        <v>68.52</v>
      </c>
      <c r="AR2" t="s">
        <v>11</v>
      </c>
      <c r="AS2" t="s">
        <v>0</v>
      </c>
      <c r="AT2" t="s">
        <v>17</v>
      </c>
      <c r="AU2" s="4">
        <v>0</v>
      </c>
      <c r="AV2" s="4">
        <v>0</v>
      </c>
      <c r="AW2" s="4">
        <v>0</v>
      </c>
      <c r="AX2" s="4">
        <v>0</v>
      </c>
      <c r="AY2" s="5">
        <v>0</v>
      </c>
      <c r="AZ2" s="5">
        <v>0</v>
      </c>
      <c r="BA2" s="5">
        <v>0</v>
      </c>
      <c r="BB2" s="2"/>
      <c r="BC2" t="s">
        <v>0</v>
      </c>
      <c r="BD2" s="5">
        <v>1</v>
      </c>
      <c r="BE2" t="s">
        <v>0</v>
      </c>
      <c r="BF2" t="s">
        <v>21</v>
      </c>
      <c r="BG2" t="s">
        <v>17</v>
      </c>
      <c r="BH2" t="s">
        <v>0</v>
      </c>
      <c r="BI2" t="s">
        <v>11</v>
      </c>
      <c r="BJ2" t="s">
        <v>0</v>
      </c>
      <c r="BK2" t="s">
        <v>0</v>
      </c>
      <c r="BL2" s="5">
        <v>0</v>
      </c>
      <c r="BM2" t="s">
        <v>0</v>
      </c>
      <c r="BN2" t="s">
        <v>0</v>
      </c>
      <c r="BO2" t="s">
        <v>0</v>
      </c>
      <c r="BP2" t="s">
        <v>17</v>
      </c>
      <c r="BQ2" t="s">
        <v>0</v>
      </c>
      <c r="BR2" t="s">
        <v>17</v>
      </c>
      <c r="BS2" t="s">
        <v>17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</row>
    <row r="3" spans="1:80" ht="13.95" customHeight="1" x14ac:dyDescent="0.25">
      <c r="A3" t="s">
        <v>1</v>
      </c>
      <c r="B3" s="2">
        <v>45232</v>
      </c>
      <c r="C3" s="2">
        <v>45677</v>
      </c>
      <c r="D3" s="2">
        <v>45736</v>
      </c>
      <c r="E3" t="s">
        <v>2</v>
      </c>
      <c r="F3" t="s">
        <v>3</v>
      </c>
      <c r="G3" t="s">
        <v>0</v>
      </c>
      <c r="H3" t="s">
        <v>4</v>
      </c>
      <c r="I3" t="s">
        <v>5</v>
      </c>
      <c r="J3" t="s">
        <v>6</v>
      </c>
      <c r="K3" t="s">
        <v>22</v>
      </c>
      <c r="L3" t="s">
        <v>23</v>
      </c>
      <c r="M3" t="s">
        <v>24</v>
      </c>
      <c r="N3" t="s">
        <v>10</v>
      </c>
      <c r="O3" t="s">
        <v>0</v>
      </c>
      <c r="P3" t="s">
        <v>11</v>
      </c>
      <c r="Q3" s="5">
        <v>100</v>
      </c>
      <c r="R3" s="4">
        <v>51400</v>
      </c>
      <c r="S3" s="5">
        <v>1</v>
      </c>
      <c r="T3" s="4">
        <v>5140000</v>
      </c>
      <c r="U3" s="5">
        <v>0</v>
      </c>
      <c r="V3" s="4">
        <v>0</v>
      </c>
      <c r="W3" s="5">
        <v>0</v>
      </c>
      <c r="X3" s="4">
        <v>0</v>
      </c>
      <c r="Y3" s="4">
        <f t="shared" ref="Y3:Y66" si="0">T3-V3</f>
        <v>5140000</v>
      </c>
      <c r="Z3" s="6" t="s">
        <v>0</v>
      </c>
      <c r="AA3" t="s">
        <v>2</v>
      </c>
      <c r="AB3" t="s">
        <v>12</v>
      </c>
      <c r="AC3">
        <f>_xlfn.XLOOKUP(AB3,'[1]GST Codes'!$A:$A,'[1]GST Codes'!$C:$C,0,0)</f>
        <v>18</v>
      </c>
      <c r="AD3">
        <f t="shared" ref="AD3:AD66" si="1">Y3+(Y3*AC3/100)</f>
        <v>6065200</v>
      </c>
      <c r="AE3" t="s">
        <v>13</v>
      </c>
      <c r="AF3" t="s">
        <v>0</v>
      </c>
      <c r="AG3" t="s">
        <v>14</v>
      </c>
      <c r="AH3" t="s">
        <v>15</v>
      </c>
      <c r="AI3" t="s">
        <v>16</v>
      </c>
      <c r="AJ3" t="s">
        <v>17</v>
      </c>
      <c r="AK3" t="s">
        <v>18</v>
      </c>
      <c r="AL3" t="s">
        <v>19</v>
      </c>
      <c r="AM3" t="s">
        <v>5</v>
      </c>
      <c r="AN3" t="s">
        <v>0</v>
      </c>
      <c r="AO3" t="s">
        <v>20</v>
      </c>
      <c r="AP3" t="s">
        <v>0</v>
      </c>
      <c r="AQ3" s="5">
        <v>100</v>
      </c>
      <c r="AR3" t="s">
        <v>11</v>
      </c>
      <c r="AS3" t="s">
        <v>0</v>
      </c>
      <c r="AT3" t="s">
        <v>17</v>
      </c>
      <c r="AU3" s="4">
        <v>0</v>
      </c>
      <c r="AV3" s="4">
        <v>0</v>
      </c>
      <c r="AW3" s="4">
        <v>0</v>
      </c>
      <c r="AX3" s="4">
        <v>0</v>
      </c>
      <c r="AY3" s="5">
        <v>0</v>
      </c>
      <c r="AZ3" s="5">
        <v>0</v>
      </c>
      <c r="BA3" s="5">
        <v>0</v>
      </c>
      <c r="BB3" s="2"/>
      <c r="BC3" t="s">
        <v>0</v>
      </c>
      <c r="BD3" s="5">
        <v>1</v>
      </c>
      <c r="BE3" t="s">
        <v>0</v>
      </c>
      <c r="BF3" t="s">
        <v>25</v>
      </c>
      <c r="BG3" t="s">
        <v>17</v>
      </c>
      <c r="BH3" t="s">
        <v>0</v>
      </c>
      <c r="BI3" t="s">
        <v>11</v>
      </c>
      <c r="BJ3" t="s">
        <v>0</v>
      </c>
      <c r="BK3" t="s">
        <v>0</v>
      </c>
      <c r="BL3" s="5">
        <v>0</v>
      </c>
      <c r="BM3" t="s">
        <v>0</v>
      </c>
      <c r="BN3" t="s">
        <v>0</v>
      </c>
      <c r="BO3" t="s">
        <v>0</v>
      </c>
      <c r="BP3" t="s">
        <v>17</v>
      </c>
      <c r="BQ3" t="s">
        <v>0</v>
      </c>
      <c r="BR3" t="s">
        <v>17</v>
      </c>
      <c r="BS3" t="s">
        <v>17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</row>
    <row r="4" spans="1:80" ht="13.95" customHeight="1" x14ac:dyDescent="0.25">
      <c r="A4" t="s">
        <v>1</v>
      </c>
      <c r="B4" s="2">
        <v>45232</v>
      </c>
      <c r="C4" s="2">
        <v>45677</v>
      </c>
      <c r="D4" s="2">
        <v>45736</v>
      </c>
      <c r="E4" t="s">
        <v>2</v>
      </c>
      <c r="F4" t="s">
        <v>3</v>
      </c>
      <c r="G4" t="s">
        <v>0</v>
      </c>
      <c r="H4" t="s">
        <v>4</v>
      </c>
      <c r="I4" t="s">
        <v>5</v>
      </c>
      <c r="J4" t="s">
        <v>6</v>
      </c>
      <c r="K4" t="s">
        <v>26</v>
      </c>
      <c r="L4" t="s">
        <v>27</v>
      </c>
      <c r="M4" t="s">
        <v>28</v>
      </c>
      <c r="N4" t="s">
        <v>10</v>
      </c>
      <c r="O4" t="s">
        <v>0</v>
      </c>
      <c r="P4" t="s">
        <v>11</v>
      </c>
      <c r="Q4" s="3">
        <v>205.37</v>
      </c>
      <c r="R4" s="4">
        <v>52400</v>
      </c>
      <c r="S4" s="5">
        <v>1</v>
      </c>
      <c r="T4" s="4">
        <v>10761388</v>
      </c>
      <c r="U4" s="5">
        <v>0</v>
      </c>
      <c r="V4" s="4">
        <v>0</v>
      </c>
      <c r="W4" s="5">
        <v>0</v>
      </c>
      <c r="X4" s="4">
        <v>0</v>
      </c>
      <c r="Y4" s="4">
        <f t="shared" si="0"/>
        <v>10761388</v>
      </c>
      <c r="Z4" s="6" t="s">
        <v>0</v>
      </c>
      <c r="AA4" t="s">
        <v>2</v>
      </c>
      <c r="AB4" t="s">
        <v>12</v>
      </c>
      <c r="AC4">
        <f>_xlfn.XLOOKUP(AB4,'[1]GST Codes'!$A:$A,'[1]GST Codes'!$C:$C,0,0)</f>
        <v>18</v>
      </c>
      <c r="AD4">
        <f t="shared" si="1"/>
        <v>12698437.84</v>
      </c>
      <c r="AE4" t="s">
        <v>13</v>
      </c>
      <c r="AF4" t="s">
        <v>0</v>
      </c>
      <c r="AG4" t="s">
        <v>14</v>
      </c>
      <c r="AH4" t="s">
        <v>15</v>
      </c>
      <c r="AI4" t="s">
        <v>16</v>
      </c>
      <c r="AJ4" t="s">
        <v>17</v>
      </c>
      <c r="AK4" t="s">
        <v>18</v>
      </c>
      <c r="AL4" t="s">
        <v>19</v>
      </c>
      <c r="AM4" t="s">
        <v>5</v>
      </c>
      <c r="AN4" t="s">
        <v>0</v>
      </c>
      <c r="AO4" t="s">
        <v>20</v>
      </c>
      <c r="AP4" t="s">
        <v>0</v>
      </c>
      <c r="AQ4" s="3">
        <v>205.37</v>
      </c>
      <c r="AR4" t="s">
        <v>11</v>
      </c>
      <c r="AS4" t="s">
        <v>0</v>
      </c>
      <c r="AT4" t="s">
        <v>17</v>
      </c>
      <c r="AU4" s="4">
        <v>0</v>
      </c>
      <c r="AV4" s="4">
        <v>0</v>
      </c>
      <c r="AW4" s="4">
        <v>0</v>
      </c>
      <c r="AX4" s="4">
        <v>0</v>
      </c>
      <c r="AY4" s="5">
        <v>0</v>
      </c>
      <c r="AZ4" s="5">
        <v>0</v>
      </c>
      <c r="BA4" s="5">
        <v>0</v>
      </c>
      <c r="BB4" s="2"/>
      <c r="BC4" t="s">
        <v>0</v>
      </c>
      <c r="BD4" s="5">
        <v>1</v>
      </c>
      <c r="BE4" t="s">
        <v>0</v>
      </c>
      <c r="BF4" t="s">
        <v>29</v>
      </c>
      <c r="BG4" t="s">
        <v>17</v>
      </c>
      <c r="BH4" t="s">
        <v>0</v>
      </c>
      <c r="BI4" t="s">
        <v>11</v>
      </c>
      <c r="BJ4" t="s">
        <v>0</v>
      </c>
      <c r="BK4" t="s">
        <v>0</v>
      </c>
      <c r="BL4" s="5">
        <v>0</v>
      </c>
      <c r="BM4" t="s">
        <v>0</v>
      </c>
      <c r="BN4" t="s">
        <v>0</v>
      </c>
      <c r="BO4" t="s">
        <v>0</v>
      </c>
      <c r="BP4" t="s">
        <v>17</v>
      </c>
      <c r="BQ4" t="s">
        <v>0</v>
      </c>
      <c r="BR4" t="s">
        <v>17</v>
      </c>
      <c r="BS4" t="s">
        <v>17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</row>
    <row r="5" spans="1:80" ht="13.95" customHeight="1" x14ac:dyDescent="0.25">
      <c r="A5" t="s">
        <v>1</v>
      </c>
      <c r="B5" s="2">
        <v>45232</v>
      </c>
      <c r="C5" s="2">
        <v>45677</v>
      </c>
      <c r="D5" s="2">
        <v>45736</v>
      </c>
      <c r="E5" t="s">
        <v>2</v>
      </c>
      <c r="F5" t="s">
        <v>3</v>
      </c>
      <c r="G5" t="s">
        <v>0</v>
      </c>
      <c r="H5" t="s">
        <v>4</v>
      </c>
      <c r="I5" t="s">
        <v>5</v>
      </c>
      <c r="J5" t="s">
        <v>6</v>
      </c>
      <c r="K5" t="s">
        <v>30</v>
      </c>
      <c r="L5" t="s">
        <v>31</v>
      </c>
      <c r="M5" t="s">
        <v>32</v>
      </c>
      <c r="N5" t="s">
        <v>10</v>
      </c>
      <c r="O5" t="s">
        <v>0</v>
      </c>
      <c r="P5" t="s">
        <v>11</v>
      </c>
      <c r="Q5" s="3">
        <v>142.44999999999999</v>
      </c>
      <c r="R5" s="4">
        <v>52400</v>
      </c>
      <c r="S5" s="5">
        <v>1</v>
      </c>
      <c r="T5" s="4">
        <v>7464380</v>
      </c>
      <c r="U5" s="5">
        <v>0</v>
      </c>
      <c r="V5" s="4">
        <v>0</v>
      </c>
      <c r="W5" s="5">
        <v>0</v>
      </c>
      <c r="X5" s="4">
        <v>0</v>
      </c>
      <c r="Y5" s="4">
        <f t="shared" si="0"/>
        <v>7464380</v>
      </c>
      <c r="Z5" s="6" t="s">
        <v>0</v>
      </c>
      <c r="AA5" t="s">
        <v>2</v>
      </c>
      <c r="AB5" t="s">
        <v>12</v>
      </c>
      <c r="AC5">
        <f>_xlfn.XLOOKUP(AB5,'[1]GST Codes'!$A:$A,'[1]GST Codes'!$C:$C,0,0)</f>
        <v>18</v>
      </c>
      <c r="AD5">
        <f t="shared" si="1"/>
        <v>8807968.4000000004</v>
      </c>
      <c r="AE5" t="s">
        <v>13</v>
      </c>
      <c r="AF5" t="s">
        <v>0</v>
      </c>
      <c r="AG5" t="s">
        <v>14</v>
      </c>
      <c r="AH5" t="s">
        <v>15</v>
      </c>
      <c r="AI5" t="s">
        <v>16</v>
      </c>
      <c r="AJ5" t="s">
        <v>17</v>
      </c>
      <c r="AK5" t="s">
        <v>18</v>
      </c>
      <c r="AL5" t="s">
        <v>19</v>
      </c>
      <c r="AM5" t="s">
        <v>5</v>
      </c>
      <c r="AN5" t="s">
        <v>0</v>
      </c>
      <c r="AO5" t="s">
        <v>20</v>
      </c>
      <c r="AP5" t="s">
        <v>0</v>
      </c>
      <c r="AQ5" s="3">
        <v>142.44999999999999</v>
      </c>
      <c r="AR5" t="s">
        <v>11</v>
      </c>
      <c r="AS5" t="s">
        <v>0</v>
      </c>
      <c r="AT5" t="s">
        <v>17</v>
      </c>
      <c r="AU5" s="4">
        <v>0</v>
      </c>
      <c r="AV5" s="4">
        <v>0</v>
      </c>
      <c r="AW5" s="4">
        <v>0</v>
      </c>
      <c r="AX5" s="4">
        <v>0</v>
      </c>
      <c r="AY5" s="5">
        <v>0</v>
      </c>
      <c r="AZ5" s="5">
        <v>0</v>
      </c>
      <c r="BA5" s="5">
        <v>0</v>
      </c>
      <c r="BB5" s="2"/>
      <c r="BC5" t="s">
        <v>0</v>
      </c>
      <c r="BD5" s="5">
        <v>1</v>
      </c>
      <c r="BE5" t="s">
        <v>0</v>
      </c>
      <c r="BF5" t="s">
        <v>33</v>
      </c>
      <c r="BG5" t="s">
        <v>17</v>
      </c>
      <c r="BH5" t="s">
        <v>0</v>
      </c>
      <c r="BI5" t="s">
        <v>11</v>
      </c>
      <c r="BJ5" t="s">
        <v>0</v>
      </c>
      <c r="BK5" t="s">
        <v>0</v>
      </c>
      <c r="BL5" s="5">
        <v>0</v>
      </c>
      <c r="BM5" t="s">
        <v>0</v>
      </c>
      <c r="BN5" t="s">
        <v>0</v>
      </c>
      <c r="BO5" t="s">
        <v>0</v>
      </c>
      <c r="BP5" t="s">
        <v>17</v>
      </c>
      <c r="BQ5" t="s">
        <v>0</v>
      </c>
      <c r="BR5" t="s">
        <v>17</v>
      </c>
      <c r="BS5" t="s">
        <v>17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</row>
    <row r="6" spans="1:80" x14ac:dyDescent="0.25">
      <c r="A6" t="s">
        <v>1</v>
      </c>
      <c r="B6" s="2">
        <v>45232</v>
      </c>
      <c r="C6" s="2">
        <v>45677</v>
      </c>
      <c r="D6" s="2">
        <v>45736</v>
      </c>
      <c r="E6" t="s">
        <v>2</v>
      </c>
      <c r="F6" t="s">
        <v>3</v>
      </c>
      <c r="G6" t="s">
        <v>0</v>
      </c>
      <c r="H6" t="s">
        <v>4</v>
      </c>
      <c r="I6" t="s">
        <v>5</v>
      </c>
      <c r="J6" t="s">
        <v>6</v>
      </c>
      <c r="K6" t="s">
        <v>34</v>
      </c>
      <c r="L6" t="s">
        <v>35</v>
      </c>
      <c r="M6" t="s">
        <v>36</v>
      </c>
      <c r="N6" t="s">
        <v>10</v>
      </c>
      <c r="O6" t="s">
        <v>0</v>
      </c>
      <c r="P6" t="s">
        <v>11</v>
      </c>
      <c r="Q6" s="3">
        <v>4.4800000000000004</v>
      </c>
      <c r="R6" s="4">
        <v>53400</v>
      </c>
      <c r="S6" s="5">
        <v>1</v>
      </c>
      <c r="T6" s="4">
        <v>239232</v>
      </c>
      <c r="U6" s="3">
        <v>4.4800000000000004</v>
      </c>
      <c r="V6" s="4">
        <v>239232</v>
      </c>
      <c r="W6" s="3">
        <v>4.4800000000000004</v>
      </c>
      <c r="X6" s="4">
        <v>239232</v>
      </c>
      <c r="Y6" s="4">
        <f t="shared" si="0"/>
        <v>0</v>
      </c>
      <c r="Z6" t="s">
        <v>0</v>
      </c>
      <c r="AA6" t="s">
        <v>2</v>
      </c>
      <c r="AB6" t="s">
        <v>12</v>
      </c>
      <c r="AC6">
        <f>_xlfn.XLOOKUP(AB6,'[1]GST Codes'!$A:$A,'[1]GST Codes'!$C:$C,0,0)</f>
        <v>18</v>
      </c>
      <c r="AD6">
        <f t="shared" si="1"/>
        <v>0</v>
      </c>
      <c r="AE6" t="s">
        <v>13</v>
      </c>
      <c r="AF6" t="s">
        <v>0</v>
      </c>
      <c r="AG6" t="s">
        <v>14</v>
      </c>
      <c r="AH6" t="s">
        <v>15</v>
      </c>
      <c r="AI6" t="s">
        <v>16</v>
      </c>
      <c r="AJ6" t="s">
        <v>17</v>
      </c>
      <c r="AK6" t="s">
        <v>18</v>
      </c>
      <c r="AL6" t="s">
        <v>19</v>
      </c>
      <c r="AM6" t="s">
        <v>5</v>
      </c>
      <c r="AN6" t="s">
        <v>0</v>
      </c>
      <c r="AO6" t="s">
        <v>0</v>
      </c>
      <c r="AP6" t="s">
        <v>0</v>
      </c>
      <c r="AQ6" s="3">
        <v>4.4800000000000004</v>
      </c>
      <c r="AR6" t="s">
        <v>11</v>
      </c>
      <c r="AS6" t="s">
        <v>0</v>
      </c>
      <c r="AT6" t="s">
        <v>17</v>
      </c>
      <c r="AU6" s="4">
        <v>0</v>
      </c>
      <c r="AV6" s="4">
        <v>0</v>
      </c>
      <c r="AW6" s="4">
        <v>0</v>
      </c>
      <c r="AX6" s="4">
        <v>0</v>
      </c>
      <c r="AY6" s="5">
        <v>0</v>
      </c>
      <c r="AZ6" s="5">
        <v>0</v>
      </c>
      <c r="BA6" s="5">
        <v>0</v>
      </c>
      <c r="BB6" s="2"/>
      <c r="BC6" t="s">
        <v>0</v>
      </c>
      <c r="BD6" s="5">
        <v>1</v>
      </c>
      <c r="BE6" t="s">
        <v>0</v>
      </c>
      <c r="BF6" t="s">
        <v>37</v>
      </c>
      <c r="BG6" t="s">
        <v>17</v>
      </c>
      <c r="BH6" t="s">
        <v>0</v>
      </c>
      <c r="BI6" t="s">
        <v>11</v>
      </c>
      <c r="BJ6" t="s">
        <v>0</v>
      </c>
      <c r="BK6" t="s">
        <v>0</v>
      </c>
      <c r="BL6" s="5">
        <v>0</v>
      </c>
      <c r="BM6" t="s">
        <v>0</v>
      </c>
      <c r="BN6" t="s">
        <v>0</v>
      </c>
      <c r="BO6" t="s">
        <v>0</v>
      </c>
      <c r="BP6" t="s">
        <v>17</v>
      </c>
      <c r="BQ6" t="s">
        <v>0</v>
      </c>
      <c r="BR6" t="s">
        <v>17</v>
      </c>
      <c r="BS6" t="s">
        <v>17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</row>
    <row r="7" spans="1:80" x14ac:dyDescent="0.25">
      <c r="A7" t="s">
        <v>1</v>
      </c>
      <c r="B7" s="2">
        <v>45232</v>
      </c>
      <c r="C7" s="2">
        <v>45677</v>
      </c>
      <c r="D7" s="2">
        <v>45736</v>
      </c>
      <c r="E7" t="s">
        <v>2</v>
      </c>
      <c r="F7" t="s">
        <v>3</v>
      </c>
      <c r="G7" t="s">
        <v>0</v>
      </c>
      <c r="H7" t="s">
        <v>4</v>
      </c>
      <c r="I7" t="s">
        <v>5</v>
      </c>
      <c r="J7" t="s">
        <v>6</v>
      </c>
      <c r="K7" t="s">
        <v>38</v>
      </c>
      <c r="L7" t="s">
        <v>39</v>
      </c>
      <c r="M7" t="s">
        <v>40</v>
      </c>
      <c r="N7" t="s">
        <v>10</v>
      </c>
      <c r="O7" t="s">
        <v>0</v>
      </c>
      <c r="P7" t="s">
        <v>11</v>
      </c>
      <c r="Q7" s="3">
        <v>2.63</v>
      </c>
      <c r="R7" s="4">
        <v>52400</v>
      </c>
      <c r="S7" s="5">
        <v>1</v>
      </c>
      <c r="T7" s="4">
        <v>137812</v>
      </c>
      <c r="U7" s="3">
        <v>2.63</v>
      </c>
      <c r="V7" s="4">
        <v>137812</v>
      </c>
      <c r="W7" s="3">
        <v>2.63</v>
      </c>
      <c r="X7" s="4">
        <v>137812</v>
      </c>
      <c r="Y7" s="4">
        <f t="shared" si="0"/>
        <v>0</v>
      </c>
      <c r="Z7" t="s">
        <v>0</v>
      </c>
      <c r="AA7" t="s">
        <v>2</v>
      </c>
      <c r="AB7" t="s">
        <v>12</v>
      </c>
      <c r="AC7">
        <f>_xlfn.XLOOKUP(AB7,'[1]GST Codes'!$A:$A,'[1]GST Codes'!$C:$C,0,0)</f>
        <v>18</v>
      </c>
      <c r="AD7">
        <f t="shared" si="1"/>
        <v>0</v>
      </c>
      <c r="AE7" t="s">
        <v>13</v>
      </c>
      <c r="AF7" t="s">
        <v>0</v>
      </c>
      <c r="AG7" t="s">
        <v>14</v>
      </c>
      <c r="AH7" t="s">
        <v>15</v>
      </c>
      <c r="AI7" t="s">
        <v>16</v>
      </c>
      <c r="AJ7" t="s">
        <v>17</v>
      </c>
      <c r="AK7" t="s">
        <v>18</v>
      </c>
      <c r="AL7" t="s">
        <v>19</v>
      </c>
      <c r="AM7" t="s">
        <v>5</v>
      </c>
      <c r="AN7" t="s">
        <v>0</v>
      </c>
      <c r="AO7" t="s">
        <v>0</v>
      </c>
      <c r="AP7" t="s">
        <v>0</v>
      </c>
      <c r="AQ7" s="3">
        <v>2.63</v>
      </c>
      <c r="AR7" t="s">
        <v>11</v>
      </c>
      <c r="AS7" t="s">
        <v>0</v>
      </c>
      <c r="AT7" t="s">
        <v>17</v>
      </c>
      <c r="AU7" s="4">
        <v>0</v>
      </c>
      <c r="AV7" s="4">
        <v>0</v>
      </c>
      <c r="AW7" s="4">
        <v>0</v>
      </c>
      <c r="AX7" s="4">
        <v>0</v>
      </c>
      <c r="AY7" s="5">
        <v>0</v>
      </c>
      <c r="AZ7" s="5">
        <v>0</v>
      </c>
      <c r="BA7" s="5">
        <v>0</v>
      </c>
      <c r="BB7" s="2"/>
      <c r="BC7" t="s">
        <v>0</v>
      </c>
      <c r="BD7" s="5">
        <v>1</v>
      </c>
      <c r="BE7" t="s">
        <v>0</v>
      </c>
      <c r="BF7" t="s">
        <v>41</v>
      </c>
      <c r="BG7" t="s">
        <v>17</v>
      </c>
      <c r="BH7" t="s">
        <v>0</v>
      </c>
      <c r="BI7" t="s">
        <v>11</v>
      </c>
      <c r="BJ7" t="s">
        <v>0</v>
      </c>
      <c r="BK7" t="s">
        <v>0</v>
      </c>
      <c r="BL7" s="5">
        <v>0</v>
      </c>
      <c r="BM7" t="s">
        <v>0</v>
      </c>
      <c r="BN7" t="s">
        <v>0</v>
      </c>
      <c r="BO7" t="s">
        <v>0</v>
      </c>
      <c r="BP7" t="s">
        <v>17</v>
      </c>
      <c r="BQ7" t="s">
        <v>0</v>
      </c>
      <c r="BR7" t="s">
        <v>17</v>
      </c>
      <c r="BS7" t="s">
        <v>17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</row>
    <row r="8" spans="1:80" x14ac:dyDescent="0.25">
      <c r="A8" t="s">
        <v>1</v>
      </c>
      <c r="B8" s="2">
        <v>45232</v>
      </c>
      <c r="C8" s="2">
        <v>45677</v>
      </c>
      <c r="D8" s="2">
        <v>45736</v>
      </c>
      <c r="E8" t="s">
        <v>2</v>
      </c>
      <c r="F8" t="s">
        <v>3</v>
      </c>
      <c r="G8" t="s">
        <v>0</v>
      </c>
      <c r="H8" t="s">
        <v>4</v>
      </c>
      <c r="I8" t="s">
        <v>5</v>
      </c>
      <c r="J8" t="s">
        <v>6</v>
      </c>
      <c r="K8" t="s">
        <v>42</v>
      </c>
      <c r="L8" t="s">
        <v>43</v>
      </c>
      <c r="M8" t="s">
        <v>44</v>
      </c>
      <c r="N8" t="s">
        <v>10</v>
      </c>
      <c r="O8" t="s">
        <v>0</v>
      </c>
      <c r="P8" t="s">
        <v>11</v>
      </c>
      <c r="Q8" s="3">
        <v>1.55</v>
      </c>
      <c r="R8" s="4">
        <v>52400</v>
      </c>
      <c r="S8" s="5">
        <v>1</v>
      </c>
      <c r="T8" s="4">
        <v>81220</v>
      </c>
      <c r="U8" s="3">
        <v>1.55</v>
      </c>
      <c r="V8" s="4">
        <v>81220</v>
      </c>
      <c r="W8" s="3">
        <v>1.55</v>
      </c>
      <c r="X8" s="4">
        <v>81220</v>
      </c>
      <c r="Y8" s="4">
        <f t="shared" si="0"/>
        <v>0</v>
      </c>
      <c r="Z8" t="s">
        <v>0</v>
      </c>
      <c r="AA8" t="s">
        <v>2</v>
      </c>
      <c r="AB8" t="s">
        <v>12</v>
      </c>
      <c r="AC8">
        <f>_xlfn.XLOOKUP(AB8,'[1]GST Codes'!$A:$A,'[1]GST Codes'!$C:$C,0,0)</f>
        <v>18</v>
      </c>
      <c r="AD8">
        <f t="shared" si="1"/>
        <v>0</v>
      </c>
      <c r="AE8" t="s">
        <v>13</v>
      </c>
      <c r="AF8" t="s">
        <v>0</v>
      </c>
      <c r="AG8" t="s">
        <v>14</v>
      </c>
      <c r="AH8" t="s">
        <v>15</v>
      </c>
      <c r="AI8" t="s">
        <v>16</v>
      </c>
      <c r="AJ8" t="s">
        <v>17</v>
      </c>
      <c r="AK8" t="s">
        <v>18</v>
      </c>
      <c r="AL8" t="s">
        <v>19</v>
      </c>
      <c r="AM8" t="s">
        <v>5</v>
      </c>
      <c r="AN8" t="s">
        <v>0</v>
      </c>
      <c r="AO8" t="s">
        <v>0</v>
      </c>
      <c r="AP8" t="s">
        <v>0</v>
      </c>
      <c r="AQ8" s="3">
        <v>1.55</v>
      </c>
      <c r="AR8" t="s">
        <v>11</v>
      </c>
      <c r="AS8" t="s">
        <v>0</v>
      </c>
      <c r="AT8" t="s">
        <v>17</v>
      </c>
      <c r="AU8" s="4">
        <v>0</v>
      </c>
      <c r="AV8" s="4">
        <v>0</v>
      </c>
      <c r="AW8" s="4">
        <v>0</v>
      </c>
      <c r="AX8" s="4">
        <v>0</v>
      </c>
      <c r="AY8" s="5">
        <v>0</v>
      </c>
      <c r="AZ8" s="5">
        <v>0</v>
      </c>
      <c r="BA8" s="5">
        <v>0</v>
      </c>
      <c r="BB8" s="2"/>
      <c r="BC8" t="s">
        <v>0</v>
      </c>
      <c r="BD8" s="5">
        <v>1</v>
      </c>
      <c r="BE8" t="s">
        <v>0</v>
      </c>
      <c r="BF8" t="s">
        <v>45</v>
      </c>
      <c r="BG8" t="s">
        <v>17</v>
      </c>
      <c r="BH8" t="s">
        <v>0</v>
      </c>
      <c r="BI8" t="s">
        <v>11</v>
      </c>
      <c r="BJ8" t="s">
        <v>0</v>
      </c>
      <c r="BK8" t="s">
        <v>0</v>
      </c>
      <c r="BL8" s="5">
        <v>0</v>
      </c>
      <c r="BM8" t="s">
        <v>0</v>
      </c>
      <c r="BN8" t="s">
        <v>0</v>
      </c>
      <c r="BO8" t="s">
        <v>0</v>
      </c>
      <c r="BP8" t="s">
        <v>17</v>
      </c>
      <c r="BQ8" t="s">
        <v>0</v>
      </c>
      <c r="BR8" t="s">
        <v>17</v>
      </c>
      <c r="BS8" t="s">
        <v>17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</row>
    <row r="9" spans="1:80" ht="13.95" customHeight="1" x14ac:dyDescent="0.25">
      <c r="A9" t="s">
        <v>46</v>
      </c>
      <c r="B9" s="2">
        <v>45232</v>
      </c>
      <c r="C9" s="2">
        <v>45677</v>
      </c>
      <c r="D9" s="2">
        <v>45736</v>
      </c>
      <c r="E9" t="s">
        <v>2</v>
      </c>
      <c r="F9" t="s">
        <v>47</v>
      </c>
      <c r="G9" t="s">
        <v>0</v>
      </c>
      <c r="H9" t="s">
        <v>4</v>
      </c>
      <c r="I9" t="s">
        <v>5</v>
      </c>
      <c r="J9" t="s">
        <v>6</v>
      </c>
      <c r="K9" t="s">
        <v>7</v>
      </c>
      <c r="L9" t="s">
        <v>48</v>
      </c>
      <c r="M9" t="s">
        <v>49</v>
      </c>
      <c r="N9" t="s">
        <v>10</v>
      </c>
      <c r="O9" t="s">
        <v>0</v>
      </c>
      <c r="P9" t="s">
        <v>11</v>
      </c>
      <c r="Q9" s="5">
        <v>5</v>
      </c>
      <c r="R9" s="4">
        <v>54400</v>
      </c>
      <c r="S9" s="5">
        <v>1</v>
      </c>
      <c r="T9" s="4">
        <v>272000</v>
      </c>
      <c r="U9" s="3">
        <v>1.43</v>
      </c>
      <c r="V9" s="4">
        <v>77792</v>
      </c>
      <c r="W9" s="3">
        <v>1.43</v>
      </c>
      <c r="X9" s="4">
        <v>77792</v>
      </c>
      <c r="Y9" s="4">
        <f t="shared" si="0"/>
        <v>194208</v>
      </c>
      <c r="Z9" s="6" t="s">
        <v>0</v>
      </c>
      <c r="AA9" t="s">
        <v>2</v>
      </c>
      <c r="AB9" t="s">
        <v>12</v>
      </c>
      <c r="AC9">
        <f>_xlfn.XLOOKUP(AB9,'[1]GST Codes'!$A:$A,'[1]GST Codes'!$C:$C,0,0)</f>
        <v>18</v>
      </c>
      <c r="AD9">
        <f t="shared" si="1"/>
        <v>229165.44</v>
      </c>
      <c r="AE9" t="s">
        <v>13</v>
      </c>
      <c r="AF9" t="s">
        <v>0</v>
      </c>
      <c r="AG9" t="s">
        <v>14</v>
      </c>
      <c r="AH9" t="s">
        <v>50</v>
      </c>
      <c r="AI9" t="s">
        <v>16</v>
      </c>
      <c r="AJ9" t="s">
        <v>17</v>
      </c>
      <c r="AK9" t="s">
        <v>18</v>
      </c>
      <c r="AL9" t="s">
        <v>19</v>
      </c>
      <c r="AM9" t="s">
        <v>5</v>
      </c>
      <c r="AN9" t="s">
        <v>0</v>
      </c>
      <c r="AO9" t="s">
        <v>20</v>
      </c>
      <c r="AP9" t="s">
        <v>0</v>
      </c>
      <c r="AQ9" s="5">
        <v>5</v>
      </c>
      <c r="AR9" t="s">
        <v>11</v>
      </c>
      <c r="AS9" t="s">
        <v>0</v>
      </c>
      <c r="AT9" t="s">
        <v>17</v>
      </c>
      <c r="AU9" s="4">
        <v>0</v>
      </c>
      <c r="AV9" s="4">
        <v>0</v>
      </c>
      <c r="AW9" s="4">
        <v>0</v>
      </c>
      <c r="AX9" s="4">
        <v>0</v>
      </c>
      <c r="AY9" s="5">
        <v>0</v>
      </c>
      <c r="AZ9" s="5">
        <v>0</v>
      </c>
      <c r="BA9" s="5">
        <v>0</v>
      </c>
      <c r="BB9" s="2"/>
      <c r="BC9" t="s">
        <v>0</v>
      </c>
      <c r="BD9" s="5">
        <v>1</v>
      </c>
      <c r="BE9" t="s">
        <v>0</v>
      </c>
      <c r="BF9" t="s">
        <v>51</v>
      </c>
      <c r="BG9" t="s">
        <v>17</v>
      </c>
      <c r="BH9" t="s">
        <v>0</v>
      </c>
      <c r="BI9" t="s">
        <v>11</v>
      </c>
      <c r="BJ9" t="s">
        <v>0</v>
      </c>
      <c r="BK9" t="s">
        <v>0</v>
      </c>
      <c r="BL9" s="5">
        <v>0</v>
      </c>
      <c r="BM9" t="s">
        <v>0</v>
      </c>
      <c r="BN9" t="s">
        <v>0</v>
      </c>
      <c r="BO9" t="s">
        <v>0</v>
      </c>
      <c r="BP9" t="s">
        <v>17</v>
      </c>
      <c r="BQ9" t="s">
        <v>0</v>
      </c>
      <c r="BR9" t="s">
        <v>17</v>
      </c>
      <c r="BS9" t="s">
        <v>17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</row>
    <row r="10" spans="1:80" ht="13.95" customHeight="1" x14ac:dyDescent="0.25">
      <c r="A10" t="s">
        <v>46</v>
      </c>
      <c r="B10" s="2">
        <v>45232</v>
      </c>
      <c r="C10" s="2">
        <v>45677</v>
      </c>
      <c r="D10" s="2">
        <v>45736</v>
      </c>
      <c r="E10" t="s">
        <v>2</v>
      </c>
      <c r="F10" t="s">
        <v>47</v>
      </c>
      <c r="G10" t="s">
        <v>0</v>
      </c>
      <c r="H10" t="s">
        <v>4</v>
      </c>
      <c r="I10" t="s">
        <v>5</v>
      </c>
      <c r="J10" t="s">
        <v>6</v>
      </c>
      <c r="K10" t="s">
        <v>22</v>
      </c>
      <c r="L10" t="s">
        <v>8</v>
      </c>
      <c r="M10" t="s">
        <v>52</v>
      </c>
      <c r="N10" t="s">
        <v>10</v>
      </c>
      <c r="O10" t="s">
        <v>0</v>
      </c>
      <c r="P10" t="s">
        <v>11</v>
      </c>
      <c r="Q10" s="5">
        <v>9</v>
      </c>
      <c r="R10" s="4">
        <v>53400</v>
      </c>
      <c r="S10" s="5">
        <v>1</v>
      </c>
      <c r="T10" s="4">
        <v>480600</v>
      </c>
      <c r="U10" s="3">
        <v>0.02</v>
      </c>
      <c r="V10" s="4">
        <v>1068</v>
      </c>
      <c r="W10" s="3">
        <v>0.02</v>
      </c>
      <c r="X10" s="4">
        <v>1068</v>
      </c>
      <c r="Y10" s="4">
        <f t="shared" si="0"/>
        <v>479532</v>
      </c>
      <c r="Z10" s="6" t="s">
        <v>0</v>
      </c>
      <c r="AA10" t="s">
        <v>2</v>
      </c>
      <c r="AB10" t="s">
        <v>12</v>
      </c>
      <c r="AC10">
        <f>_xlfn.XLOOKUP(AB10,'[1]GST Codes'!$A:$A,'[1]GST Codes'!$C:$C,0,0)</f>
        <v>18</v>
      </c>
      <c r="AD10">
        <f t="shared" si="1"/>
        <v>565847.76</v>
      </c>
      <c r="AE10" t="s">
        <v>13</v>
      </c>
      <c r="AF10" t="s">
        <v>0</v>
      </c>
      <c r="AG10" t="s">
        <v>14</v>
      </c>
      <c r="AH10" t="s">
        <v>50</v>
      </c>
      <c r="AI10" t="s">
        <v>16</v>
      </c>
      <c r="AJ10" t="s">
        <v>17</v>
      </c>
      <c r="AK10" t="s">
        <v>18</v>
      </c>
      <c r="AL10" t="s">
        <v>19</v>
      </c>
      <c r="AM10" t="s">
        <v>5</v>
      </c>
      <c r="AN10" t="s">
        <v>0</v>
      </c>
      <c r="AO10" t="s">
        <v>20</v>
      </c>
      <c r="AP10" t="s">
        <v>0</v>
      </c>
      <c r="AQ10" s="5">
        <v>9</v>
      </c>
      <c r="AR10" t="s">
        <v>11</v>
      </c>
      <c r="AS10" t="s">
        <v>0</v>
      </c>
      <c r="AT10" t="s">
        <v>17</v>
      </c>
      <c r="AU10" s="4">
        <v>0</v>
      </c>
      <c r="AV10" s="4">
        <v>0</v>
      </c>
      <c r="AW10" s="4">
        <v>0</v>
      </c>
      <c r="AX10" s="4">
        <v>0</v>
      </c>
      <c r="AY10" s="5">
        <v>0</v>
      </c>
      <c r="AZ10" s="5">
        <v>0</v>
      </c>
      <c r="BA10" s="5">
        <v>0</v>
      </c>
      <c r="BB10" s="2"/>
      <c r="BC10" t="s">
        <v>0</v>
      </c>
      <c r="BD10" s="5">
        <v>1</v>
      </c>
      <c r="BE10" t="s">
        <v>0</v>
      </c>
      <c r="BF10" t="s">
        <v>21</v>
      </c>
      <c r="BG10" t="s">
        <v>17</v>
      </c>
      <c r="BH10" t="s">
        <v>0</v>
      </c>
      <c r="BI10" t="s">
        <v>11</v>
      </c>
      <c r="BJ10" t="s">
        <v>0</v>
      </c>
      <c r="BK10" t="s">
        <v>0</v>
      </c>
      <c r="BL10" s="5">
        <v>0</v>
      </c>
      <c r="BM10" t="s">
        <v>0</v>
      </c>
      <c r="BN10" t="s">
        <v>0</v>
      </c>
      <c r="BO10" t="s">
        <v>0</v>
      </c>
      <c r="BP10" t="s">
        <v>17</v>
      </c>
      <c r="BQ10" t="s">
        <v>0</v>
      </c>
      <c r="BR10" t="s">
        <v>17</v>
      </c>
      <c r="BS10" t="s">
        <v>17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</row>
    <row r="11" spans="1:80" ht="13.95" customHeight="1" x14ac:dyDescent="0.25">
      <c r="A11" t="s">
        <v>46</v>
      </c>
      <c r="B11" s="2">
        <v>45232</v>
      </c>
      <c r="C11" s="2">
        <v>45677</v>
      </c>
      <c r="D11" s="2">
        <v>45736</v>
      </c>
      <c r="E11" t="s">
        <v>2</v>
      </c>
      <c r="F11" t="s">
        <v>47</v>
      </c>
      <c r="G11" t="s">
        <v>0</v>
      </c>
      <c r="H11" t="s">
        <v>4</v>
      </c>
      <c r="I11" t="s">
        <v>5</v>
      </c>
      <c r="J11" t="s">
        <v>6</v>
      </c>
      <c r="K11" t="s">
        <v>26</v>
      </c>
      <c r="L11" t="s">
        <v>23</v>
      </c>
      <c r="M11" t="s">
        <v>53</v>
      </c>
      <c r="N11" t="s">
        <v>10</v>
      </c>
      <c r="O11" t="s">
        <v>0</v>
      </c>
      <c r="P11" t="s">
        <v>11</v>
      </c>
      <c r="Q11" s="5">
        <v>9</v>
      </c>
      <c r="R11" s="4">
        <v>51400</v>
      </c>
      <c r="S11" s="5">
        <v>1</v>
      </c>
      <c r="T11" s="4">
        <v>462600</v>
      </c>
      <c r="U11" s="5">
        <v>0</v>
      </c>
      <c r="V11" s="4">
        <v>0</v>
      </c>
      <c r="W11" s="5">
        <v>0</v>
      </c>
      <c r="X11" s="4">
        <v>0</v>
      </c>
      <c r="Y11" s="4">
        <f t="shared" si="0"/>
        <v>462600</v>
      </c>
      <c r="Z11" s="6" t="s">
        <v>0</v>
      </c>
      <c r="AA11" t="s">
        <v>2</v>
      </c>
      <c r="AB11" t="s">
        <v>12</v>
      </c>
      <c r="AC11">
        <f>_xlfn.XLOOKUP(AB11,'[1]GST Codes'!$A:$A,'[1]GST Codes'!$C:$C,0,0)</f>
        <v>18</v>
      </c>
      <c r="AD11">
        <f t="shared" si="1"/>
        <v>545868</v>
      </c>
      <c r="AE11" t="s">
        <v>13</v>
      </c>
      <c r="AF11" t="s">
        <v>0</v>
      </c>
      <c r="AG11" t="s">
        <v>14</v>
      </c>
      <c r="AH11" t="s">
        <v>50</v>
      </c>
      <c r="AI11" t="s">
        <v>16</v>
      </c>
      <c r="AJ11" t="s">
        <v>17</v>
      </c>
      <c r="AK11" t="s">
        <v>18</v>
      </c>
      <c r="AL11" t="s">
        <v>19</v>
      </c>
      <c r="AM11" t="s">
        <v>5</v>
      </c>
      <c r="AN11" t="s">
        <v>0</v>
      </c>
      <c r="AO11" t="s">
        <v>20</v>
      </c>
      <c r="AP11" t="s">
        <v>0</v>
      </c>
      <c r="AQ11" s="5">
        <v>9</v>
      </c>
      <c r="AR11" t="s">
        <v>11</v>
      </c>
      <c r="AS11" t="s">
        <v>0</v>
      </c>
      <c r="AT11" t="s">
        <v>17</v>
      </c>
      <c r="AU11" s="4">
        <v>0</v>
      </c>
      <c r="AV11" s="4">
        <v>0</v>
      </c>
      <c r="AW11" s="4">
        <v>0</v>
      </c>
      <c r="AX11" s="4">
        <v>0</v>
      </c>
      <c r="AY11" s="5">
        <v>0</v>
      </c>
      <c r="AZ11" s="5">
        <v>0</v>
      </c>
      <c r="BA11" s="5">
        <v>0</v>
      </c>
      <c r="BB11" s="2"/>
      <c r="BC11" t="s">
        <v>0</v>
      </c>
      <c r="BD11" s="5">
        <v>1</v>
      </c>
      <c r="BE11" t="s">
        <v>0</v>
      </c>
      <c r="BF11" t="s">
        <v>25</v>
      </c>
      <c r="BG11" t="s">
        <v>17</v>
      </c>
      <c r="BH11" t="s">
        <v>0</v>
      </c>
      <c r="BI11" t="s">
        <v>11</v>
      </c>
      <c r="BJ11" t="s">
        <v>0</v>
      </c>
      <c r="BK11" t="s">
        <v>0</v>
      </c>
      <c r="BL11" s="5">
        <v>0</v>
      </c>
      <c r="BM11" t="s">
        <v>0</v>
      </c>
      <c r="BN11" t="s">
        <v>0</v>
      </c>
      <c r="BO11" t="s">
        <v>0</v>
      </c>
      <c r="BP11" t="s">
        <v>17</v>
      </c>
      <c r="BQ11" t="s">
        <v>0</v>
      </c>
      <c r="BR11" t="s">
        <v>17</v>
      </c>
      <c r="BS11" t="s">
        <v>17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</row>
    <row r="12" spans="1:80" ht="13.95" customHeight="1" x14ac:dyDescent="0.25">
      <c r="A12" t="s">
        <v>46</v>
      </c>
      <c r="B12" s="2">
        <v>45232</v>
      </c>
      <c r="C12" s="2">
        <v>45677</v>
      </c>
      <c r="D12" s="2">
        <v>45736</v>
      </c>
      <c r="E12" t="s">
        <v>2</v>
      </c>
      <c r="F12" t="s">
        <v>47</v>
      </c>
      <c r="G12" t="s">
        <v>0</v>
      </c>
      <c r="H12" t="s">
        <v>4</v>
      </c>
      <c r="I12" t="s">
        <v>5</v>
      </c>
      <c r="J12" t="s">
        <v>6</v>
      </c>
      <c r="K12" t="s">
        <v>30</v>
      </c>
      <c r="L12" t="s">
        <v>27</v>
      </c>
      <c r="M12" t="s">
        <v>54</v>
      </c>
      <c r="N12" t="s">
        <v>10</v>
      </c>
      <c r="O12" t="s">
        <v>0</v>
      </c>
      <c r="P12" t="s">
        <v>11</v>
      </c>
      <c r="Q12" s="5">
        <v>9</v>
      </c>
      <c r="R12" s="4">
        <v>52400</v>
      </c>
      <c r="S12" s="5">
        <v>1</v>
      </c>
      <c r="T12" s="4">
        <v>471600</v>
      </c>
      <c r="U12" s="5">
        <v>0</v>
      </c>
      <c r="V12" s="4">
        <v>0</v>
      </c>
      <c r="W12" s="5">
        <v>0</v>
      </c>
      <c r="X12" s="4">
        <v>0</v>
      </c>
      <c r="Y12" s="4">
        <f t="shared" si="0"/>
        <v>471600</v>
      </c>
      <c r="Z12" s="6" t="s">
        <v>0</v>
      </c>
      <c r="AA12" t="s">
        <v>2</v>
      </c>
      <c r="AB12" t="s">
        <v>12</v>
      </c>
      <c r="AC12">
        <f>_xlfn.XLOOKUP(AB12,'[1]GST Codes'!$A:$A,'[1]GST Codes'!$C:$C,0,0)</f>
        <v>18</v>
      </c>
      <c r="AD12">
        <f t="shared" si="1"/>
        <v>556488</v>
      </c>
      <c r="AE12" t="s">
        <v>13</v>
      </c>
      <c r="AF12" t="s">
        <v>0</v>
      </c>
      <c r="AG12" t="s">
        <v>14</v>
      </c>
      <c r="AH12" t="s">
        <v>50</v>
      </c>
      <c r="AI12" t="s">
        <v>16</v>
      </c>
      <c r="AJ12" t="s">
        <v>17</v>
      </c>
      <c r="AK12" t="s">
        <v>18</v>
      </c>
      <c r="AL12" t="s">
        <v>19</v>
      </c>
      <c r="AM12" t="s">
        <v>5</v>
      </c>
      <c r="AN12" t="s">
        <v>0</v>
      </c>
      <c r="AO12" t="s">
        <v>20</v>
      </c>
      <c r="AP12" t="s">
        <v>0</v>
      </c>
      <c r="AQ12" s="5">
        <v>9</v>
      </c>
      <c r="AR12" t="s">
        <v>11</v>
      </c>
      <c r="AS12" t="s">
        <v>0</v>
      </c>
      <c r="AT12" t="s">
        <v>17</v>
      </c>
      <c r="AU12" s="4">
        <v>0</v>
      </c>
      <c r="AV12" s="4">
        <v>0</v>
      </c>
      <c r="AW12" s="4">
        <v>0</v>
      </c>
      <c r="AX12" s="4">
        <v>0</v>
      </c>
      <c r="AY12" s="5">
        <v>0</v>
      </c>
      <c r="AZ12" s="5">
        <v>0</v>
      </c>
      <c r="BA12" s="5">
        <v>0</v>
      </c>
      <c r="BB12" s="2"/>
      <c r="BC12" t="s">
        <v>0</v>
      </c>
      <c r="BD12" s="5">
        <v>1</v>
      </c>
      <c r="BE12" t="s">
        <v>0</v>
      </c>
      <c r="BF12" t="s">
        <v>29</v>
      </c>
      <c r="BG12" t="s">
        <v>17</v>
      </c>
      <c r="BH12" t="s">
        <v>0</v>
      </c>
      <c r="BI12" t="s">
        <v>11</v>
      </c>
      <c r="BJ12" t="s">
        <v>0</v>
      </c>
      <c r="BK12" t="s">
        <v>0</v>
      </c>
      <c r="BL12" s="5">
        <v>0</v>
      </c>
      <c r="BM12" t="s">
        <v>0</v>
      </c>
      <c r="BN12" t="s">
        <v>0</v>
      </c>
      <c r="BO12" t="s">
        <v>0</v>
      </c>
      <c r="BP12" t="s">
        <v>17</v>
      </c>
      <c r="BQ12" t="s">
        <v>0</v>
      </c>
      <c r="BR12" t="s">
        <v>17</v>
      </c>
      <c r="BS12" t="s">
        <v>17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</row>
    <row r="13" spans="1:80" ht="13.95" customHeight="1" x14ac:dyDescent="0.25">
      <c r="A13" t="s">
        <v>55</v>
      </c>
      <c r="B13" s="2">
        <v>45295</v>
      </c>
      <c r="C13" s="2">
        <v>45299</v>
      </c>
      <c r="D13" s="2">
        <v>45330</v>
      </c>
      <c r="E13" t="s">
        <v>2</v>
      </c>
      <c r="F13" t="s">
        <v>47</v>
      </c>
      <c r="G13" t="s">
        <v>0</v>
      </c>
      <c r="H13" t="s">
        <v>4</v>
      </c>
      <c r="I13" t="s">
        <v>5</v>
      </c>
      <c r="J13" t="s">
        <v>6</v>
      </c>
      <c r="K13" t="s">
        <v>7</v>
      </c>
      <c r="L13" t="s">
        <v>48</v>
      </c>
      <c r="M13" t="s">
        <v>56</v>
      </c>
      <c r="N13" t="s">
        <v>10</v>
      </c>
      <c r="O13" t="s">
        <v>0</v>
      </c>
      <c r="P13" t="s">
        <v>11</v>
      </c>
      <c r="Q13" s="3">
        <v>6.75</v>
      </c>
      <c r="R13" s="4">
        <v>52400</v>
      </c>
      <c r="S13" s="5">
        <v>1</v>
      </c>
      <c r="T13" s="4">
        <v>353700</v>
      </c>
      <c r="U13" s="5">
        <v>0</v>
      </c>
      <c r="V13" s="4">
        <v>0</v>
      </c>
      <c r="W13" s="5">
        <v>0</v>
      </c>
      <c r="X13" s="4">
        <v>0</v>
      </c>
      <c r="Y13" s="4">
        <f t="shared" si="0"/>
        <v>353700</v>
      </c>
      <c r="Z13" s="6" t="s">
        <v>0</v>
      </c>
      <c r="AA13" t="s">
        <v>2</v>
      </c>
      <c r="AB13" t="s">
        <v>12</v>
      </c>
      <c r="AC13">
        <f>_xlfn.XLOOKUP(AB13,'[1]GST Codes'!$A:$A,'[1]GST Codes'!$C:$C,0,0)</f>
        <v>18</v>
      </c>
      <c r="AD13">
        <f t="shared" si="1"/>
        <v>417366</v>
      </c>
      <c r="AE13" t="s">
        <v>13</v>
      </c>
      <c r="AF13" t="s">
        <v>57</v>
      </c>
      <c r="AG13" t="s">
        <v>58</v>
      </c>
      <c r="AH13" t="s">
        <v>59</v>
      </c>
      <c r="AI13" t="s">
        <v>60</v>
      </c>
      <c r="AJ13" t="s">
        <v>17</v>
      </c>
      <c r="AK13" t="s">
        <v>18</v>
      </c>
      <c r="AL13" t="s">
        <v>19</v>
      </c>
      <c r="AM13" t="s">
        <v>5</v>
      </c>
      <c r="AN13" t="s">
        <v>0</v>
      </c>
      <c r="AO13" t="s">
        <v>20</v>
      </c>
      <c r="AP13" t="s">
        <v>0</v>
      </c>
      <c r="AQ13" s="3">
        <v>6.75</v>
      </c>
      <c r="AR13" t="s">
        <v>11</v>
      </c>
      <c r="AS13" t="s">
        <v>0</v>
      </c>
      <c r="AT13" t="s">
        <v>17</v>
      </c>
      <c r="AU13" s="4">
        <v>0</v>
      </c>
      <c r="AV13" s="4">
        <v>0</v>
      </c>
      <c r="AW13" s="4">
        <v>0</v>
      </c>
      <c r="AX13" s="4">
        <v>0</v>
      </c>
      <c r="AY13" s="5">
        <v>0</v>
      </c>
      <c r="AZ13" s="5">
        <v>0</v>
      </c>
      <c r="BA13" s="5">
        <v>0</v>
      </c>
      <c r="BB13" s="2"/>
      <c r="BC13" t="s">
        <v>0</v>
      </c>
      <c r="BD13" s="5">
        <v>1</v>
      </c>
      <c r="BE13" t="s">
        <v>0</v>
      </c>
      <c r="BF13" t="s">
        <v>51</v>
      </c>
      <c r="BG13" t="s">
        <v>17</v>
      </c>
      <c r="BH13" t="s">
        <v>0</v>
      </c>
      <c r="BI13" t="s">
        <v>11</v>
      </c>
      <c r="BJ13" t="s">
        <v>0</v>
      </c>
      <c r="BK13" t="s">
        <v>0</v>
      </c>
      <c r="BL13" s="5">
        <v>0</v>
      </c>
      <c r="BM13" t="s">
        <v>0</v>
      </c>
      <c r="BN13" t="s">
        <v>0</v>
      </c>
      <c r="BO13" t="s">
        <v>0</v>
      </c>
      <c r="BP13" t="s">
        <v>17</v>
      </c>
      <c r="BQ13" t="s">
        <v>0</v>
      </c>
      <c r="BR13" t="s">
        <v>17</v>
      </c>
      <c r="BS13" t="s">
        <v>17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</row>
    <row r="14" spans="1:80" ht="13.95" customHeight="1" x14ac:dyDescent="0.25">
      <c r="A14" t="s">
        <v>55</v>
      </c>
      <c r="B14" s="2">
        <v>45295</v>
      </c>
      <c r="C14" s="2">
        <v>45299</v>
      </c>
      <c r="D14" s="2">
        <v>45330</v>
      </c>
      <c r="E14" t="s">
        <v>2</v>
      </c>
      <c r="F14" t="s">
        <v>47</v>
      </c>
      <c r="G14" t="s">
        <v>0</v>
      </c>
      <c r="H14" t="s">
        <v>4</v>
      </c>
      <c r="I14" t="s">
        <v>5</v>
      </c>
      <c r="J14" t="s">
        <v>6</v>
      </c>
      <c r="K14" t="s">
        <v>22</v>
      </c>
      <c r="L14" t="s">
        <v>23</v>
      </c>
      <c r="M14" t="s">
        <v>61</v>
      </c>
      <c r="N14" t="s">
        <v>10</v>
      </c>
      <c r="O14" t="s">
        <v>0</v>
      </c>
      <c r="P14" t="s">
        <v>11</v>
      </c>
      <c r="Q14" s="5">
        <v>8</v>
      </c>
      <c r="R14" s="4">
        <v>49400</v>
      </c>
      <c r="S14" s="5">
        <v>1</v>
      </c>
      <c r="T14" s="4">
        <v>395200</v>
      </c>
      <c r="U14" s="5">
        <v>0</v>
      </c>
      <c r="V14" s="4">
        <v>0</v>
      </c>
      <c r="W14" s="5">
        <v>0</v>
      </c>
      <c r="X14" s="4">
        <v>0</v>
      </c>
      <c r="Y14" s="4">
        <f t="shared" si="0"/>
        <v>395200</v>
      </c>
      <c r="Z14" s="6" t="s">
        <v>0</v>
      </c>
      <c r="AA14" t="s">
        <v>2</v>
      </c>
      <c r="AB14" t="s">
        <v>12</v>
      </c>
      <c r="AC14">
        <f>_xlfn.XLOOKUP(AB14,'[1]GST Codes'!$A:$A,'[1]GST Codes'!$C:$C,0,0)</f>
        <v>18</v>
      </c>
      <c r="AD14">
        <f t="shared" si="1"/>
        <v>466336</v>
      </c>
      <c r="AE14" t="s">
        <v>13</v>
      </c>
      <c r="AF14" t="s">
        <v>57</v>
      </c>
      <c r="AG14" t="s">
        <v>58</v>
      </c>
      <c r="AH14" t="s">
        <v>59</v>
      </c>
      <c r="AI14" t="s">
        <v>60</v>
      </c>
      <c r="AJ14" t="s">
        <v>17</v>
      </c>
      <c r="AK14" t="s">
        <v>18</v>
      </c>
      <c r="AL14" t="s">
        <v>19</v>
      </c>
      <c r="AM14" t="s">
        <v>5</v>
      </c>
      <c r="AN14" t="s">
        <v>0</v>
      </c>
      <c r="AO14" t="s">
        <v>20</v>
      </c>
      <c r="AP14" t="s">
        <v>0</v>
      </c>
      <c r="AQ14" s="5">
        <v>8</v>
      </c>
      <c r="AR14" t="s">
        <v>11</v>
      </c>
      <c r="AS14" t="s">
        <v>0</v>
      </c>
      <c r="AT14" t="s">
        <v>17</v>
      </c>
      <c r="AU14" s="4">
        <v>0</v>
      </c>
      <c r="AV14" s="4">
        <v>0</v>
      </c>
      <c r="AW14" s="4">
        <v>0</v>
      </c>
      <c r="AX14" s="4">
        <v>0</v>
      </c>
      <c r="AY14" s="5">
        <v>0</v>
      </c>
      <c r="AZ14" s="5">
        <v>0</v>
      </c>
      <c r="BA14" s="5">
        <v>0</v>
      </c>
      <c r="BB14" s="2"/>
      <c r="BC14" t="s">
        <v>0</v>
      </c>
      <c r="BD14" s="5">
        <v>1</v>
      </c>
      <c r="BE14" t="s">
        <v>0</v>
      </c>
      <c r="BF14" t="s">
        <v>25</v>
      </c>
      <c r="BG14" t="s">
        <v>17</v>
      </c>
      <c r="BH14" t="s">
        <v>0</v>
      </c>
      <c r="BI14" t="s">
        <v>11</v>
      </c>
      <c r="BJ14" t="s">
        <v>0</v>
      </c>
      <c r="BK14" t="s">
        <v>0</v>
      </c>
      <c r="BL14" s="5">
        <v>0</v>
      </c>
      <c r="BM14" t="s">
        <v>0</v>
      </c>
      <c r="BN14" t="s">
        <v>0</v>
      </c>
      <c r="BO14" t="s">
        <v>0</v>
      </c>
      <c r="BP14" t="s">
        <v>17</v>
      </c>
      <c r="BQ14" t="s">
        <v>0</v>
      </c>
      <c r="BR14" t="s">
        <v>17</v>
      </c>
      <c r="BS14" t="s">
        <v>17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</row>
    <row r="15" spans="1:80" ht="13.95" customHeight="1" x14ac:dyDescent="0.25">
      <c r="A15" t="s">
        <v>55</v>
      </c>
      <c r="B15" s="2">
        <v>45295</v>
      </c>
      <c r="C15" s="2">
        <v>45299</v>
      </c>
      <c r="D15" s="2">
        <v>45330</v>
      </c>
      <c r="E15" t="s">
        <v>2</v>
      </c>
      <c r="F15" t="s">
        <v>47</v>
      </c>
      <c r="G15" t="s">
        <v>0</v>
      </c>
      <c r="H15" t="s">
        <v>4</v>
      </c>
      <c r="I15" t="s">
        <v>5</v>
      </c>
      <c r="J15" t="s">
        <v>6</v>
      </c>
      <c r="K15" t="s">
        <v>26</v>
      </c>
      <c r="L15" t="s">
        <v>27</v>
      </c>
      <c r="M15" t="s">
        <v>62</v>
      </c>
      <c r="N15" t="s">
        <v>10</v>
      </c>
      <c r="O15" t="s">
        <v>0</v>
      </c>
      <c r="P15" t="s">
        <v>11</v>
      </c>
      <c r="Q15" s="3">
        <v>26.68</v>
      </c>
      <c r="R15" s="4">
        <v>50400</v>
      </c>
      <c r="S15" s="5">
        <v>1</v>
      </c>
      <c r="T15" s="4">
        <v>1344672</v>
      </c>
      <c r="U15" s="5">
        <v>0</v>
      </c>
      <c r="V15" s="4">
        <v>0</v>
      </c>
      <c r="W15" s="5">
        <v>0</v>
      </c>
      <c r="X15" s="4">
        <v>0</v>
      </c>
      <c r="Y15" s="4">
        <f t="shared" si="0"/>
        <v>1344672</v>
      </c>
      <c r="Z15" s="6" t="s">
        <v>0</v>
      </c>
      <c r="AA15" t="s">
        <v>2</v>
      </c>
      <c r="AB15" t="s">
        <v>12</v>
      </c>
      <c r="AC15">
        <f>_xlfn.XLOOKUP(AB15,'[1]GST Codes'!$A:$A,'[1]GST Codes'!$C:$C,0,0)</f>
        <v>18</v>
      </c>
      <c r="AD15">
        <f t="shared" si="1"/>
        <v>1586712.96</v>
      </c>
      <c r="AE15" t="s">
        <v>13</v>
      </c>
      <c r="AF15" t="s">
        <v>57</v>
      </c>
      <c r="AG15" t="s">
        <v>58</v>
      </c>
      <c r="AH15" t="s">
        <v>59</v>
      </c>
      <c r="AI15" t="s">
        <v>60</v>
      </c>
      <c r="AJ15" t="s">
        <v>17</v>
      </c>
      <c r="AK15" t="s">
        <v>18</v>
      </c>
      <c r="AL15" t="s">
        <v>19</v>
      </c>
      <c r="AM15" t="s">
        <v>5</v>
      </c>
      <c r="AN15" t="s">
        <v>0</v>
      </c>
      <c r="AO15" t="s">
        <v>20</v>
      </c>
      <c r="AP15" t="s">
        <v>0</v>
      </c>
      <c r="AQ15" s="3">
        <v>26.68</v>
      </c>
      <c r="AR15" t="s">
        <v>11</v>
      </c>
      <c r="AS15" t="s">
        <v>0</v>
      </c>
      <c r="AT15" t="s">
        <v>17</v>
      </c>
      <c r="AU15" s="4">
        <v>0</v>
      </c>
      <c r="AV15" s="4">
        <v>0</v>
      </c>
      <c r="AW15" s="4">
        <v>0</v>
      </c>
      <c r="AX15" s="4">
        <v>0</v>
      </c>
      <c r="AY15" s="5">
        <v>0</v>
      </c>
      <c r="AZ15" s="5">
        <v>0</v>
      </c>
      <c r="BA15" s="5">
        <v>0</v>
      </c>
      <c r="BB15" s="2"/>
      <c r="BC15" t="s">
        <v>0</v>
      </c>
      <c r="BD15" s="5">
        <v>1</v>
      </c>
      <c r="BE15" t="s">
        <v>0</v>
      </c>
      <c r="BF15" t="s">
        <v>29</v>
      </c>
      <c r="BG15" t="s">
        <v>17</v>
      </c>
      <c r="BH15" t="s">
        <v>0</v>
      </c>
      <c r="BI15" t="s">
        <v>11</v>
      </c>
      <c r="BJ15" t="s">
        <v>0</v>
      </c>
      <c r="BK15" t="s">
        <v>0</v>
      </c>
      <c r="BL15" s="5">
        <v>0</v>
      </c>
      <c r="BM15" t="s">
        <v>0</v>
      </c>
      <c r="BN15" t="s">
        <v>0</v>
      </c>
      <c r="BO15" t="s">
        <v>0</v>
      </c>
      <c r="BP15" t="s">
        <v>17</v>
      </c>
      <c r="BQ15" t="s">
        <v>0</v>
      </c>
      <c r="BR15" t="s">
        <v>17</v>
      </c>
      <c r="BS15" t="s">
        <v>17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</row>
    <row r="16" spans="1:80" x14ac:dyDescent="0.25">
      <c r="A16" t="s">
        <v>55</v>
      </c>
      <c r="B16" s="2">
        <v>45295</v>
      </c>
      <c r="C16" s="2">
        <v>45299</v>
      </c>
      <c r="D16" s="2">
        <v>45330</v>
      </c>
      <c r="E16" t="s">
        <v>2</v>
      </c>
      <c r="F16" t="s">
        <v>47</v>
      </c>
      <c r="G16" t="s">
        <v>0</v>
      </c>
      <c r="H16" t="s">
        <v>4</v>
      </c>
      <c r="I16" t="s">
        <v>5</v>
      </c>
      <c r="J16" t="s">
        <v>6</v>
      </c>
      <c r="K16" t="s">
        <v>30</v>
      </c>
      <c r="L16" t="s">
        <v>48</v>
      </c>
      <c r="M16" t="s">
        <v>56</v>
      </c>
      <c r="N16" t="s">
        <v>10</v>
      </c>
      <c r="O16" t="s">
        <v>0</v>
      </c>
      <c r="P16" t="s">
        <v>11</v>
      </c>
      <c r="Q16" s="3">
        <v>1.25</v>
      </c>
      <c r="R16" s="4">
        <v>52400</v>
      </c>
      <c r="S16" s="5">
        <v>1</v>
      </c>
      <c r="T16" s="4">
        <v>65500</v>
      </c>
      <c r="U16" s="3">
        <v>1.25</v>
      </c>
      <c r="V16" s="4">
        <v>65500</v>
      </c>
      <c r="W16" s="3">
        <v>1.25</v>
      </c>
      <c r="X16" s="4">
        <v>65500</v>
      </c>
      <c r="Y16" s="4">
        <f t="shared" si="0"/>
        <v>0</v>
      </c>
      <c r="Z16" t="s">
        <v>0</v>
      </c>
      <c r="AA16" t="s">
        <v>2</v>
      </c>
      <c r="AB16" t="s">
        <v>12</v>
      </c>
      <c r="AC16">
        <f>_xlfn.XLOOKUP(AB16,'[1]GST Codes'!$A:$A,'[1]GST Codes'!$C:$C,0,0)</f>
        <v>18</v>
      </c>
      <c r="AD16">
        <f t="shared" si="1"/>
        <v>0</v>
      </c>
      <c r="AE16" t="s">
        <v>13</v>
      </c>
      <c r="AF16" t="s">
        <v>57</v>
      </c>
      <c r="AG16" t="s">
        <v>58</v>
      </c>
      <c r="AH16" t="s">
        <v>59</v>
      </c>
      <c r="AI16" t="s">
        <v>60</v>
      </c>
      <c r="AJ16" t="s">
        <v>17</v>
      </c>
      <c r="AK16" t="s">
        <v>18</v>
      </c>
      <c r="AL16" t="s">
        <v>19</v>
      </c>
      <c r="AM16" t="s">
        <v>5</v>
      </c>
      <c r="AN16" t="s">
        <v>0</v>
      </c>
      <c r="AO16" t="s">
        <v>0</v>
      </c>
      <c r="AP16" t="s">
        <v>0</v>
      </c>
      <c r="AQ16" s="3">
        <v>1.25</v>
      </c>
      <c r="AR16" t="s">
        <v>11</v>
      </c>
      <c r="AS16" t="s">
        <v>0</v>
      </c>
      <c r="AT16" t="s">
        <v>17</v>
      </c>
      <c r="AU16" s="4">
        <v>0</v>
      </c>
      <c r="AV16" s="4">
        <v>0</v>
      </c>
      <c r="AW16" s="4">
        <v>0</v>
      </c>
      <c r="AX16" s="4">
        <v>0</v>
      </c>
      <c r="AY16" s="5">
        <v>0</v>
      </c>
      <c r="AZ16" s="5">
        <v>0</v>
      </c>
      <c r="BA16" s="5">
        <v>0</v>
      </c>
      <c r="BB16" s="2"/>
      <c r="BC16" t="s">
        <v>0</v>
      </c>
      <c r="BD16" s="5">
        <v>1</v>
      </c>
      <c r="BE16" t="s">
        <v>0</v>
      </c>
      <c r="BF16" t="s">
        <v>51</v>
      </c>
      <c r="BG16" t="s">
        <v>17</v>
      </c>
      <c r="BH16" t="s">
        <v>0</v>
      </c>
      <c r="BI16" t="s">
        <v>11</v>
      </c>
      <c r="BJ16" t="s">
        <v>0</v>
      </c>
      <c r="BK16" t="s">
        <v>0</v>
      </c>
      <c r="BL16" s="5">
        <v>0</v>
      </c>
      <c r="BM16" t="s">
        <v>0</v>
      </c>
      <c r="BN16" t="s">
        <v>0</v>
      </c>
      <c r="BO16" t="s">
        <v>0</v>
      </c>
      <c r="BP16" t="s">
        <v>17</v>
      </c>
      <c r="BQ16" t="s">
        <v>0</v>
      </c>
      <c r="BR16" t="s">
        <v>17</v>
      </c>
      <c r="BS16" t="s">
        <v>17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</row>
    <row r="17" spans="1:80" x14ac:dyDescent="0.25">
      <c r="A17" t="s">
        <v>55</v>
      </c>
      <c r="B17" s="2">
        <v>45295</v>
      </c>
      <c r="C17" s="2">
        <v>45299</v>
      </c>
      <c r="D17" s="2">
        <v>45330</v>
      </c>
      <c r="E17" t="s">
        <v>2</v>
      </c>
      <c r="F17" t="s">
        <v>47</v>
      </c>
      <c r="G17" t="s">
        <v>0</v>
      </c>
      <c r="H17" t="s">
        <v>4</v>
      </c>
      <c r="I17" t="s">
        <v>5</v>
      </c>
      <c r="J17" t="s">
        <v>6</v>
      </c>
      <c r="K17" t="s">
        <v>34</v>
      </c>
      <c r="L17" t="s">
        <v>23</v>
      </c>
      <c r="M17" t="s">
        <v>61</v>
      </c>
      <c r="N17" t="s">
        <v>10</v>
      </c>
      <c r="O17" t="s">
        <v>0</v>
      </c>
      <c r="P17" t="s">
        <v>11</v>
      </c>
      <c r="Q17" s="5">
        <v>1</v>
      </c>
      <c r="R17" s="4">
        <v>49400</v>
      </c>
      <c r="S17" s="5">
        <v>1</v>
      </c>
      <c r="T17" s="4">
        <v>49400</v>
      </c>
      <c r="U17" s="5">
        <v>1</v>
      </c>
      <c r="V17" s="4">
        <v>49400</v>
      </c>
      <c r="W17" s="5">
        <v>1</v>
      </c>
      <c r="X17" s="4">
        <v>49400</v>
      </c>
      <c r="Y17" s="4">
        <f t="shared" si="0"/>
        <v>0</v>
      </c>
      <c r="Z17" t="s">
        <v>0</v>
      </c>
      <c r="AA17" t="s">
        <v>2</v>
      </c>
      <c r="AB17" t="s">
        <v>12</v>
      </c>
      <c r="AC17">
        <f>_xlfn.XLOOKUP(AB17,'[1]GST Codes'!$A:$A,'[1]GST Codes'!$C:$C,0,0)</f>
        <v>18</v>
      </c>
      <c r="AD17">
        <f t="shared" si="1"/>
        <v>0</v>
      </c>
      <c r="AE17" t="s">
        <v>13</v>
      </c>
      <c r="AF17" t="s">
        <v>57</v>
      </c>
      <c r="AG17" t="s">
        <v>58</v>
      </c>
      <c r="AH17" t="s">
        <v>59</v>
      </c>
      <c r="AI17" t="s">
        <v>60</v>
      </c>
      <c r="AJ17" t="s">
        <v>17</v>
      </c>
      <c r="AK17" t="s">
        <v>18</v>
      </c>
      <c r="AL17" t="s">
        <v>19</v>
      </c>
      <c r="AM17" t="s">
        <v>5</v>
      </c>
      <c r="AN17" t="s">
        <v>0</v>
      </c>
      <c r="AO17" t="s">
        <v>0</v>
      </c>
      <c r="AP17" t="s">
        <v>0</v>
      </c>
      <c r="AQ17" s="5">
        <v>1</v>
      </c>
      <c r="AR17" t="s">
        <v>11</v>
      </c>
      <c r="AS17" t="s">
        <v>0</v>
      </c>
      <c r="AT17" t="s">
        <v>17</v>
      </c>
      <c r="AU17" s="4">
        <v>0</v>
      </c>
      <c r="AV17" s="4">
        <v>0</v>
      </c>
      <c r="AW17" s="4">
        <v>0</v>
      </c>
      <c r="AX17" s="4">
        <v>0</v>
      </c>
      <c r="AY17" s="5">
        <v>0</v>
      </c>
      <c r="AZ17" s="5">
        <v>0</v>
      </c>
      <c r="BA17" s="5">
        <v>0</v>
      </c>
      <c r="BB17" s="2"/>
      <c r="BC17" t="s">
        <v>0</v>
      </c>
      <c r="BD17" s="5">
        <v>1</v>
      </c>
      <c r="BE17" t="s">
        <v>0</v>
      </c>
      <c r="BF17" t="s">
        <v>25</v>
      </c>
      <c r="BG17" t="s">
        <v>17</v>
      </c>
      <c r="BH17" t="s">
        <v>0</v>
      </c>
      <c r="BI17" t="s">
        <v>11</v>
      </c>
      <c r="BJ17" t="s">
        <v>0</v>
      </c>
      <c r="BK17" t="s">
        <v>0</v>
      </c>
      <c r="BL17" s="5">
        <v>0</v>
      </c>
      <c r="BM17" t="s">
        <v>0</v>
      </c>
      <c r="BN17" t="s">
        <v>0</v>
      </c>
      <c r="BO17" t="s">
        <v>0</v>
      </c>
      <c r="BP17" t="s">
        <v>17</v>
      </c>
      <c r="BQ17" t="s">
        <v>0</v>
      </c>
      <c r="BR17" t="s">
        <v>17</v>
      </c>
      <c r="BS17" t="s">
        <v>17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</row>
    <row r="18" spans="1:80" x14ac:dyDescent="0.25">
      <c r="A18" t="s">
        <v>55</v>
      </c>
      <c r="B18" s="2">
        <v>45295</v>
      </c>
      <c r="C18" s="2">
        <v>45299</v>
      </c>
      <c r="D18" s="2">
        <v>45330</v>
      </c>
      <c r="E18" t="s">
        <v>2</v>
      </c>
      <c r="F18" t="s">
        <v>47</v>
      </c>
      <c r="G18" t="s">
        <v>0</v>
      </c>
      <c r="H18" t="s">
        <v>4</v>
      </c>
      <c r="I18" t="s">
        <v>5</v>
      </c>
      <c r="J18" t="s">
        <v>6</v>
      </c>
      <c r="K18" t="s">
        <v>38</v>
      </c>
      <c r="L18" t="s">
        <v>27</v>
      </c>
      <c r="M18" t="s">
        <v>62</v>
      </c>
      <c r="N18" t="s">
        <v>10</v>
      </c>
      <c r="O18" t="s">
        <v>0</v>
      </c>
      <c r="P18" t="s">
        <v>11</v>
      </c>
      <c r="Q18" s="3">
        <v>3.32</v>
      </c>
      <c r="R18" s="4">
        <v>50400</v>
      </c>
      <c r="S18" s="5">
        <v>1</v>
      </c>
      <c r="T18" s="4">
        <v>167328</v>
      </c>
      <c r="U18" s="3">
        <v>3.32</v>
      </c>
      <c r="V18" s="4">
        <v>167328</v>
      </c>
      <c r="W18" s="3">
        <v>3.32</v>
      </c>
      <c r="X18" s="4">
        <v>167328</v>
      </c>
      <c r="Y18" s="4">
        <f t="shared" si="0"/>
        <v>0</v>
      </c>
      <c r="Z18" t="s">
        <v>0</v>
      </c>
      <c r="AA18" t="s">
        <v>2</v>
      </c>
      <c r="AB18" t="s">
        <v>12</v>
      </c>
      <c r="AC18">
        <f>_xlfn.XLOOKUP(AB18,'[1]GST Codes'!$A:$A,'[1]GST Codes'!$C:$C,0,0)</f>
        <v>18</v>
      </c>
      <c r="AD18">
        <f t="shared" si="1"/>
        <v>0</v>
      </c>
      <c r="AE18" t="s">
        <v>13</v>
      </c>
      <c r="AF18" t="s">
        <v>57</v>
      </c>
      <c r="AG18" t="s">
        <v>58</v>
      </c>
      <c r="AH18" t="s">
        <v>59</v>
      </c>
      <c r="AI18" t="s">
        <v>60</v>
      </c>
      <c r="AJ18" t="s">
        <v>17</v>
      </c>
      <c r="AK18" t="s">
        <v>18</v>
      </c>
      <c r="AL18" t="s">
        <v>19</v>
      </c>
      <c r="AM18" t="s">
        <v>5</v>
      </c>
      <c r="AN18" t="s">
        <v>0</v>
      </c>
      <c r="AO18" t="s">
        <v>0</v>
      </c>
      <c r="AP18" t="s">
        <v>0</v>
      </c>
      <c r="AQ18" s="3">
        <v>3.32</v>
      </c>
      <c r="AR18" t="s">
        <v>11</v>
      </c>
      <c r="AS18" t="s">
        <v>0</v>
      </c>
      <c r="AT18" t="s">
        <v>17</v>
      </c>
      <c r="AU18" s="4">
        <v>0</v>
      </c>
      <c r="AV18" s="4">
        <v>0</v>
      </c>
      <c r="AW18" s="4">
        <v>0</v>
      </c>
      <c r="AX18" s="4">
        <v>0</v>
      </c>
      <c r="AY18" s="5">
        <v>0</v>
      </c>
      <c r="AZ18" s="5">
        <v>0</v>
      </c>
      <c r="BA18" s="5">
        <v>0</v>
      </c>
      <c r="BB18" s="2"/>
      <c r="BC18" t="s">
        <v>0</v>
      </c>
      <c r="BD18" s="5">
        <v>1</v>
      </c>
      <c r="BE18" t="s">
        <v>0</v>
      </c>
      <c r="BF18" t="s">
        <v>29</v>
      </c>
      <c r="BG18" t="s">
        <v>17</v>
      </c>
      <c r="BH18" t="s">
        <v>0</v>
      </c>
      <c r="BI18" t="s">
        <v>11</v>
      </c>
      <c r="BJ18" t="s">
        <v>0</v>
      </c>
      <c r="BK18" t="s">
        <v>0</v>
      </c>
      <c r="BL18" s="5">
        <v>0</v>
      </c>
      <c r="BM18" t="s">
        <v>0</v>
      </c>
      <c r="BN18" t="s">
        <v>0</v>
      </c>
      <c r="BO18" t="s">
        <v>0</v>
      </c>
      <c r="BP18" t="s">
        <v>17</v>
      </c>
      <c r="BQ18" t="s">
        <v>0</v>
      </c>
      <c r="BR18" t="s">
        <v>17</v>
      </c>
      <c r="BS18" t="s">
        <v>17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</row>
    <row r="19" spans="1:80" ht="13.95" customHeight="1" x14ac:dyDescent="0.25">
      <c r="A19" t="s">
        <v>63</v>
      </c>
      <c r="B19" s="2">
        <v>45306</v>
      </c>
      <c r="C19" s="2">
        <v>45677</v>
      </c>
      <c r="D19" s="2">
        <v>45736</v>
      </c>
      <c r="E19" t="s">
        <v>2</v>
      </c>
      <c r="F19" t="s">
        <v>47</v>
      </c>
      <c r="G19" t="s">
        <v>0</v>
      </c>
      <c r="H19" t="s">
        <v>4</v>
      </c>
      <c r="I19" t="s">
        <v>64</v>
      </c>
      <c r="J19" t="s">
        <v>6</v>
      </c>
      <c r="K19" t="s">
        <v>7</v>
      </c>
      <c r="L19" t="s">
        <v>23</v>
      </c>
      <c r="M19" t="s">
        <v>61</v>
      </c>
      <c r="N19" t="s">
        <v>10</v>
      </c>
      <c r="O19" t="s">
        <v>0</v>
      </c>
      <c r="P19" t="s">
        <v>11</v>
      </c>
      <c r="Q19" s="5">
        <v>10</v>
      </c>
      <c r="R19" s="4">
        <v>49000</v>
      </c>
      <c r="S19" s="5">
        <v>1</v>
      </c>
      <c r="T19" s="4">
        <v>490000</v>
      </c>
      <c r="U19" s="5">
        <v>0</v>
      </c>
      <c r="V19" s="4">
        <v>0</v>
      </c>
      <c r="W19" s="5">
        <v>0</v>
      </c>
      <c r="X19" s="4">
        <v>0</v>
      </c>
      <c r="Y19" s="4">
        <f t="shared" si="0"/>
        <v>490000</v>
      </c>
      <c r="Z19" s="6" t="s">
        <v>0</v>
      </c>
      <c r="AA19" t="s">
        <v>2</v>
      </c>
      <c r="AB19" t="s">
        <v>12</v>
      </c>
      <c r="AC19">
        <f>_xlfn.XLOOKUP(AB19,'[1]GST Codes'!$A:$A,'[1]GST Codes'!$C:$C,0,0)</f>
        <v>18</v>
      </c>
      <c r="AD19">
        <f t="shared" si="1"/>
        <v>578200</v>
      </c>
      <c r="AE19" t="s">
        <v>13</v>
      </c>
      <c r="AF19" t="s">
        <v>0</v>
      </c>
      <c r="AG19" t="s">
        <v>14</v>
      </c>
      <c r="AH19" t="s">
        <v>50</v>
      </c>
      <c r="AI19" t="s">
        <v>16</v>
      </c>
      <c r="AJ19" t="s">
        <v>17</v>
      </c>
      <c r="AK19" t="s">
        <v>18</v>
      </c>
      <c r="AL19" t="s">
        <v>19</v>
      </c>
      <c r="AM19" t="s">
        <v>64</v>
      </c>
      <c r="AN19" t="s">
        <v>0</v>
      </c>
      <c r="AO19" t="s">
        <v>20</v>
      </c>
      <c r="AP19" t="s">
        <v>0</v>
      </c>
      <c r="AQ19" s="5">
        <v>10</v>
      </c>
      <c r="AR19" t="s">
        <v>11</v>
      </c>
      <c r="AS19" t="s">
        <v>0</v>
      </c>
      <c r="AT19" t="s">
        <v>17</v>
      </c>
      <c r="AU19" s="4">
        <v>0</v>
      </c>
      <c r="AV19" s="4">
        <v>0</v>
      </c>
      <c r="AW19" s="4">
        <v>0</v>
      </c>
      <c r="AX19" s="4">
        <v>0</v>
      </c>
      <c r="AY19" s="5">
        <v>0</v>
      </c>
      <c r="AZ19" s="5">
        <v>0</v>
      </c>
      <c r="BA19" s="5">
        <v>0</v>
      </c>
      <c r="BB19" s="2"/>
      <c r="BC19" t="s">
        <v>0</v>
      </c>
      <c r="BD19" s="5">
        <v>1</v>
      </c>
      <c r="BE19" t="s">
        <v>0</v>
      </c>
      <c r="BF19" t="s">
        <v>65</v>
      </c>
      <c r="BG19" t="s">
        <v>17</v>
      </c>
      <c r="BH19" t="s">
        <v>0</v>
      </c>
      <c r="BI19" t="s">
        <v>11</v>
      </c>
      <c r="BJ19" t="s">
        <v>0</v>
      </c>
      <c r="BK19" t="s">
        <v>0</v>
      </c>
      <c r="BL19" s="5">
        <v>0</v>
      </c>
      <c r="BM19" t="s">
        <v>0</v>
      </c>
      <c r="BN19" t="s">
        <v>0</v>
      </c>
      <c r="BO19" t="s">
        <v>0</v>
      </c>
      <c r="BP19" t="s">
        <v>17</v>
      </c>
      <c r="BQ19" t="s">
        <v>0</v>
      </c>
      <c r="BR19" t="s">
        <v>17</v>
      </c>
      <c r="BS19" t="s">
        <v>17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</row>
    <row r="20" spans="1:80" ht="13.95" customHeight="1" x14ac:dyDescent="0.25">
      <c r="A20" t="s">
        <v>63</v>
      </c>
      <c r="B20" s="2">
        <v>45306</v>
      </c>
      <c r="C20" s="2">
        <v>45677</v>
      </c>
      <c r="D20" s="2">
        <v>45736</v>
      </c>
      <c r="E20" t="s">
        <v>2</v>
      </c>
      <c r="F20" t="s">
        <v>47</v>
      </c>
      <c r="G20" t="s">
        <v>0</v>
      </c>
      <c r="H20" t="s">
        <v>4</v>
      </c>
      <c r="I20" t="s">
        <v>64</v>
      </c>
      <c r="J20" t="s">
        <v>6</v>
      </c>
      <c r="K20" t="s">
        <v>22</v>
      </c>
      <c r="L20" t="s">
        <v>27</v>
      </c>
      <c r="M20" t="s">
        <v>62</v>
      </c>
      <c r="N20" t="s">
        <v>10</v>
      </c>
      <c r="O20" t="s">
        <v>0</v>
      </c>
      <c r="P20" t="s">
        <v>11</v>
      </c>
      <c r="Q20" s="5">
        <v>15</v>
      </c>
      <c r="R20" s="4">
        <v>50000</v>
      </c>
      <c r="S20" s="5">
        <v>1</v>
      </c>
      <c r="T20" s="4">
        <v>750000</v>
      </c>
      <c r="U20" s="5">
        <v>0</v>
      </c>
      <c r="V20" s="4">
        <v>0</v>
      </c>
      <c r="W20" s="5">
        <v>0</v>
      </c>
      <c r="X20" s="4">
        <v>0</v>
      </c>
      <c r="Y20" s="4">
        <f t="shared" si="0"/>
        <v>750000</v>
      </c>
      <c r="Z20" s="6" t="s">
        <v>0</v>
      </c>
      <c r="AA20" t="s">
        <v>2</v>
      </c>
      <c r="AB20" t="s">
        <v>12</v>
      </c>
      <c r="AC20">
        <f>_xlfn.XLOOKUP(AB20,'[1]GST Codes'!$A:$A,'[1]GST Codes'!$C:$C,0,0)</f>
        <v>18</v>
      </c>
      <c r="AD20">
        <f t="shared" si="1"/>
        <v>885000</v>
      </c>
      <c r="AE20" t="s">
        <v>13</v>
      </c>
      <c r="AF20" t="s">
        <v>0</v>
      </c>
      <c r="AG20" t="s">
        <v>14</v>
      </c>
      <c r="AH20" t="s">
        <v>50</v>
      </c>
      <c r="AI20" t="s">
        <v>16</v>
      </c>
      <c r="AJ20" t="s">
        <v>17</v>
      </c>
      <c r="AK20" t="s">
        <v>18</v>
      </c>
      <c r="AL20" t="s">
        <v>19</v>
      </c>
      <c r="AM20" t="s">
        <v>64</v>
      </c>
      <c r="AN20" t="s">
        <v>0</v>
      </c>
      <c r="AO20" t="s">
        <v>20</v>
      </c>
      <c r="AP20" t="s">
        <v>0</v>
      </c>
      <c r="AQ20" s="5">
        <v>15</v>
      </c>
      <c r="AR20" t="s">
        <v>11</v>
      </c>
      <c r="AS20" t="s">
        <v>0</v>
      </c>
      <c r="AT20" t="s">
        <v>17</v>
      </c>
      <c r="AU20" s="4">
        <v>0</v>
      </c>
      <c r="AV20" s="4">
        <v>0</v>
      </c>
      <c r="AW20" s="4">
        <v>0</v>
      </c>
      <c r="AX20" s="4">
        <v>0</v>
      </c>
      <c r="AY20" s="5">
        <v>0</v>
      </c>
      <c r="AZ20" s="5">
        <v>0</v>
      </c>
      <c r="BA20" s="5">
        <v>0</v>
      </c>
      <c r="BB20" s="2"/>
      <c r="BC20" t="s">
        <v>0</v>
      </c>
      <c r="BD20" s="5">
        <v>1</v>
      </c>
      <c r="BE20" t="s">
        <v>0</v>
      </c>
      <c r="BF20" t="s">
        <v>66</v>
      </c>
      <c r="BG20" t="s">
        <v>17</v>
      </c>
      <c r="BH20" t="s">
        <v>0</v>
      </c>
      <c r="BI20" t="s">
        <v>11</v>
      </c>
      <c r="BJ20" t="s">
        <v>0</v>
      </c>
      <c r="BK20" t="s">
        <v>0</v>
      </c>
      <c r="BL20" s="5">
        <v>0</v>
      </c>
      <c r="BM20" t="s">
        <v>0</v>
      </c>
      <c r="BN20" t="s">
        <v>0</v>
      </c>
      <c r="BO20" t="s">
        <v>0</v>
      </c>
      <c r="BP20" t="s">
        <v>17</v>
      </c>
      <c r="BQ20" t="s">
        <v>0</v>
      </c>
      <c r="BR20" t="s">
        <v>17</v>
      </c>
      <c r="BS20" t="s">
        <v>17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</row>
    <row r="21" spans="1:80" ht="13.95" customHeight="1" x14ac:dyDescent="0.25">
      <c r="A21" t="s">
        <v>63</v>
      </c>
      <c r="B21" s="2">
        <v>45306</v>
      </c>
      <c r="C21" s="2">
        <v>45677</v>
      </c>
      <c r="D21" s="2">
        <v>45736</v>
      </c>
      <c r="E21" t="s">
        <v>2</v>
      </c>
      <c r="F21" t="s">
        <v>47</v>
      </c>
      <c r="G21" t="s">
        <v>0</v>
      </c>
      <c r="H21" t="s">
        <v>4</v>
      </c>
      <c r="I21" t="s">
        <v>64</v>
      </c>
      <c r="J21" t="s">
        <v>6</v>
      </c>
      <c r="K21" t="s">
        <v>26</v>
      </c>
      <c r="L21" t="s">
        <v>31</v>
      </c>
      <c r="M21" t="s">
        <v>67</v>
      </c>
      <c r="N21" t="s">
        <v>10</v>
      </c>
      <c r="O21" t="s">
        <v>0</v>
      </c>
      <c r="P21" t="s">
        <v>11</v>
      </c>
      <c r="Q21" s="5">
        <v>10</v>
      </c>
      <c r="R21" s="4">
        <v>50000</v>
      </c>
      <c r="S21" s="5">
        <v>1</v>
      </c>
      <c r="T21" s="4">
        <v>500000</v>
      </c>
      <c r="U21" s="5">
        <v>0</v>
      </c>
      <c r="V21" s="4">
        <v>0</v>
      </c>
      <c r="W21" s="5">
        <v>0</v>
      </c>
      <c r="X21" s="4">
        <v>0</v>
      </c>
      <c r="Y21" s="4">
        <f t="shared" si="0"/>
        <v>500000</v>
      </c>
      <c r="Z21" s="6" t="s">
        <v>0</v>
      </c>
      <c r="AA21" t="s">
        <v>2</v>
      </c>
      <c r="AB21" t="s">
        <v>12</v>
      </c>
      <c r="AC21">
        <f>_xlfn.XLOOKUP(AB21,'[1]GST Codes'!$A:$A,'[1]GST Codes'!$C:$C,0,0)</f>
        <v>18</v>
      </c>
      <c r="AD21">
        <f t="shared" si="1"/>
        <v>590000</v>
      </c>
      <c r="AE21" t="s">
        <v>13</v>
      </c>
      <c r="AF21" t="s">
        <v>0</v>
      </c>
      <c r="AG21" t="s">
        <v>14</v>
      </c>
      <c r="AH21" t="s">
        <v>50</v>
      </c>
      <c r="AI21" t="s">
        <v>16</v>
      </c>
      <c r="AJ21" t="s">
        <v>17</v>
      </c>
      <c r="AK21" t="s">
        <v>18</v>
      </c>
      <c r="AL21" t="s">
        <v>19</v>
      </c>
      <c r="AM21" t="s">
        <v>64</v>
      </c>
      <c r="AN21" t="s">
        <v>0</v>
      </c>
      <c r="AO21" t="s">
        <v>20</v>
      </c>
      <c r="AP21" t="s">
        <v>0</v>
      </c>
      <c r="AQ21" s="5">
        <v>10</v>
      </c>
      <c r="AR21" t="s">
        <v>11</v>
      </c>
      <c r="AS21" t="s">
        <v>0</v>
      </c>
      <c r="AT21" t="s">
        <v>17</v>
      </c>
      <c r="AU21" s="4">
        <v>0</v>
      </c>
      <c r="AV21" s="4">
        <v>0</v>
      </c>
      <c r="AW21" s="4">
        <v>0</v>
      </c>
      <c r="AX21" s="4">
        <v>0</v>
      </c>
      <c r="AY21" s="5">
        <v>0</v>
      </c>
      <c r="AZ21" s="5">
        <v>0</v>
      </c>
      <c r="BA21" s="5">
        <v>0</v>
      </c>
      <c r="BB21" s="2"/>
      <c r="BC21" t="s">
        <v>0</v>
      </c>
      <c r="BD21" s="5">
        <v>1</v>
      </c>
      <c r="BE21" t="s">
        <v>0</v>
      </c>
      <c r="BF21" t="s">
        <v>68</v>
      </c>
      <c r="BG21" t="s">
        <v>17</v>
      </c>
      <c r="BH21" t="s">
        <v>0</v>
      </c>
      <c r="BI21" t="s">
        <v>11</v>
      </c>
      <c r="BJ21" t="s">
        <v>0</v>
      </c>
      <c r="BK21" t="s">
        <v>0</v>
      </c>
      <c r="BL21" s="5">
        <v>0</v>
      </c>
      <c r="BM21" t="s">
        <v>0</v>
      </c>
      <c r="BN21" t="s">
        <v>0</v>
      </c>
      <c r="BO21" t="s">
        <v>0</v>
      </c>
      <c r="BP21" t="s">
        <v>17</v>
      </c>
      <c r="BQ21" t="s">
        <v>0</v>
      </c>
      <c r="BR21" t="s">
        <v>17</v>
      </c>
      <c r="BS21" t="s">
        <v>17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</row>
    <row r="22" spans="1:80" ht="13.95" customHeight="1" x14ac:dyDescent="0.25">
      <c r="A22" t="s">
        <v>69</v>
      </c>
      <c r="B22" s="2">
        <v>45336</v>
      </c>
      <c r="C22" s="2">
        <v>45677</v>
      </c>
      <c r="D22" s="2">
        <v>45736</v>
      </c>
      <c r="E22" t="s">
        <v>2</v>
      </c>
      <c r="F22" t="s">
        <v>47</v>
      </c>
      <c r="G22" t="s">
        <v>0</v>
      </c>
      <c r="H22" t="s">
        <v>4</v>
      </c>
      <c r="I22" t="s">
        <v>64</v>
      </c>
      <c r="J22" t="s">
        <v>6</v>
      </c>
      <c r="K22" t="s">
        <v>7</v>
      </c>
      <c r="L22" t="s">
        <v>70</v>
      </c>
      <c r="M22" t="s">
        <v>71</v>
      </c>
      <c r="N22" t="s">
        <v>10</v>
      </c>
      <c r="O22" t="s">
        <v>0</v>
      </c>
      <c r="P22" t="s">
        <v>11</v>
      </c>
      <c r="Q22" s="3">
        <v>1.2</v>
      </c>
      <c r="R22" s="4">
        <v>51400</v>
      </c>
      <c r="S22" s="5">
        <v>1</v>
      </c>
      <c r="T22" s="4">
        <v>61680</v>
      </c>
      <c r="U22" s="5">
        <v>0</v>
      </c>
      <c r="V22" s="4">
        <v>0</v>
      </c>
      <c r="W22" s="5">
        <v>0</v>
      </c>
      <c r="X22" s="4">
        <v>0</v>
      </c>
      <c r="Y22" s="4">
        <f t="shared" si="0"/>
        <v>61680</v>
      </c>
      <c r="Z22" s="6" t="s">
        <v>0</v>
      </c>
      <c r="AA22" t="s">
        <v>2</v>
      </c>
      <c r="AB22" t="s">
        <v>12</v>
      </c>
      <c r="AC22">
        <f>_xlfn.XLOOKUP(AB22,'[1]GST Codes'!$A:$A,'[1]GST Codes'!$C:$C,0,0)</f>
        <v>18</v>
      </c>
      <c r="AD22">
        <f t="shared" si="1"/>
        <v>72782.399999999994</v>
      </c>
      <c r="AE22" t="s">
        <v>13</v>
      </c>
      <c r="AF22" t="s">
        <v>0</v>
      </c>
      <c r="AG22" t="s">
        <v>14</v>
      </c>
      <c r="AH22" t="s">
        <v>50</v>
      </c>
      <c r="AI22" t="s">
        <v>16</v>
      </c>
      <c r="AJ22" t="s">
        <v>17</v>
      </c>
      <c r="AK22" t="s">
        <v>18</v>
      </c>
      <c r="AL22" t="s">
        <v>19</v>
      </c>
      <c r="AM22" t="s">
        <v>64</v>
      </c>
      <c r="AN22" t="s">
        <v>0</v>
      </c>
      <c r="AO22" t="s">
        <v>20</v>
      </c>
      <c r="AP22" t="s">
        <v>0</v>
      </c>
      <c r="AQ22" s="3">
        <v>1.2</v>
      </c>
      <c r="AR22" t="s">
        <v>11</v>
      </c>
      <c r="AS22" t="s">
        <v>0</v>
      </c>
      <c r="AT22" t="s">
        <v>17</v>
      </c>
      <c r="AU22" s="4">
        <v>0</v>
      </c>
      <c r="AV22" s="4">
        <v>0</v>
      </c>
      <c r="AW22" s="4">
        <v>0</v>
      </c>
      <c r="AX22" s="4">
        <v>0</v>
      </c>
      <c r="AY22" s="5">
        <v>0</v>
      </c>
      <c r="AZ22" s="5">
        <v>0</v>
      </c>
      <c r="BA22" s="5">
        <v>0</v>
      </c>
      <c r="BB22" s="2"/>
      <c r="BC22" t="s">
        <v>0</v>
      </c>
      <c r="BD22" s="5">
        <v>1</v>
      </c>
      <c r="BE22" t="s">
        <v>0</v>
      </c>
      <c r="BF22" t="s">
        <v>72</v>
      </c>
      <c r="BG22" t="s">
        <v>17</v>
      </c>
      <c r="BH22" t="s">
        <v>0</v>
      </c>
      <c r="BI22" t="s">
        <v>11</v>
      </c>
      <c r="BJ22" t="s">
        <v>0</v>
      </c>
      <c r="BK22" t="s">
        <v>0</v>
      </c>
      <c r="BL22" s="5">
        <v>0</v>
      </c>
      <c r="BM22" t="s">
        <v>0</v>
      </c>
      <c r="BN22" t="s">
        <v>0</v>
      </c>
      <c r="BO22" t="s">
        <v>0</v>
      </c>
      <c r="BP22" t="s">
        <v>17</v>
      </c>
      <c r="BQ22" t="s">
        <v>0</v>
      </c>
      <c r="BR22" t="s">
        <v>17</v>
      </c>
      <c r="BS22" t="s">
        <v>17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</row>
    <row r="23" spans="1:80" ht="13.95" customHeight="1" x14ac:dyDescent="0.25">
      <c r="A23" t="s">
        <v>69</v>
      </c>
      <c r="B23" s="2">
        <v>45336</v>
      </c>
      <c r="C23" s="2">
        <v>45677</v>
      </c>
      <c r="D23" s="2">
        <v>45736</v>
      </c>
      <c r="E23" t="s">
        <v>2</v>
      </c>
      <c r="F23" t="s">
        <v>47</v>
      </c>
      <c r="G23" t="s">
        <v>0</v>
      </c>
      <c r="H23" t="s">
        <v>4</v>
      </c>
      <c r="I23" t="s">
        <v>64</v>
      </c>
      <c r="J23" t="s">
        <v>6</v>
      </c>
      <c r="K23" t="s">
        <v>22</v>
      </c>
      <c r="L23" t="s">
        <v>35</v>
      </c>
      <c r="M23" t="s">
        <v>36</v>
      </c>
      <c r="N23" t="s">
        <v>10</v>
      </c>
      <c r="O23" t="s">
        <v>0</v>
      </c>
      <c r="P23" t="s">
        <v>11</v>
      </c>
      <c r="Q23" s="5">
        <v>10</v>
      </c>
      <c r="R23" s="4">
        <v>50400</v>
      </c>
      <c r="S23" s="5">
        <v>1</v>
      </c>
      <c r="T23" s="4">
        <v>504000</v>
      </c>
      <c r="U23" s="5">
        <v>0</v>
      </c>
      <c r="V23" s="4">
        <v>0</v>
      </c>
      <c r="W23" s="5">
        <v>0</v>
      </c>
      <c r="X23" s="4">
        <v>0</v>
      </c>
      <c r="Y23" s="4">
        <f t="shared" si="0"/>
        <v>504000</v>
      </c>
      <c r="Z23" s="6" t="s">
        <v>0</v>
      </c>
      <c r="AA23" t="s">
        <v>2</v>
      </c>
      <c r="AB23" t="s">
        <v>12</v>
      </c>
      <c r="AC23">
        <f>_xlfn.XLOOKUP(AB23,'[1]GST Codes'!$A:$A,'[1]GST Codes'!$C:$C,0,0)</f>
        <v>18</v>
      </c>
      <c r="AD23">
        <f t="shared" si="1"/>
        <v>594720</v>
      </c>
      <c r="AE23" t="s">
        <v>13</v>
      </c>
      <c r="AF23" t="s">
        <v>0</v>
      </c>
      <c r="AG23" t="s">
        <v>14</v>
      </c>
      <c r="AH23" t="s">
        <v>50</v>
      </c>
      <c r="AI23" t="s">
        <v>16</v>
      </c>
      <c r="AJ23" t="s">
        <v>17</v>
      </c>
      <c r="AK23" t="s">
        <v>18</v>
      </c>
      <c r="AL23" t="s">
        <v>19</v>
      </c>
      <c r="AM23" t="s">
        <v>64</v>
      </c>
      <c r="AN23" t="s">
        <v>0</v>
      </c>
      <c r="AO23" t="s">
        <v>20</v>
      </c>
      <c r="AP23" t="s">
        <v>0</v>
      </c>
      <c r="AQ23" s="5">
        <v>10</v>
      </c>
      <c r="AR23" t="s">
        <v>11</v>
      </c>
      <c r="AS23" t="s">
        <v>0</v>
      </c>
      <c r="AT23" t="s">
        <v>17</v>
      </c>
      <c r="AU23" s="4">
        <v>0</v>
      </c>
      <c r="AV23" s="4">
        <v>0</v>
      </c>
      <c r="AW23" s="4">
        <v>0</v>
      </c>
      <c r="AX23" s="4">
        <v>0</v>
      </c>
      <c r="AY23" s="5">
        <v>0</v>
      </c>
      <c r="AZ23" s="5">
        <v>0</v>
      </c>
      <c r="BA23" s="5">
        <v>0</v>
      </c>
      <c r="BB23" s="2"/>
      <c r="BC23" t="s">
        <v>0</v>
      </c>
      <c r="BD23" s="5">
        <v>1</v>
      </c>
      <c r="BE23" t="s">
        <v>0</v>
      </c>
      <c r="BF23" t="s">
        <v>73</v>
      </c>
      <c r="BG23" t="s">
        <v>17</v>
      </c>
      <c r="BH23" t="s">
        <v>0</v>
      </c>
      <c r="BI23" t="s">
        <v>11</v>
      </c>
      <c r="BJ23" t="s">
        <v>0</v>
      </c>
      <c r="BK23" t="s">
        <v>0</v>
      </c>
      <c r="BL23" s="5">
        <v>0</v>
      </c>
      <c r="BM23" t="s">
        <v>0</v>
      </c>
      <c r="BN23" t="s">
        <v>0</v>
      </c>
      <c r="BO23" t="s">
        <v>0</v>
      </c>
      <c r="BP23" t="s">
        <v>17</v>
      </c>
      <c r="BQ23" t="s">
        <v>0</v>
      </c>
      <c r="BR23" t="s">
        <v>17</v>
      </c>
      <c r="BS23" t="s">
        <v>17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</row>
    <row r="24" spans="1:80" ht="13.95" customHeight="1" x14ac:dyDescent="0.25">
      <c r="A24" t="s">
        <v>69</v>
      </c>
      <c r="B24" s="2">
        <v>45336</v>
      </c>
      <c r="C24" s="2">
        <v>45677</v>
      </c>
      <c r="D24" s="2">
        <v>45736</v>
      </c>
      <c r="E24" t="s">
        <v>2</v>
      </c>
      <c r="F24" t="s">
        <v>47</v>
      </c>
      <c r="G24" t="s">
        <v>0</v>
      </c>
      <c r="H24" t="s">
        <v>4</v>
      </c>
      <c r="I24" t="s">
        <v>64</v>
      </c>
      <c r="J24" t="s">
        <v>6</v>
      </c>
      <c r="K24" t="s">
        <v>26</v>
      </c>
      <c r="L24" t="s">
        <v>74</v>
      </c>
      <c r="M24" t="s">
        <v>75</v>
      </c>
      <c r="N24" t="s">
        <v>10</v>
      </c>
      <c r="O24" t="s">
        <v>0</v>
      </c>
      <c r="P24" t="s">
        <v>11</v>
      </c>
      <c r="Q24" s="5">
        <v>15</v>
      </c>
      <c r="R24" s="4">
        <v>48400</v>
      </c>
      <c r="S24" s="5">
        <v>1</v>
      </c>
      <c r="T24" s="4">
        <v>726000</v>
      </c>
      <c r="U24" s="5">
        <v>0</v>
      </c>
      <c r="V24" s="4">
        <v>0</v>
      </c>
      <c r="W24" s="5">
        <v>0</v>
      </c>
      <c r="X24" s="4">
        <v>0</v>
      </c>
      <c r="Y24" s="4">
        <f t="shared" si="0"/>
        <v>726000</v>
      </c>
      <c r="Z24" s="6" t="s">
        <v>0</v>
      </c>
      <c r="AA24" t="s">
        <v>2</v>
      </c>
      <c r="AB24" t="s">
        <v>12</v>
      </c>
      <c r="AC24">
        <f>_xlfn.XLOOKUP(AB24,'[1]GST Codes'!$A:$A,'[1]GST Codes'!$C:$C,0,0)</f>
        <v>18</v>
      </c>
      <c r="AD24">
        <f t="shared" si="1"/>
        <v>856680</v>
      </c>
      <c r="AE24" t="s">
        <v>13</v>
      </c>
      <c r="AF24" t="s">
        <v>0</v>
      </c>
      <c r="AG24" t="s">
        <v>14</v>
      </c>
      <c r="AH24" t="s">
        <v>50</v>
      </c>
      <c r="AI24" t="s">
        <v>16</v>
      </c>
      <c r="AJ24" t="s">
        <v>17</v>
      </c>
      <c r="AK24" t="s">
        <v>18</v>
      </c>
      <c r="AL24" t="s">
        <v>19</v>
      </c>
      <c r="AM24" t="s">
        <v>64</v>
      </c>
      <c r="AN24" t="s">
        <v>0</v>
      </c>
      <c r="AO24" t="s">
        <v>20</v>
      </c>
      <c r="AP24" t="s">
        <v>0</v>
      </c>
      <c r="AQ24" s="5">
        <v>15</v>
      </c>
      <c r="AR24" t="s">
        <v>11</v>
      </c>
      <c r="AS24" t="s">
        <v>0</v>
      </c>
      <c r="AT24" t="s">
        <v>17</v>
      </c>
      <c r="AU24" s="4">
        <v>0</v>
      </c>
      <c r="AV24" s="4">
        <v>0</v>
      </c>
      <c r="AW24" s="4">
        <v>0</v>
      </c>
      <c r="AX24" s="4">
        <v>0</v>
      </c>
      <c r="AY24" s="5">
        <v>0</v>
      </c>
      <c r="AZ24" s="5">
        <v>0</v>
      </c>
      <c r="BA24" s="5">
        <v>0</v>
      </c>
      <c r="BB24" s="2"/>
      <c r="BC24" t="s">
        <v>0</v>
      </c>
      <c r="BD24" s="5">
        <v>1</v>
      </c>
      <c r="BE24" t="s">
        <v>0</v>
      </c>
      <c r="BF24" t="s">
        <v>76</v>
      </c>
      <c r="BG24" t="s">
        <v>17</v>
      </c>
      <c r="BH24" t="s">
        <v>0</v>
      </c>
      <c r="BI24" t="s">
        <v>11</v>
      </c>
      <c r="BJ24" t="s">
        <v>0</v>
      </c>
      <c r="BK24" t="s">
        <v>0</v>
      </c>
      <c r="BL24" s="5">
        <v>0</v>
      </c>
      <c r="BM24" t="s">
        <v>0</v>
      </c>
      <c r="BN24" t="s">
        <v>0</v>
      </c>
      <c r="BO24" t="s">
        <v>0</v>
      </c>
      <c r="BP24" t="s">
        <v>17</v>
      </c>
      <c r="BQ24" t="s">
        <v>0</v>
      </c>
      <c r="BR24" t="s">
        <v>17</v>
      </c>
      <c r="BS24" t="s">
        <v>17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</row>
    <row r="25" spans="1:80" ht="13.95" customHeight="1" x14ac:dyDescent="0.25">
      <c r="A25" t="s">
        <v>69</v>
      </c>
      <c r="B25" s="2">
        <v>45336</v>
      </c>
      <c r="C25" s="2">
        <v>45677</v>
      </c>
      <c r="D25" s="2">
        <v>45736</v>
      </c>
      <c r="E25" t="s">
        <v>2</v>
      </c>
      <c r="F25" t="s">
        <v>47</v>
      </c>
      <c r="G25" t="s">
        <v>0</v>
      </c>
      <c r="H25" t="s">
        <v>4</v>
      </c>
      <c r="I25" t="s">
        <v>64</v>
      </c>
      <c r="J25" t="s">
        <v>6</v>
      </c>
      <c r="K25" t="s">
        <v>30</v>
      </c>
      <c r="L25" t="s">
        <v>39</v>
      </c>
      <c r="M25" t="s">
        <v>40</v>
      </c>
      <c r="N25" t="s">
        <v>10</v>
      </c>
      <c r="O25" t="s">
        <v>0</v>
      </c>
      <c r="P25" t="s">
        <v>11</v>
      </c>
      <c r="Q25" s="5">
        <v>31</v>
      </c>
      <c r="R25" s="4">
        <v>49400</v>
      </c>
      <c r="S25" s="5">
        <v>1</v>
      </c>
      <c r="T25" s="4">
        <v>1531400</v>
      </c>
      <c r="U25" s="5">
        <v>0</v>
      </c>
      <c r="V25" s="4">
        <v>0</v>
      </c>
      <c r="W25" s="5">
        <v>0</v>
      </c>
      <c r="X25" s="4">
        <v>0</v>
      </c>
      <c r="Y25" s="4">
        <f t="shared" si="0"/>
        <v>1531400</v>
      </c>
      <c r="Z25" s="6" t="s">
        <v>0</v>
      </c>
      <c r="AA25" t="s">
        <v>2</v>
      </c>
      <c r="AB25" t="s">
        <v>12</v>
      </c>
      <c r="AC25">
        <f>_xlfn.XLOOKUP(AB25,'[1]GST Codes'!$A:$A,'[1]GST Codes'!$C:$C,0,0)</f>
        <v>18</v>
      </c>
      <c r="AD25">
        <f t="shared" si="1"/>
        <v>1807052</v>
      </c>
      <c r="AE25" t="s">
        <v>13</v>
      </c>
      <c r="AF25" t="s">
        <v>0</v>
      </c>
      <c r="AG25" t="s">
        <v>14</v>
      </c>
      <c r="AH25" t="s">
        <v>50</v>
      </c>
      <c r="AI25" t="s">
        <v>16</v>
      </c>
      <c r="AJ25" t="s">
        <v>17</v>
      </c>
      <c r="AK25" t="s">
        <v>18</v>
      </c>
      <c r="AL25" t="s">
        <v>19</v>
      </c>
      <c r="AM25" t="s">
        <v>64</v>
      </c>
      <c r="AN25" t="s">
        <v>0</v>
      </c>
      <c r="AO25" t="s">
        <v>20</v>
      </c>
      <c r="AP25" t="s">
        <v>0</v>
      </c>
      <c r="AQ25" s="5">
        <v>31</v>
      </c>
      <c r="AR25" t="s">
        <v>11</v>
      </c>
      <c r="AS25" t="s">
        <v>0</v>
      </c>
      <c r="AT25" t="s">
        <v>17</v>
      </c>
      <c r="AU25" s="4">
        <v>0</v>
      </c>
      <c r="AV25" s="4">
        <v>0</v>
      </c>
      <c r="AW25" s="4">
        <v>0</v>
      </c>
      <c r="AX25" s="4">
        <v>0</v>
      </c>
      <c r="AY25" s="5">
        <v>0</v>
      </c>
      <c r="AZ25" s="5">
        <v>0</v>
      </c>
      <c r="BA25" s="5">
        <v>0</v>
      </c>
      <c r="BB25" s="2"/>
      <c r="BC25" t="s">
        <v>0</v>
      </c>
      <c r="BD25" s="5">
        <v>1</v>
      </c>
      <c r="BE25" t="s">
        <v>0</v>
      </c>
      <c r="BF25" t="s">
        <v>77</v>
      </c>
      <c r="BG25" t="s">
        <v>17</v>
      </c>
      <c r="BH25" t="s">
        <v>0</v>
      </c>
      <c r="BI25" t="s">
        <v>11</v>
      </c>
      <c r="BJ25" t="s">
        <v>0</v>
      </c>
      <c r="BK25" t="s">
        <v>0</v>
      </c>
      <c r="BL25" s="5">
        <v>0</v>
      </c>
      <c r="BM25" t="s">
        <v>0</v>
      </c>
      <c r="BN25" t="s">
        <v>0</v>
      </c>
      <c r="BO25" t="s">
        <v>0</v>
      </c>
      <c r="BP25" t="s">
        <v>17</v>
      </c>
      <c r="BQ25" t="s">
        <v>0</v>
      </c>
      <c r="BR25" t="s">
        <v>17</v>
      </c>
      <c r="BS25" t="s">
        <v>17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</row>
    <row r="26" spans="1:80" ht="13.95" customHeight="1" x14ac:dyDescent="0.25">
      <c r="A26" t="s">
        <v>69</v>
      </c>
      <c r="B26" s="2">
        <v>45336</v>
      </c>
      <c r="C26" s="2">
        <v>45677</v>
      </c>
      <c r="D26" s="2">
        <v>45736</v>
      </c>
      <c r="E26" t="s">
        <v>2</v>
      </c>
      <c r="F26" t="s">
        <v>47</v>
      </c>
      <c r="G26" t="s">
        <v>0</v>
      </c>
      <c r="H26" t="s">
        <v>4</v>
      </c>
      <c r="I26" t="s">
        <v>64</v>
      </c>
      <c r="J26" t="s">
        <v>6</v>
      </c>
      <c r="K26" t="s">
        <v>34</v>
      </c>
      <c r="L26" t="s">
        <v>43</v>
      </c>
      <c r="M26" t="s">
        <v>44</v>
      </c>
      <c r="N26" t="s">
        <v>10</v>
      </c>
      <c r="O26" t="s">
        <v>0</v>
      </c>
      <c r="P26" t="s">
        <v>11</v>
      </c>
      <c r="Q26" s="5">
        <v>18</v>
      </c>
      <c r="R26" s="4">
        <v>49400</v>
      </c>
      <c r="S26" s="5">
        <v>1</v>
      </c>
      <c r="T26" s="4">
        <v>889200</v>
      </c>
      <c r="U26" s="5">
        <v>0</v>
      </c>
      <c r="V26" s="4">
        <v>0</v>
      </c>
      <c r="W26" s="5">
        <v>0</v>
      </c>
      <c r="X26" s="4">
        <v>0</v>
      </c>
      <c r="Y26" s="4">
        <f t="shared" si="0"/>
        <v>889200</v>
      </c>
      <c r="Z26" s="6" t="s">
        <v>0</v>
      </c>
      <c r="AA26" t="s">
        <v>2</v>
      </c>
      <c r="AB26" t="s">
        <v>12</v>
      </c>
      <c r="AC26">
        <f>_xlfn.XLOOKUP(AB26,'[1]GST Codes'!$A:$A,'[1]GST Codes'!$C:$C,0,0)</f>
        <v>18</v>
      </c>
      <c r="AD26">
        <f t="shared" si="1"/>
        <v>1049256</v>
      </c>
      <c r="AE26" t="s">
        <v>13</v>
      </c>
      <c r="AF26" t="s">
        <v>0</v>
      </c>
      <c r="AG26" t="s">
        <v>14</v>
      </c>
      <c r="AH26" t="s">
        <v>50</v>
      </c>
      <c r="AI26" t="s">
        <v>16</v>
      </c>
      <c r="AJ26" t="s">
        <v>17</v>
      </c>
      <c r="AK26" t="s">
        <v>18</v>
      </c>
      <c r="AL26" t="s">
        <v>19</v>
      </c>
      <c r="AM26" t="s">
        <v>64</v>
      </c>
      <c r="AN26" t="s">
        <v>0</v>
      </c>
      <c r="AO26" t="s">
        <v>20</v>
      </c>
      <c r="AP26" t="s">
        <v>0</v>
      </c>
      <c r="AQ26" s="5">
        <v>18</v>
      </c>
      <c r="AR26" t="s">
        <v>11</v>
      </c>
      <c r="AS26" t="s">
        <v>0</v>
      </c>
      <c r="AT26" t="s">
        <v>17</v>
      </c>
      <c r="AU26" s="4">
        <v>0</v>
      </c>
      <c r="AV26" s="4">
        <v>0</v>
      </c>
      <c r="AW26" s="4">
        <v>0</v>
      </c>
      <c r="AX26" s="4">
        <v>0</v>
      </c>
      <c r="AY26" s="5">
        <v>0</v>
      </c>
      <c r="AZ26" s="5">
        <v>0</v>
      </c>
      <c r="BA26" s="5">
        <v>0</v>
      </c>
      <c r="BB26" s="2"/>
      <c r="BC26" t="s">
        <v>0</v>
      </c>
      <c r="BD26" s="5">
        <v>1</v>
      </c>
      <c r="BE26" t="s">
        <v>0</v>
      </c>
      <c r="BF26" t="s">
        <v>78</v>
      </c>
      <c r="BG26" t="s">
        <v>17</v>
      </c>
      <c r="BH26" t="s">
        <v>0</v>
      </c>
      <c r="BI26" t="s">
        <v>11</v>
      </c>
      <c r="BJ26" t="s">
        <v>0</v>
      </c>
      <c r="BK26" t="s">
        <v>0</v>
      </c>
      <c r="BL26" s="5">
        <v>0</v>
      </c>
      <c r="BM26" t="s">
        <v>0</v>
      </c>
      <c r="BN26" t="s">
        <v>0</v>
      </c>
      <c r="BO26" t="s">
        <v>0</v>
      </c>
      <c r="BP26" t="s">
        <v>17</v>
      </c>
      <c r="BQ26" t="s">
        <v>0</v>
      </c>
      <c r="BR26" t="s">
        <v>17</v>
      </c>
      <c r="BS26" t="s">
        <v>17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</row>
    <row r="27" spans="1:80" ht="13.95" customHeight="1" x14ac:dyDescent="0.25">
      <c r="A27" t="s">
        <v>79</v>
      </c>
      <c r="B27" s="2">
        <v>45366</v>
      </c>
      <c r="C27" s="2">
        <v>45677</v>
      </c>
      <c r="D27" s="2">
        <v>45736</v>
      </c>
      <c r="E27" t="s">
        <v>2</v>
      </c>
      <c r="F27" t="s">
        <v>47</v>
      </c>
      <c r="G27" t="s">
        <v>0</v>
      </c>
      <c r="H27" t="s">
        <v>4</v>
      </c>
      <c r="I27" t="s">
        <v>64</v>
      </c>
      <c r="J27" t="s">
        <v>6</v>
      </c>
      <c r="K27" t="s">
        <v>7</v>
      </c>
      <c r="L27" t="s">
        <v>70</v>
      </c>
      <c r="M27" t="s">
        <v>71</v>
      </c>
      <c r="N27" t="s">
        <v>10</v>
      </c>
      <c r="O27" t="s">
        <v>0</v>
      </c>
      <c r="P27" t="s">
        <v>11</v>
      </c>
      <c r="Q27" s="5">
        <v>2</v>
      </c>
      <c r="R27" s="4">
        <v>51200</v>
      </c>
      <c r="S27" s="5">
        <v>1</v>
      </c>
      <c r="T27" s="4">
        <v>102400</v>
      </c>
      <c r="U27" s="5">
        <v>0</v>
      </c>
      <c r="V27" s="4">
        <v>0</v>
      </c>
      <c r="W27" s="5">
        <v>0</v>
      </c>
      <c r="X27" s="4">
        <v>0</v>
      </c>
      <c r="Y27" s="4">
        <f t="shared" si="0"/>
        <v>102400</v>
      </c>
      <c r="Z27" s="6" t="s">
        <v>0</v>
      </c>
      <c r="AA27" t="s">
        <v>2</v>
      </c>
      <c r="AB27" t="s">
        <v>12</v>
      </c>
      <c r="AC27">
        <f>_xlfn.XLOOKUP(AB27,'[1]GST Codes'!$A:$A,'[1]GST Codes'!$C:$C,0,0)</f>
        <v>18</v>
      </c>
      <c r="AD27">
        <f t="shared" si="1"/>
        <v>120832</v>
      </c>
      <c r="AE27" t="s">
        <v>13</v>
      </c>
      <c r="AF27" t="s">
        <v>80</v>
      </c>
      <c r="AG27" t="s">
        <v>14</v>
      </c>
      <c r="AH27" t="s">
        <v>15</v>
      </c>
      <c r="AI27" t="s">
        <v>16</v>
      </c>
      <c r="AJ27" t="s">
        <v>17</v>
      </c>
      <c r="AK27" t="s">
        <v>18</v>
      </c>
      <c r="AL27" t="s">
        <v>19</v>
      </c>
      <c r="AM27" t="s">
        <v>64</v>
      </c>
      <c r="AN27" t="s">
        <v>0</v>
      </c>
      <c r="AO27" t="s">
        <v>20</v>
      </c>
      <c r="AP27" t="s">
        <v>0</v>
      </c>
      <c r="AQ27" s="5">
        <v>2</v>
      </c>
      <c r="AR27" t="s">
        <v>11</v>
      </c>
      <c r="AS27" t="s">
        <v>0</v>
      </c>
      <c r="AT27" t="s">
        <v>17</v>
      </c>
      <c r="AU27" s="4">
        <v>0</v>
      </c>
      <c r="AV27" s="4">
        <v>0</v>
      </c>
      <c r="AW27" s="4">
        <v>0</v>
      </c>
      <c r="AX27" s="4">
        <v>0</v>
      </c>
      <c r="AY27" s="5">
        <v>0</v>
      </c>
      <c r="AZ27" s="5">
        <v>0</v>
      </c>
      <c r="BA27" s="5">
        <v>0</v>
      </c>
      <c r="BB27" s="2"/>
      <c r="BC27" t="s">
        <v>0</v>
      </c>
      <c r="BD27" s="5">
        <v>1</v>
      </c>
      <c r="BE27" t="s">
        <v>0</v>
      </c>
      <c r="BF27" t="s">
        <v>72</v>
      </c>
      <c r="BG27" t="s">
        <v>17</v>
      </c>
      <c r="BH27" t="s">
        <v>0</v>
      </c>
      <c r="BI27" t="s">
        <v>11</v>
      </c>
      <c r="BJ27" t="s">
        <v>0</v>
      </c>
      <c r="BK27" t="s">
        <v>0</v>
      </c>
      <c r="BL27" s="5">
        <v>0</v>
      </c>
      <c r="BM27" t="s">
        <v>0</v>
      </c>
      <c r="BN27" t="s">
        <v>0</v>
      </c>
      <c r="BO27" t="s">
        <v>0</v>
      </c>
      <c r="BP27" t="s">
        <v>17</v>
      </c>
      <c r="BQ27" t="s">
        <v>0</v>
      </c>
      <c r="BR27" t="s">
        <v>17</v>
      </c>
      <c r="BS27" t="s">
        <v>17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</row>
    <row r="28" spans="1:80" ht="13.95" customHeight="1" x14ac:dyDescent="0.25">
      <c r="A28" t="s">
        <v>79</v>
      </c>
      <c r="B28" s="2">
        <v>45366</v>
      </c>
      <c r="C28" s="2">
        <v>45677</v>
      </c>
      <c r="D28" s="2">
        <v>45736</v>
      </c>
      <c r="E28" t="s">
        <v>2</v>
      </c>
      <c r="F28" t="s">
        <v>47</v>
      </c>
      <c r="G28" t="s">
        <v>0</v>
      </c>
      <c r="H28" t="s">
        <v>4</v>
      </c>
      <c r="I28" t="s">
        <v>64</v>
      </c>
      <c r="J28" t="s">
        <v>6</v>
      </c>
      <c r="K28" t="s">
        <v>22</v>
      </c>
      <c r="L28" t="s">
        <v>35</v>
      </c>
      <c r="M28" t="s">
        <v>36</v>
      </c>
      <c r="N28" t="s">
        <v>10</v>
      </c>
      <c r="O28" t="s">
        <v>0</v>
      </c>
      <c r="P28" t="s">
        <v>11</v>
      </c>
      <c r="Q28" s="5">
        <v>16</v>
      </c>
      <c r="R28" s="4">
        <v>50200</v>
      </c>
      <c r="S28" s="5">
        <v>1</v>
      </c>
      <c r="T28" s="4">
        <v>803200</v>
      </c>
      <c r="U28" s="5">
        <v>0</v>
      </c>
      <c r="V28" s="4">
        <v>0</v>
      </c>
      <c r="W28" s="5">
        <v>0</v>
      </c>
      <c r="X28" s="4">
        <v>0</v>
      </c>
      <c r="Y28" s="4">
        <f t="shared" si="0"/>
        <v>803200</v>
      </c>
      <c r="Z28" s="6" t="s">
        <v>0</v>
      </c>
      <c r="AA28" t="s">
        <v>2</v>
      </c>
      <c r="AB28" t="s">
        <v>12</v>
      </c>
      <c r="AC28">
        <f>_xlfn.XLOOKUP(AB28,'[1]GST Codes'!$A:$A,'[1]GST Codes'!$C:$C,0,0)</f>
        <v>18</v>
      </c>
      <c r="AD28">
        <f t="shared" si="1"/>
        <v>947776</v>
      </c>
      <c r="AE28" t="s">
        <v>13</v>
      </c>
      <c r="AF28" t="s">
        <v>80</v>
      </c>
      <c r="AG28" t="s">
        <v>14</v>
      </c>
      <c r="AH28" t="s">
        <v>15</v>
      </c>
      <c r="AI28" t="s">
        <v>16</v>
      </c>
      <c r="AJ28" t="s">
        <v>17</v>
      </c>
      <c r="AK28" t="s">
        <v>18</v>
      </c>
      <c r="AL28" t="s">
        <v>19</v>
      </c>
      <c r="AM28" t="s">
        <v>64</v>
      </c>
      <c r="AN28" t="s">
        <v>0</v>
      </c>
      <c r="AO28" t="s">
        <v>20</v>
      </c>
      <c r="AP28" t="s">
        <v>0</v>
      </c>
      <c r="AQ28" s="5">
        <v>16</v>
      </c>
      <c r="AR28" t="s">
        <v>11</v>
      </c>
      <c r="AS28" t="s">
        <v>0</v>
      </c>
      <c r="AT28" t="s">
        <v>17</v>
      </c>
      <c r="AU28" s="4">
        <v>0</v>
      </c>
      <c r="AV28" s="4">
        <v>0</v>
      </c>
      <c r="AW28" s="4">
        <v>0</v>
      </c>
      <c r="AX28" s="4">
        <v>0</v>
      </c>
      <c r="AY28" s="5">
        <v>0</v>
      </c>
      <c r="AZ28" s="5">
        <v>0</v>
      </c>
      <c r="BA28" s="5">
        <v>0</v>
      </c>
      <c r="BB28" s="2"/>
      <c r="BC28" t="s">
        <v>0</v>
      </c>
      <c r="BD28" s="5">
        <v>1</v>
      </c>
      <c r="BE28" t="s">
        <v>0</v>
      </c>
      <c r="BF28" t="s">
        <v>73</v>
      </c>
      <c r="BG28" t="s">
        <v>17</v>
      </c>
      <c r="BH28" t="s">
        <v>0</v>
      </c>
      <c r="BI28" t="s">
        <v>11</v>
      </c>
      <c r="BJ28" t="s">
        <v>0</v>
      </c>
      <c r="BK28" t="s">
        <v>0</v>
      </c>
      <c r="BL28" s="5">
        <v>0</v>
      </c>
      <c r="BM28" t="s">
        <v>0</v>
      </c>
      <c r="BN28" t="s">
        <v>0</v>
      </c>
      <c r="BO28" t="s">
        <v>0</v>
      </c>
      <c r="BP28" t="s">
        <v>17</v>
      </c>
      <c r="BQ28" t="s">
        <v>0</v>
      </c>
      <c r="BR28" t="s">
        <v>17</v>
      </c>
      <c r="BS28" t="s">
        <v>17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</row>
    <row r="29" spans="1:80" ht="13.95" customHeight="1" x14ac:dyDescent="0.25">
      <c r="A29" t="s">
        <v>79</v>
      </c>
      <c r="B29" s="2">
        <v>45366</v>
      </c>
      <c r="C29" s="2">
        <v>45677</v>
      </c>
      <c r="D29" s="2">
        <v>45736</v>
      </c>
      <c r="E29" t="s">
        <v>2</v>
      </c>
      <c r="F29" t="s">
        <v>47</v>
      </c>
      <c r="G29" t="s">
        <v>0</v>
      </c>
      <c r="H29" t="s">
        <v>4</v>
      </c>
      <c r="I29" t="s">
        <v>64</v>
      </c>
      <c r="J29" t="s">
        <v>6</v>
      </c>
      <c r="K29" t="s">
        <v>26</v>
      </c>
      <c r="L29" t="s">
        <v>74</v>
      </c>
      <c r="M29" t="s">
        <v>75</v>
      </c>
      <c r="N29" t="s">
        <v>10</v>
      </c>
      <c r="O29" t="s">
        <v>0</v>
      </c>
      <c r="P29" t="s">
        <v>11</v>
      </c>
      <c r="Q29" s="3">
        <v>70.290000000000006</v>
      </c>
      <c r="R29" s="4">
        <v>48200</v>
      </c>
      <c r="S29" s="5">
        <v>1</v>
      </c>
      <c r="T29" s="4">
        <v>3387978</v>
      </c>
      <c r="U29" s="5">
        <v>0</v>
      </c>
      <c r="V29" s="4">
        <v>0</v>
      </c>
      <c r="W29" s="5">
        <v>0</v>
      </c>
      <c r="X29" s="4">
        <v>0</v>
      </c>
      <c r="Y29" s="4">
        <f t="shared" si="0"/>
        <v>3387978</v>
      </c>
      <c r="Z29" s="6" t="s">
        <v>0</v>
      </c>
      <c r="AA29" t="s">
        <v>2</v>
      </c>
      <c r="AB29" t="s">
        <v>12</v>
      </c>
      <c r="AC29">
        <f>_xlfn.XLOOKUP(AB29,'[1]GST Codes'!$A:$A,'[1]GST Codes'!$C:$C,0,0)</f>
        <v>18</v>
      </c>
      <c r="AD29">
        <f t="shared" si="1"/>
        <v>3997814.04</v>
      </c>
      <c r="AE29" t="s">
        <v>13</v>
      </c>
      <c r="AF29" t="s">
        <v>80</v>
      </c>
      <c r="AG29" t="s">
        <v>14</v>
      </c>
      <c r="AH29" t="s">
        <v>15</v>
      </c>
      <c r="AI29" t="s">
        <v>16</v>
      </c>
      <c r="AJ29" t="s">
        <v>17</v>
      </c>
      <c r="AK29" t="s">
        <v>18</v>
      </c>
      <c r="AL29" t="s">
        <v>19</v>
      </c>
      <c r="AM29" t="s">
        <v>64</v>
      </c>
      <c r="AN29" t="s">
        <v>0</v>
      </c>
      <c r="AO29" t="s">
        <v>20</v>
      </c>
      <c r="AP29" t="s">
        <v>0</v>
      </c>
      <c r="AQ29" s="3">
        <v>70.290000000000006</v>
      </c>
      <c r="AR29" t="s">
        <v>11</v>
      </c>
      <c r="AS29" t="s">
        <v>0</v>
      </c>
      <c r="AT29" t="s">
        <v>17</v>
      </c>
      <c r="AU29" s="4">
        <v>0</v>
      </c>
      <c r="AV29" s="4">
        <v>0</v>
      </c>
      <c r="AW29" s="4">
        <v>0</v>
      </c>
      <c r="AX29" s="4">
        <v>0</v>
      </c>
      <c r="AY29" s="5">
        <v>0</v>
      </c>
      <c r="AZ29" s="5">
        <v>0</v>
      </c>
      <c r="BA29" s="5">
        <v>0</v>
      </c>
      <c r="BB29" s="2"/>
      <c r="BC29" t="s">
        <v>0</v>
      </c>
      <c r="BD29" s="5">
        <v>1</v>
      </c>
      <c r="BE29" t="s">
        <v>0</v>
      </c>
      <c r="BF29" t="s">
        <v>76</v>
      </c>
      <c r="BG29" t="s">
        <v>17</v>
      </c>
      <c r="BH29" t="s">
        <v>0</v>
      </c>
      <c r="BI29" t="s">
        <v>11</v>
      </c>
      <c r="BJ29" t="s">
        <v>0</v>
      </c>
      <c r="BK29" t="s">
        <v>0</v>
      </c>
      <c r="BL29" s="5">
        <v>0</v>
      </c>
      <c r="BM29" t="s">
        <v>0</v>
      </c>
      <c r="BN29" t="s">
        <v>0</v>
      </c>
      <c r="BO29" t="s">
        <v>0</v>
      </c>
      <c r="BP29" t="s">
        <v>17</v>
      </c>
      <c r="BQ29" t="s">
        <v>0</v>
      </c>
      <c r="BR29" t="s">
        <v>17</v>
      </c>
      <c r="BS29" t="s">
        <v>17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</row>
    <row r="30" spans="1:80" ht="13.95" customHeight="1" x14ac:dyDescent="0.25">
      <c r="A30" t="s">
        <v>79</v>
      </c>
      <c r="B30" s="2">
        <v>45366</v>
      </c>
      <c r="C30" s="2">
        <v>45677</v>
      </c>
      <c r="D30" s="2">
        <v>45736</v>
      </c>
      <c r="E30" t="s">
        <v>2</v>
      </c>
      <c r="F30" t="s">
        <v>47</v>
      </c>
      <c r="G30" t="s">
        <v>0</v>
      </c>
      <c r="H30" t="s">
        <v>4</v>
      </c>
      <c r="I30" t="s">
        <v>64</v>
      </c>
      <c r="J30" t="s">
        <v>6</v>
      </c>
      <c r="K30" t="s">
        <v>30</v>
      </c>
      <c r="L30" t="s">
        <v>39</v>
      </c>
      <c r="M30" t="s">
        <v>40</v>
      </c>
      <c r="N30" t="s">
        <v>10</v>
      </c>
      <c r="O30" t="s">
        <v>0</v>
      </c>
      <c r="P30" t="s">
        <v>11</v>
      </c>
      <c r="Q30" s="5">
        <v>61</v>
      </c>
      <c r="R30" s="4">
        <v>49200</v>
      </c>
      <c r="S30" s="5">
        <v>1</v>
      </c>
      <c r="T30" s="4">
        <v>3001200</v>
      </c>
      <c r="U30" s="5">
        <v>0</v>
      </c>
      <c r="V30" s="4">
        <v>0</v>
      </c>
      <c r="W30" s="5">
        <v>0</v>
      </c>
      <c r="X30" s="4">
        <v>0</v>
      </c>
      <c r="Y30" s="4">
        <f t="shared" si="0"/>
        <v>3001200</v>
      </c>
      <c r="Z30" s="6" t="s">
        <v>0</v>
      </c>
      <c r="AA30" t="s">
        <v>2</v>
      </c>
      <c r="AB30" t="s">
        <v>12</v>
      </c>
      <c r="AC30">
        <f>_xlfn.XLOOKUP(AB30,'[1]GST Codes'!$A:$A,'[1]GST Codes'!$C:$C,0,0)</f>
        <v>18</v>
      </c>
      <c r="AD30">
        <f t="shared" si="1"/>
        <v>3541416</v>
      </c>
      <c r="AE30" t="s">
        <v>13</v>
      </c>
      <c r="AF30" t="s">
        <v>80</v>
      </c>
      <c r="AG30" t="s">
        <v>14</v>
      </c>
      <c r="AH30" t="s">
        <v>15</v>
      </c>
      <c r="AI30" t="s">
        <v>16</v>
      </c>
      <c r="AJ30" t="s">
        <v>17</v>
      </c>
      <c r="AK30" t="s">
        <v>18</v>
      </c>
      <c r="AL30" t="s">
        <v>19</v>
      </c>
      <c r="AM30" t="s">
        <v>64</v>
      </c>
      <c r="AN30" t="s">
        <v>0</v>
      </c>
      <c r="AO30" t="s">
        <v>20</v>
      </c>
      <c r="AP30" t="s">
        <v>0</v>
      </c>
      <c r="AQ30" s="5">
        <v>61</v>
      </c>
      <c r="AR30" t="s">
        <v>11</v>
      </c>
      <c r="AS30" t="s">
        <v>0</v>
      </c>
      <c r="AT30" t="s">
        <v>17</v>
      </c>
      <c r="AU30" s="4">
        <v>0</v>
      </c>
      <c r="AV30" s="4">
        <v>0</v>
      </c>
      <c r="AW30" s="4">
        <v>0</v>
      </c>
      <c r="AX30" s="4">
        <v>0</v>
      </c>
      <c r="AY30" s="5">
        <v>0</v>
      </c>
      <c r="AZ30" s="5">
        <v>0</v>
      </c>
      <c r="BA30" s="5">
        <v>0</v>
      </c>
      <c r="BB30" s="2"/>
      <c r="BC30" t="s">
        <v>0</v>
      </c>
      <c r="BD30" s="5">
        <v>1</v>
      </c>
      <c r="BE30" t="s">
        <v>0</v>
      </c>
      <c r="BF30" t="s">
        <v>77</v>
      </c>
      <c r="BG30" t="s">
        <v>17</v>
      </c>
      <c r="BH30" t="s">
        <v>0</v>
      </c>
      <c r="BI30" t="s">
        <v>11</v>
      </c>
      <c r="BJ30" t="s">
        <v>0</v>
      </c>
      <c r="BK30" t="s">
        <v>0</v>
      </c>
      <c r="BL30" s="5">
        <v>0</v>
      </c>
      <c r="BM30" t="s">
        <v>0</v>
      </c>
      <c r="BN30" t="s">
        <v>0</v>
      </c>
      <c r="BO30" t="s">
        <v>0</v>
      </c>
      <c r="BP30" t="s">
        <v>17</v>
      </c>
      <c r="BQ30" t="s">
        <v>0</v>
      </c>
      <c r="BR30" t="s">
        <v>17</v>
      </c>
      <c r="BS30" t="s">
        <v>17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</row>
    <row r="31" spans="1:80" ht="13.95" customHeight="1" x14ac:dyDescent="0.25">
      <c r="A31" t="s">
        <v>79</v>
      </c>
      <c r="B31" s="2">
        <v>45366</v>
      </c>
      <c r="C31" s="2">
        <v>45677</v>
      </c>
      <c r="D31" s="2">
        <v>45736</v>
      </c>
      <c r="E31" t="s">
        <v>2</v>
      </c>
      <c r="F31" t="s">
        <v>47</v>
      </c>
      <c r="G31" t="s">
        <v>0</v>
      </c>
      <c r="H31" t="s">
        <v>4</v>
      </c>
      <c r="I31" t="s">
        <v>64</v>
      </c>
      <c r="J31" t="s">
        <v>6</v>
      </c>
      <c r="K31" t="s">
        <v>34</v>
      </c>
      <c r="L31" t="s">
        <v>43</v>
      </c>
      <c r="M31" t="s">
        <v>44</v>
      </c>
      <c r="N31" t="s">
        <v>10</v>
      </c>
      <c r="O31" t="s">
        <v>0</v>
      </c>
      <c r="P31" t="s">
        <v>11</v>
      </c>
      <c r="Q31" s="5">
        <v>65</v>
      </c>
      <c r="R31" s="4">
        <v>49200</v>
      </c>
      <c r="S31" s="5">
        <v>1</v>
      </c>
      <c r="T31" s="4">
        <v>3198000</v>
      </c>
      <c r="U31" s="5">
        <v>0</v>
      </c>
      <c r="V31" s="4">
        <v>0</v>
      </c>
      <c r="W31" s="5">
        <v>0</v>
      </c>
      <c r="X31" s="4">
        <v>0</v>
      </c>
      <c r="Y31" s="4">
        <f t="shared" si="0"/>
        <v>3198000</v>
      </c>
      <c r="Z31" s="6" t="s">
        <v>0</v>
      </c>
      <c r="AA31" t="s">
        <v>2</v>
      </c>
      <c r="AB31" t="s">
        <v>12</v>
      </c>
      <c r="AC31">
        <f>_xlfn.XLOOKUP(AB31,'[1]GST Codes'!$A:$A,'[1]GST Codes'!$C:$C,0,0)</f>
        <v>18</v>
      </c>
      <c r="AD31">
        <f t="shared" si="1"/>
        <v>3773640</v>
      </c>
      <c r="AE31" t="s">
        <v>13</v>
      </c>
      <c r="AF31" t="s">
        <v>80</v>
      </c>
      <c r="AG31" t="s">
        <v>14</v>
      </c>
      <c r="AH31" t="s">
        <v>15</v>
      </c>
      <c r="AI31" t="s">
        <v>16</v>
      </c>
      <c r="AJ31" t="s">
        <v>17</v>
      </c>
      <c r="AK31" t="s">
        <v>18</v>
      </c>
      <c r="AL31" t="s">
        <v>19</v>
      </c>
      <c r="AM31" t="s">
        <v>64</v>
      </c>
      <c r="AN31" t="s">
        <v>0</v>
      </c>
      <c r="AO31" t="s">
        <v>20</v>
      </c>
      <c r="AP31" t="s">
        <v>0</v>
      </c>
      <c r="AQ31" s="5">
        <v>65</v>
      </c>
      <c r="AR31" t="s">
        <v>11</v>
      </c>
      <c r="AS31" t="s">
        <v>0</v>
      </c>
      <c r="AT31" t="s">
        <v>17</v>
      </c>
      <c r="AU31" s="4">
        <v>0</v>
      </c>
      <c r="AV31" s="4">
        <v>0</v>
      </c>
      <c r="AW31" s="4">
        <v>0</v>
      </c>
      <c r="AX31" s="4">
        <v>0</v>
      </c>
      <c r="AY31" s="5">
        <v>0</v>
      </c>
      <c r="AZ31" s="5">
        <v>0</v>
      </c>
      <c r="BA31" s="5">
        <v>0</v>
      </c>
      <c r="BB31" s="2"/>
      <c r="BC31" t="s">
        <v>0</v>
      </c>
      <c r="BD31" s="5">
        <v>1</v>
      </c>
      <c r="BE31" t="s">
        <v>0</v>
      </c>
      <c r="BF31" t="s">
        <v>78</v>
      </c>
      <c r="BG31" t="s">
        <v>17</v>
      </c>
      <c r="BH31" t="s">
        <v>0</v>
      </c>
      <c r="BI31" t="s">
        <v>11</v>
      </c>
      <c r="BJ31" t="s">
        <v>0</v>
      </c>
      <c r="BK31" t="s">
        <v>0</v>
      </c>
      <c r="BL31" s="5">
        <v>0</v>
      </c>
      <c r="BM31" t="s">
        <v>0</v>
      </c>
      <c r="BN31" t="s">
        <v>0</v>
      </c>
      <c r="BO31" t="s">
        <v>0</v>
      </c>
      <c r="BP31" t="s">
        <v>17</v>
      </c>
      <c r="BQ31" t="s">
        <v>0</v>
      </c>
      <c r="BR31" t="s">
        <v>17</v>
      </c>
      <c r="BS31" t="s">
        <v>17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</row>
    <row r="32" spans="1:80" ht="13.95" customHeight="1" x14ac:dyDescent="0.25">
      <c r="A32" t="s">
        <v>81</v>
      </c>
      <c r="B32" s="2">
        <v>45764</v>
      </c>
      <c r="C32" s="2">
        <v>45764</v>
      </c>
      <c r="D32" s="2">
        <v>45777</v>
      </c>
      <c r="E32" t="s">
        <v>2</v>
      </c>
      <c r="F32" t="s">
        <v>82</v>
      </c>
      <c r="G32" t="s">
        <v>0</v>
      </c>
      <c r="H32" t="s">
        <v>4</v>
      </c>
      <c r="I32" t="s">
        <v>64</v>
      </c>
      <c r="J32" t="s">
        <v>6</v>
      </c>
      <c r="K32" t="s">
        <v>7</v>
      </c>
      <c r="L32" t="s">
        <v>35</v>
      </c>
      <c r="M32" t="s">
        <v>36</v>
      </c>
      <c r="N32" t="s">
        <v>10</v>
      </c>
      <c r="O32" t="s">
        <v>0</v>
      </c>
      <c r="P32" t="s">
        <v>11</v>
      </c>
      <c r="Q32" s="5">
        <v>30</v>
      </c>
      <c r="R32" s="4">
        <v>56000</v>
      </c>
      <c r="S32" s="5">
        <v>1</v>
      </c>
      <c r="T32" s="4">
        <v>1680000</v>
      </c>
      <c r="U32" s="5">
        <v>0</v>
      </c>
      <c r="V32" s="4">
        <v>0</v>
      </c>
      <c r="W32" s="5">
        <v>0</v>
      </c>
      <c r="X32" s="4">
        <v>0</v>
      </c>
      <c r="Y32" s="4">
        <f t="shared" si="0"/>
        <v>1680000</v>
      </c>
      <c r="Z32" s="6" t="s">
        <v>0</v>
      </c>
      <c r="AA32" t="s">
        <v>2</v>
      </c>
      <c r="AB32" t="s">
        <v>12</v>
      </c>
      <c r="AC32">
        <f>_xlfn.XLOOKUP(AB32,'[1]GST Codes'!$A:$A,'[1]GST Codes'!$C:$C,0,0)</f>
        <v>18</v>
      </c>
      <c r="AD32">
        <f t="shared" si="1"/>
        <v>1982400</v>
      </c>
      <c r="AE32" t="s">
        <v>13</v>
      </c>
      <c r="AF32" t="s">
        <v>0</v>
      </c>
      <c r="AG32" t="s">
        <v>14</v>
      </c>
      <c r="AH32" t="s">
        <v>15</v>
      </c>
      <c r="AI32" t="s">
        <v>16</v>
      </c>
      <c r="AJ32" t="s">
        <v>17</v>
      </c>
      <c r="AK32" t="s">
        <v>18</v>
      </c>
      <c r="AL32" t="s">
        <v>19</v>
      </c>
      <c r="AM32" t="s">
        <v>64</v>
      </c>
      <c r="AN32" t="s">
        <v>0</v>
      </c>
      <c r="AO32" t="s">
        <v>0</v>
      </c>
      <c r="AP32" t="s">
        <v>0</v>
      </c>
      <c r="AQ32" s="5">
        <v>30</v>
      </c>
      <c r="AR32" t="s">
        <v>11</v>
      </c>
      <c r="AS32" t="s">
        <v>0</v>
      </c>
      <c r="AT32" t="s">
        <v>17</v>
      </c>
      <c r="AU32" s="4">
        <v>0</v>
      </c>
      <c r="AV32" s="4">
        <v>0</v>
      </c>
      <c r="AW32" s="4">
        <v>0</v>
      </c>
      <c r="AX32" s="4">
        <v>0</v>
      </c>
      <c r="AY32" s="5">
        <v>0</v>
      </c>
      <c r="AZ32" s="5">
        <v>0</v>
      </c>
      <c r="BA32" s="5">
        <v>0</v>
      </c>
      <c r="BB32" s="2"/>
      <c r="BC32" t="s">
        <v>0</v>
      </c>
      <c r="BD32" s="5">
        <v>1</v>
      </c>
      <c r="BE32" t="s">
        <v>0</v>
      </c>
      <c r="BF32" t="s">
        <v>73</v>
      </c>
      <c r="BG32" t="s">
        <v>17</v>
      </c>
      <c r="BH32" t="s">
        <v>0</v>
      </c>
      <c r="BI32" t="s">
        <v>11</v>
      </c>
      <c r="BJ32" t="s">
        <v>0</v>
      </c>
      <c r="BK32" t="s">
        <v>0</v>
      </c>
      <c r="BL32" s="5">
        <v>0</v>
      </c>
      <c r="BM32" t="s">
        <v>0</v>
      </c>
      <c r="BN32" t="s">
        <v>0</v>
      </c>
      <c r="BO32" t="s">
        <v>0</v>
      </c>
      <c r="BP32" t="s">
        <v>17</v>
      </c>
      <c r="BQ32" t="s">
        <v>0</v>
      </c>
      <c r="BR32" t="s">
        <v>17</v>
      </c>
      <c r="BS32" t="s">
        <v>17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</row>
    <row r="33" spans="1:80" ht="13.95" customHeight="1" x14ac:dyDescent="0.25">
      <c r="A33" t="s">
        <v>81</v>
      </c>
      <c r="B33" s="2">
        <v>45764</v>
      </c>
      <c r="C33" s="2">
        <v>45764</v>
      </c>
      <c r="D33" s="2">
        <v>45777</v>
      </c>
      <c r="E33" t="s">
        <v>2</v>
      </c>
      <c r="F33" t="s">
        <v>82</v>
      </c>
      <c r="G33" t="s">
        <v>0</v>
      </c>
      <c r="H33" t="s">
        <v>4</v>
      </c>
      <c r="I33" t="s">
        <v>64</v>
      </c>
      <c r="J33" t="s">
        <v>6</v>
      </c>
      <c r="K33" t="s">
        <v>22</v>
      </c>
      <c r="L33" t="s">
        <v>35</v>
      </c>
      <c r="M33" t="s">
        <v>36</v>
      </c>
      <c r="N33" t="s">
        <v>10</v>
      </c>
      <c r="O33" t="s">
        <v>0</v>
      </c>
      <c r="P33" t="s">
        <v>11</v>
      </c>
      <c r="Q33" s="5">
        <v>40</v>
      </c>
      <c r="R33" s="4">
        <v>56000</v>
      </c>
      <c r="S33" s="5">
        <v>1</v>
      </c>
      <c r="T33" s="4">
        <v>2240000</v>
      </c>
      <c r="U33" s="5">
        <v>0</v>
      </c>
      <c r="V33" s="4">
        <v>0</v>
      </c>
      <c r="W33" s="5">
        <v>0</v>
      </c>
      <c r="X33" s="4">
        <v>0</v>
      </c>
      <c r="Y33" s="4">
        <f t="shared" si="0"/>
        <v>2240000</v>
      </c>
      <c r="Z33" s="6" t="s">
        <v>0</v>
      </c>
      <c r="AA33" t="s">
        <v>2</v>
      </c>
      <c r="AB33" t="s">
        <v>12</v>
      </c>
      <c r="AC33">
        <f>_xlfn.XLOOKUP(AB33,'[1]GST Codes'!$A:$A,'[1]GST Codes'!$C:$C,0,0)</f>
        <v>18</v>
      </c>
      <c r="AD33">
        <f t="shared" si="1"/>
        <v>2643200</v>
      </c>
      <c r="AE33" t="s">
        <v>13</v>
      </c>
      <c r="AF33" t="s">
        <v>0</v>
      </c>
      <c r="AG33" t="s">
        <v>14</v>
      </c>
      <c r="AH33" t="s">
        <v>15</v>
      </c>
      <c r="AI33" t="s">
        <v>16</v>
      </c>
      <c r="AJ33" t="s">
        <v>17</v>
      </c>
      <c r="AK33" t="s">
        <v>18</v>
      </c>
      <c r="AL33" t="s">
        <v>19</v>
      </c>
      <c r="AM33" t="s">
        <v>64</v>
      </c>
      <c r="AN33" t="s">
        <v>0</v>
      </c>
      <c r="AO33" t="s">
        <v>0</v>
      </c>
      <c r="AP33" t="s">
        <v>0</v>
      </c>
      <c r="AQ33" s="5">
        <v>40</v>
      </c>
      <c r="AR33" t="s">
        <v>11</v>
      </c>
      <c r="AS33" t="s">
        <v>0</v>
      </c>
      <c r="AT33" t="s">
        <v>17</v>
      </c>
      <c r="AU33" s="4">
        <v>0</v>
      </c>
      <c r="AV33" s="4">
        <v>0</v>
      </c>
      <c r="AW33" s="4">
        <v>0</v>
      </c>
      <c r="AX33" s="4">
        <v>0</v>
      </c>
      <c r="AY33" s="5">
        <v>0</v>
      </c>
      <c r="AZ33" s="5">
        <v>0</v>
      </c>
      <c r="BA33" s="5">
        <v>0</v>
      </c>
      <c r="BB33" s="2"/>
      <c r="BC33" t="s">
        <v>0</v>
      </c>
      <c r="BD33" s="5">
        <v>1</v>
      </c>
      <c r="BE33" t="s">
        <v>0</v>
      </c>
      <c r="BF33" t="s">
        <v>73</v>
      </c>
      <c r="BG33" t="s">
        <v>17</v>
      </c>
      <c r="BH33" t="s">
        <v>0</v>
      </c>
      <c r="BI33" t="s">
        <v>11</v>
      </c>
      <c r="BJ33" t="s">
        <v>0</v>
      </c>
      <c r="BK33" t="s">
        <v>0</v>
      </c>
      <c r="BL33" s="5">
        <v>0</v>
      </c>
      <c r="BM33" t="s">
        <v>0</v>
      </c>
      <c r="BN33" t="s">
        <v>0</v>
      </c>
      <c r="BO33" t="s">
        <v>0</v>
      </c>
      <c r="BP33" t="s">
        <v>17</v>
      </c>
      <c r="BQ33" t="s">
        <v>0</v>
      </c>
      <c r="BR33" t="s">
        <v>17</v>
      </c>
      <c r="BS33" t="s">
        <v>17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</row>
    <row r="34" spans="1:80" ht="13.95" customHeight="1" x14ac:dyDescent="0.25">
      <c r="A34" t="s">
        <v>81</v>
      </c>
      <c r="B34" s="2">
        <v>45764</v>
      </c>
      <c r="C34" s="2">
        <v>45764</v>
      </c>
      <c r="D34" s="2">
        <v>45777</v>
      </c>
      <c r="E34" t="s">
        <v>2</v>
      </c>
      <c r="F34" t="s">
        <v>82</v>
      </c>
      <c r="G34" t="s">
        <v>0</v>
      </c>
      <c r="H34" t="s">
        <v>4</v>
      </c>
      <c r="I34" t="s">
        <v>64</v>
      </c>
      <c r="J34" t="s">
        <v>6</v>
      </c>
      <c r="K34" t="s">
        <v>26</v>
      </c>
      <c r="L34" t="s">
        <v>35</v>
      </c>
      <c r="M34" t="s">
        <v>36</v>
      </c>
      <c r="N34" t="s">
        <v>10</v>
      </c>
      <c r="O34" t="s">
        <v>0</v>
      </c>
      <c r="P34" t="s">
        <v>11</v>
      </c>
      <c r="Q34" s="5">
        <v>40</v>
      </c>
      <c r="R34" s="4">
        <v>56000</v>
      </c>
      <c r="S34" s="5">
        <v>1</v>
      </c>
      <c r="T34" s="4">
        <v>2240000</v>
      </c>
      <c r="U34" s="3">
        <v>5.31</v>
      </c>
      <c r="V34" s="4">
        <v>297360</v>
      </c>
      <c r="W34" s="3">
        <v>5.31</v>
      </c>
      <c r="X34" s="4">
        <v>297360</v>
      </c>
      <c r="Y34" s="4">
        <f t="shared" si="0"/>
        <v>1942640</v>
      </c>
      <c r="Z34" s="6" t="s">
        <v>0</v>
      </c>
      <c r="AA34" t="s">
        <v>2</v>
      </c>
      <c r="AB34" t="s">
        <v>12</v>
      </c>
      <c r="AC34">
        <f>_xlfn.XLOOKUP(AB34,'[1]GST Codes'!$A:$A,'[1]GST Codes'!$C:$C,0,0)</f>
        <v>18</v>
      </c>
      <c r="AD34">
        <f t="shared" si="1"/>
        <v>2292315.2000000002</v>
      </c>
      <c r="AE34" t="s">
        <v>13</v>
      </c>
      <c r="AF34" t="s">
        <v>0</v>
      </c>
      <c r="AG34" t="s">
        <v>14</v>
      </c>
      <c r="AH34" t="s">
        <v>15</v>
      </c>
      <c r="AI34" t="s">
        <v>16</v>
      </c>
      <c r="AJ34" t="s">
        <v>17</v>
      </c>
      <c r="AK34" t="s">
        <v>18</v>
      </c>
      <c r="AL34" t="s">
        <v>19</v>
      </c>
      <c r="AM34" t="s">
        <v>64</v>
      </c>
      <c r="AN34" t="s">
        <v>0</v>
      </c>
      <c r="AO34" t="s">
        <v>0</v>
      </c>
      <c r="AP34" t="s">
        <v>0</v>
      </c>
      <c r="AQ34" s="5">
        <v>40</v>
      </c>
      <c r="AR34" t="s">
        <v>11</v>
      </c>
      <c r="AS34" t="s">
        <v>0</v>
      </c>
      <c r="AT34" t="s">
        <v>17</v>
      </c>
      <c r="AU34" s="4">
        <v>0</v>
      </c>
      <c r="AV34" s="4">
        <v>0</v>
      </c>
      <c r="AW34" s="4">
        <v>0</v>
      </c>
      <c r="AX34" s="4">
        <v>0</v>
      </c>
      <c r="AY34" s="5">
        <v>0</v>
      </c>
      <c r="AZ34" s="5">
        <v>0</v>
      </c>
      <c r="BA34" s="5">
        <v>0</v>
      </c>
      <c r="BB34" s="2"/>
      <c r="BC34" t="s">
        <v>0</v>
      </c>
      <c r="BD34" s="5">
        <v>1</v>
      </c>
      <c r="BE34" t="s">
        <v>0</v>
      </c>
      <c r="BF34" t="s">
        <v>73</v>
      </c>
      <c r="BG34" t="s">
        <v>17</v>
      </c>
      <c r="BH34" t="s">
        <v>0</v>
      </c>
      <c r="BI34" t="s">
        <v>11</v>
      </c>
      <c r="BJ34" t="s">
        <v>0</v>
      </c>
      <c r="BK34" t="s">
        <v>0</v>
      </c>
      <c r="BL34" s="5">
        <v>0</v>
      </c>
      <c r="BM34" t="s">
        <v>0</v>
      </c>
      <c r="BN34" t="s">
        <v>0</v>
      </c>
      <c r="BO34" t="s">
        <v>0</v>
      </c>
      <c r="BP34" t="s">
        <v>17</v>
      </c>
      <c r="BQ34" t="s">
        <v>0</v>
      </c>
      <c r="BR34" t="s">
        <v>17</v>
      </c>
      <c r="BS34" t="s">
        <v>17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</row>
    <row r="35" spans="1:80" ht="13.95" customHeight="1" x14ac:dyDescent="0.25">
      <c r="A35" t="s">
        <v>81</v>
      </c>
      <c r="B35" s="2">
        <v>45764</v>
      </c>
      <c r="C35" s="2">
        <v>45764</v>
      </c>
      <c r="D35" s="2">
        <v>45777</v>
      </c>
      <c r="E35" t="s">
        <v>2</v>
      </c>
      <c r="F35" t="s">
        <v>82</v>
      </c>
      <c r="G35" t="s">
        <v>0</v>
      </c>
      <c r="H35" t="s">
        <v>4</v>
      </c>
      <c r="I35" t="s">
        <v>64</v>
      </c>
      <c r="J35" t="s">
        <v>6</v>
      </c>
      <c r="K35" t="s">
        <v>30</v>
      </c>
      <c r="L35" t="s">
        <v>35</v>
      </c>
      <c r="M35" t="s">
        <v>36</v>
      </c>
      <c r="N35" t="s">
        <v>10</v>
      </c>
      <c r="O35" t="s">
        <v>0</v>
      </c>
      <c r="P35" t="s">
        <v>11</v>
      </c>
      <c r="Q35" s="5">
        <v>40</v>
      </c>
      <c r="R35" s="4">
        <v>56000</v>
      </c>
      <c r="S35" s="5">
        <v>1</v>
      </c>
      <c r="T35" s="4">
        <v>2240000</v>
      </c>
      <c r="U35" s="5">
        <v>0</v>
      </c>
      <c r="V35" s="4">
        <v>0</v>
      </c>
      <c r="W35" s="5">
        <v>0</v>
      </c>
      <c r="X35" s="4">
        <v>0</v>
      </c>
      <c r="Y35" s="4">
        <f t="shared" si="0"/>
        <v>2240000</v>
      </c>
      <c r="Z35" s="6" t="s">
        <v>0</v>
      </c>
      <c r="AA35" t="s">
        <v>2</v>
      </c>
      <c r="AB35" t="s">
        <v>12</v>
      </c>
      <c r="AC35">
        <f>_xlfn.XLOOKUP(AB35,'[1]GST Codes'!$A:$A,'[1]GST Codes'!$C:$C,0,0)</f>
        <v>18</v>
      </c>
      <c r="AD35">
        <f t="shared" si="1"/>
        <v>2643200</v>
      </c>
      <c r="AE35" t="s">
        <v>13</v>
      </c>
      <c r="AF35" t="s">
        <v>0</v>
      </c>
      <c r="AG35" t="s">
        <v>14</v>
      </c>
      <c r="AH35" t="s">
        <v>15</v>
      </c>
      <c r="AI35" t="s">
        <v>16</v>
      </c>
      <c r="AJ35" t="s">
        <v>17</v>
      </c>
      <c r="AK35" t="s">
        <v>18</v>
      </c>
      <c r="AL35" t="s">
        <v>19</v>
      </c>
      <c r="AM35" t="s">
        <v>64</v>
      </c>
      <c r="AN35" t="s">
        <v>0</v>
      </c>
      <c r="AO35" t="s">
        <v>0</v>
      </c>
      <c r="AP35" t="s">
        <v>0</v>
      </c>
      <c r="AQ35" s="5">
        <v>40</v>
      </c>
      <c r="AR35" t="s">
        <v>11</v>
      </c>
      <c r="AS35" t="s">
        <v>0</v>
      </c>
      <c r="AT35" t="s">
        <v>17</v>
      </c>
      <c r="AU35" s="4">
        <v>0</v>
      </c>
      <c r="AV35" s="4">
        <v>0</v>
      </c>
      <c r="AW35" s="4">
        <v>0</v>
      </c>
      <c r="AX35" s="4">
        <v>0</v>
      </c>
      <c r="AY35" s="5">
        <v>0</v>
      </c>
      <c r="AZ35" s="5">
        <v>0</v>
      </c>
      <c r="BA35" s="5">
        <v>0</v>
      </c>
      <c r="BB35" s="2"/>
      <c r="BC35" t="s">
        <v>0</v>
      </c>
      <c r="BD35" s="5">
        <v>1</v>
      </c>
      <c r="BE35" t="s">
        <v>0</v>
      </c>
      <c r="BF35" t="s">
        <v>73</v>
      </c>
      <c r="BG35" t="s">
        <v>17</v>
      </c>
      <c r="BH35" t="s">
        <v>0</v>
      </c>
      <c r="BI35" t="s">
        <v>11</v>
      </c>
      <c r="BJ35" t="s">
        <v>0</v>
      </c>
      <c r="BK35" t="s">
        <v>0</v>
      </c>
      <c r="BL35" s="5">
        <v>0</v>
      </c>
      <c r="BM35" t="s">
        <v>0</v>
      </c>
      <c r="BN35" t="s">
        <v>0</v>
      </c>
      <c r="BO35" t="s">
        <v>0</v>
      </c>
      <c r="BP35" t="s">
        <v>17</v>
      </c>
      <c r="BQ35" t="s">
        <v>0</v>
      </c>
      <c r="BR35" t="s">
        <v>17</v>
      </c>
      <c r="BS35" t="s">
        <v>17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</row>
    <row r="36" spans="1:80" ht="13.95" customHeight="1" x14ac:dyDescent="0.25">
      <c r="A36" t="s">
        <v>83</v>
      </c>
      <c r="B36" s="2">
        <v>45882</v>
      </c>
      <c r="C36" s="2"/>
      <c r="D36" s="2"/>
      <c r="E36" t="s">
        <v>2</v>
      </c>
      <c r="F36" t="s">
        <v>3</v>
      </c>
      <c r="G36" t="s">
        <v>0</v>
      </c>
      <c r="H36" t="s">
        <v>4</v>
      </c>
      <c r="I36" t="s">
        <v>64</v>
      </c>
      <c r="J36" t="s">
        <v>6</v>
      </c>
      <c r="K36" t="s">
        <v>7</v>
      </c>
      <c r="L36" t="s">
        <v>35</v>
      </c>
      <c r="M36" t="s">
        <v>36</v>
      </c>
      <c r="N36" t="s">
        <v>10</v>
      </c>
      <c r="O36" t="s">
        <v>0</v>
      </c>
      <c r="P36" t="s">
        <v>11</v>
      </c>
      <c r="Q36" s="5">
        <v>150</v>
      </c>
      <c r="R36" s="4">
        <v>48000</v>
      </c>
      <c r="S36" s="5">
        <v>1</v>
      </c>
      <c r="T36" s="4">
        <v>7200000</v>
      </c>
      <c r="U36" s="5">
        <v>0</v>
      </c>
      <c r="V36" s="4">
        <v>0</v>
      </c>
      <c r="W36" s="5">
        <v>0</v>
      </c>
      <c r="X36" s="4">
        <v>0</v>
      </c>
      <c r="Y36" s="4">
        <f t="shared" si="0"/>
        <v>7200000</v>
      </c>
      <c r="Z36" s="6" t="s">
        <v>0</v>
      </c>
      <c r="AA36" t="s">
        <v>2</v>
      </c>
      <c r="AB36" t="s">
        <v>12</v>
      </c>
      <c r="AC36">
        <f>_xlfn.XLOOKUP(AB36,'[1]GST Codes'!$A:$A,'[1]GST Codes'!$C:$C,0,0)</f>
        <v>18</v>
      </c>
      <c r="AD36">
        <f t="shared" si="1"/>
        <v>8496000</v>
      </c>
      <c r="AE36" t="s">
        <v>13</v>
      </c>
      <c r="AF36" t="s">
        <v>0</v>
      </c>
      <c r="AG36" t="s">
        <v>14</v>
      </c>
      <c r="AH36" t="s">
        <v>15</v>
      </c>
      <c r="AI36" t="s">
        <v>16</v>
      </c>
      <c r="AJ36" t="s">
        <v>17</v>
      </c>
      <c r="AK36" t="s">
        <v>18</v>
      </c>
      <c r="AL36" t="s">
        <v>19</v>
      </c>
      <c r="AM36" t="s">
        <v>64</v>
      </c>
      <c r="AN36" t="s">
        <v>0</v>
      </c>
      <c r="AO36" t="s">
        <v>0</v>
      </c>
      <c r="AP36" t="s">
        <v>0</v>
      </c>
      <c r="AQ36" s="5">
        <v>150</v>
      </c>
      <c r="AR36" t="s">
        <v>11</v>
      </c>
      <c r="AS36" t="s">
        <v>0</v>
      </c>
      <c r="AT36" t="s">
        <v>17</v>
      </c>
      <c r="AU36" s="4">
        <v>0</v>
      </c>
      <c r="AV36" s="4">
        <v>0</v>
      </c>
      <c r="AW36" s="4">
        <v>0</v>
      </c>
      <c r="AX36" s="4">
        <v>0</v>
      </c>
      <c r="AY36" s="5">
        <v>0</v>
      </c>
      <c r="AZ36" s="5">
        <v>0</v>
      </c>
      <c r="BA36" s="5">
        <v>0</v>
      </c>
      <c r="BB36" s="2"/>
      <c r="BC36" t="s">
        <v>0</v>
      </c>
      <c r="BD36" s="5">
        <v>1</v>
      </c>
      <c r="BE36" t="s">
        <v>0</v>
      </c>
      <c r="BF36" t="s">
        <v>73</v>
      </c>
      <c r="BG36" t="s">
        <v>17</v>
      </c>
      <c r="BH36" t="s">
        <v>0</v>
      </c>
      <c r="BI36" t="s">
        <v>11</v>
      </c>
      <c r="BJ36" t="s">
        <v>0</v>
      </c>
      <c r="BK36" t="s">
        <v>0</v>
      </c>
      <c r="BL36" s="5">
        <v>0</v>
      </c>
      <c r="BM36" t="s">
        <v>0</v>
      </c>
      <c r="BN36" t="s">
        <v>0</v>
      </c>
      <c r="BO36" t="s">
        <v>0</v>
      </c>
      <c r="BP36" t="s">
        <v>17</v>
      </c>
      <c r="BQ36" t="s">
        <v>0</v>
      </c>
      <c r="BR36" t="s">
        <v>17</v>
      </c>
      <c r="BS36" t="s">
        <v>17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</row>
    <row r="37" spans="1:80" ht="13.95" customHeight="1" x14ac:dyDescent="0.25">
      <c r="A37" t="s">
        <v>84</v>
      </c>
      <c r="B37" s="2">
        <v>46060</v>
      </c>
      <c r="C37" s="2">
        <v>46060</v>
      </c>
      <c r="D37" s="2">
        <v>46112</v>
      </c>
      <c r="E37" t="s">
        <v>2</v>
      </c>
      <c r="F37" t="s">
        <v>3</v>
      </c>
      <c r="G37" t="s">
        <v>0</v>
      </c>
      <c r="H37" t="s">
        <v>4</v>
      </c>
      <c r="I37" t="s">
        <v>64</v>
      </c>
      <c r="J37" t="s">
        <v>6</v>
      </c>
      <c r="K37" t="s">
        <v>7</v>
      </c>
      <c r="L37" t="s">
        <v>70</v>
      </c>
      <c r="M37" t="s">
        <v>71</v>
      </c>
      <c r="N37" t="s">
        <v>10</v>
      </c>
      <c r="O37" t="s">
        <v>0</v>
      </c>
      <c r="P37" t="s">
        <v>11</v>
      </c>
      <c r="Q37" s="5">
        <v>6</v>
      </c>
      <c r="R37" s="4">
        <v>55300</v>
      </c>
      <c r="S37" s="5">
        <v>1</v>
      </c>
      <c r="T37" s="4">
        <v>331800</v>
      </c>
      <c r="U37" s="5">
        <v>0</v>
      </c>
      <c r="V37" s="4">
        <v>0</v>
      </c>
      <c r="W37" s="5">
        <v>0</v>
      </c>
      <c r="X37" s="4">
        <v>0</v>
      </c>
      <c r="Y37" s="4">
        <f t="shared" si="0"/>
        <v>331800</v>
      </c>
      <c r="Z37" s="6" t="s">
        <v>0</v>
      </c>
      <c r="AA37" t="s">
        <v>2</v>
      </c>
      <c r="AB37" t="s">
        <v>12</v>
      </c>
      <c r="AC37">
        <f>_xlfn.XLOOKUP(AB37,'[1]GST Codes'!$A:$A,'[1]GST Codes'!$C:$C,0,0)</f>
        <v>18</v>
      </c>
      <c r="AD37">
        <f t="shared" si="1"/>
        <v>391524</v>
      </c>
      <c r="AE37" t="s">
        <v>13</v>
      </c>
      <c r="AF37" t="s">
        <v>0</v>
      </c>
      <c r="AG37" t="s">
        <v>14</v>
      </c>
      <c r="AH37" t="s">
        <v>15</v>
      </c>
      <c r="AI37" t="s">
        <v>85</v>
      </c>
      <c r="AJ37" t="s">
        <v>17</v>
      </c>
      <c r="AK37" t="s">
        <v>18</v>
      </c>
      <c r="AL37" t="s">
        <v>19</v>
      </c>
      <c r="AM37" t="s">
        <v>64</v>
      </c>
      <c r="AN37" t="s">
        <v>0</v>
      </c>
      <c r="AO37" t="s">
        <v>0</v>
      </c>
      <c r="AP37" t="s">
        <v>0</v>
      </c>
      <c r="AQ37" s="5">
        <v>6</v>
      </c>
      <c r="AR37" t="s">
        <v>11</v>
      </c>
      <c r="AS37" t="s">
        <v>0</v>
      </c>
      <c r="AT37" t="s">
        <v>17</v>
      </c>
      <c r="AU37" s="4">
        <v>0</v>
      </c>
      <c r="AV37" s="4">
        <v>0</v>
      </c>
      <c r="AW37" s="4">
        <v>0</v>
      </c>
      <c r="AX37" s="4">
        <v>0</v>
      </c>
      <c r="AY37" s="5">
        <v>0</v>
      </c>
      <c r="AZ37" s="5">
        <v>0</v>
      </c>
      <c r="BA37" s="5">
        <v>0</v>
      </c>
      <c r="BB37" s="2"/>
      <c r="BC37" t="s">
        <v>0</v>
      </c>
      <c r="BD37" s="5">
        <v>1</v>
      </c>
      <c r="BE37" t="s">
        <v>0</v>
      </c>
      <c r="BF37" t="s">
        <v>72</v>
      </c>
      <c r="BG37" t="s">
        <v>17</v>
      </c>
      <c r="BH37" t="s">
        <v>0</v>
      </c>
      <c r="BI37" t="s">
        <v>11</v>
      </c>
      <c r="BJ37" t="s">
        <v>0</v>
      </c>
      <c r="BK37" t="s">
        <v>0</v>
      </c>
      <c r="BL37" s="5">
        <v>0</v>
      </c>
      <c r="BM37" t="s">
        <v>0</v>
      </c>
      <c r="BN37" t="s">
        <v>0</v>
      </c>
      <c r="BO37" t="s">
        <v>0</v>
      </c>
      <c r="BP37" t="s">
        <v>17</v>
      </c>
      <c r="BQ37" t="s">
        <v>0</v>
      </c>
      <c r="BR37" t="s">
        <v>17</v>
      </c>
      <c r="BS37" t="s">
        <v>17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</row>
    <row r="38" spans="1:80" ht="13.95" customHeight="1" x14ac:dyDescent="0.25">
      <c r="A38" t="s">
        <v>84</v>
      </c>
      <c r="B38" s="2">
        <v>46060</v>
      </c>
      <c r="C38" s="2">
        <v>46060</v>
      </c>
      <c r="D38" s="2">
        <v>46112</v>
      </c>
      <c r="E38" t="s">
        <v>2</v>
      </c>
      <c r="F38" t="s">
        <v>3</v>
      </c>
      <c r="G38" t="s">
        <v>0</v>
      </c>
      <c r="H38" t="s">
        <v>4</v>
      </c>
      <c r="I38" t="s">
        <v>64</v>
      </c>
      <c r="J38" t="s">
        <v>6</v>
      </c>
      <c r="K38" t="s">
        <v>22</v>
      </c>
      <c r="L38" t="s">
        <v>70</v>
      </c>
      <c r="M38" t="s">
        <v>71</v>
      </c>
      <c r="N38" t="s">
        <v>10</v>
      </c>
      <c r="O38" t="s">
        <v>0</v>
      </c>
      <c r="P38" t="s">
        <v>11</v>
      </c>
      <c r="Q38" s="5">
        <v>6</v>
      </c>
      <c r="R38" s="4">
        <v>55300</v>
      </c>
      <c r="S38" s="5">
        <v>1</v>
      </c>
      <c r="T38" s="4">
        <v>331800</v>
      </c>
      <c r="U38" s="5">
        <v>0</v>
      </c>
      <c r="V38" s="4">
        <v>0</v>
      </c>
      <c r="W38" s="5">
        <v>0</v>
      </c>
      <c r="X38" s="4">
        <v>0</v>
      </c>
      <c r="Y38" s="4">
        <f t="shared" si="0"/>
        <v>331800</v>
      </c>
      <c r="Z38" s="6" t="s">
        <v>0</v>
      </c>
      <c r="AA38" t="s">
        <v>2</v>
      </c>
      <c r="AB38" t="s">
        <v>12</v>
      </c>
      <c r="AC38">
        <f>_xlfn.XLOOKUP(AB38,'[1]GST Codes'!$A:$A,'[1]GST Codes'!$C:$C,0,0)</f>
        <v>18</v>
      </c>
      <c r="AD38">
        <f t="shared" si="1"/>
        <v>391524</v>
      </c>
      <c r="AE38" t="s">
        <v>13</v>
      </c>
      <c r="AF38" t="s">
        <v>0</v>
      </c>
      <c r="AG38" t="s">
        <v>14</v>
      </c>
      <c r="AH38" t="s">
        <v>15</v>
      </c>
      <c r="AI38" t="s">
        <v>85</v>
      </c>
      <c r="AJ38" t="s">
        <v>17</v>
      </c>
      <c r="AK38" t="s">
        <v>18</v>
      </c>
      <c r="AL38" t="s">
        <v>19</v>
      </c>
      <c r="AM38" t="s">
        <v>64</v>
      </c>
      <c r="AN38" t="s">
        <v>0</v>
      </c>
      <c r="AO38" t="s">
        <v>0</v>
      </c>
      <c r="AP38" t="s">
        <v>0</v>
      </c>
      <c r="AQ38" s="5">
        <v>6</v>
      </c>
      <c r="AR38" t="s">
        <v>11</v>
      </c>
      <c r="AS38" t="s">
        <v>0</v>
      </c>
      <c r="AT38" t="s">
        <v>17</v>
      </c>
      <c r="AU38" s="4">
        <v>0</v>
      </c>
      <c r="AV38" s="4">
        <v>0</v>
      </c>
      <c r="AW38" s="4">
        <v>0</v>
      </c>
      <c r="AX38" s="4">
        <v>0</v>
      </c>
      <c r="AY38" s="5">
        <v>0</v>
      </c>
      <c r="AZ38" s="5">
        <v>0</v>
      </c>
      <c r="BA38" s="5">
        <v>0</v>
      </c>
      <c r="BB38" s="2"/>
      <c r="BC38" t="s">
        <v>0</v>
      </c>
      <c r="BD38" s="5">
        <v>1</v>
      </c>
      <c r="BE38" t="s">
        <v>0</v>
      </c>
      <c r="BF38" t="s">
        <v>72</v>
      </c>
      <c r="BG38" t="s">
        <v>17</v>
      </c>
      <c r="BH38" t="s">
        <v>0</v>
      </c>
      <c r="BI38" t="s">
        <v>11</v>
      </c>
      <c r="BJ38" t="s">
        <v>0</v>
      </c>
      <c r="BK38" t="s">
        <v>0</v>
      </c>
      <c r="BL38" s="5">
        <v>0</v>
      </c>
      <c r="BM38" t="s">
        <v>0</v>
      </c>
      <c r="BN38" t="s">
        <v>0</v>
      </c>
      <c r="BO38" t="s">
        <v>0</v>
      </c>
      <c r="BP38" t="s">
        <v>17</v>
      </c>
      <c r="BQ38" t="s">
        <v>0</v>
      </c>
      <c r="BR38" t="s">
        <v>17</v>
      </c>
      <c r="BS38" t="s">
        <v>17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</row>
    <row r="39" spans="1:80" ht="13.95" customHeight="1" x14ac:dyDescent="0.25">
      <c r="A39" t="s">
        <v>84</v>
      </c>
      <c r="B39" s="2">
        <v>46060</v>
      </c>
      <c r="C39" s="2">
        <v>46060</v>
      </c>
      <c r="D39" s="2">
        <v>46112</v>
      </c>
      <c r="E39" t="s">
        <v>2</v>
      </c>
      <c r="F39" t="s">
        <v>3</v>
      </c>
      <c r="G39" t="s">
        <v>0</v>
      </c>
      <c r="H39" t="s">
        <v>4</v>
      </c>
      <c r="I39" t="s">
        <v>64</v>
      </c>
      <c r="J39" t="s">
        <v>6</v>
      </c>
      <c r="K39" t="s">
        <v>26</v>
      </c>
      <c r="L39" t="s">
        <v>70</v>
      </c>
      <c r="M39" t="s">
        <v>71</v>
      </c>
      <c r="N39" t="s">
        <v>10</v>
      </c>
      <c r="O39" t="s">
        <v>0</v>
      </c>
      <c r="P39" t="s">
        <v>11</v>
      </c>
      <c r="Q39" s="5">
        <v>7</v>
      </c>
      <c r="R39" s="4">
        <v>55300</v>
      </c>
      <c r="S39" s="5">
        <v>1</v>
      </c>
      <c r="T39" s="4">
        <v>387100</v>
      </c>
      <c r="U39" s="5">
        <v>0</v>
      </c>
      <c r="V39" s="4">
        <v>0</v>
      </c>
      <c r="W39" s="5">
        <v>0</v>
      </c>
      <c r="X39" s="4">
        <v>0</v>
      </c>
      <c r="Y39" s="4">
        <f t="shared" si="0"/>
        <v>387100</v>
      </c>
      <c r="Z39" s="6" t="s">
        <v>0</v>
      </c>
      <c r="AA39" t="s">
        <v>2</v>
      </c>
      <c r="AB39" t="s">
        <v>12</v>
      </c>
      <c r="AC39">
        <f>_xlfn.XLOOKUP(AB39,'[1]GST Codes'!$A:$A,'[1]GST Codes'!$C:$C,0,0)</f>
        <v>18</v>
      </c>
      <c r="AD39">
        <f t="shared" si="1"/>
        <v>456778</v>
      </c>
      <c r="AE39" t="s">
        <v>13</v>
      </c>
      <c r="AF39" t="s">
        <v>0</v>
      </c>
      <c r="AG39" t="s">
        <v>14</v>
      </c>
      <c r="AH39" t="s">
        <v>15</v>
      </c>
      <c r="AI39" t="s">
        <v>85</v>
      </c>
      <c r="AJ39" t="s">
        <v>17</v>
      </c>
      <c r="AK39" t="s">
        <v>18</v>
      </c>
      <c r="AL39" t="s">
        <v>19</v>
      </c>
      <c r="AM39" t="s">
        <v>64</v>
      </c>
      <c r="AN39" t="s">
        <v>0</v>
      </c>
      <c r="AO39" t="s">
        <v>0</v>
      </c>
      <c r="AP39" t="s">
        <v>0</v>
      </c>
      <c r="AQ39" s="5">
        <v>7</v>
      </c>
      <c r="AR39" t="s">
        <v>11</v>
      </c>
      <c r="AS39" t="s">
        <v>0</v>
      </c>
      <c r="AT39" t="s">
        <v>17</v>
      </c>
      <c r="AU39" s="4">
        <v>0</v>
      </c>
      <c r="AV39" s="4">
        <v>0</v>
      </c>
      <c r="AW39" s="4">
        <v>0</v>
      </c>
      <c r="AX39" s="4">
        <v>0</v>
      </c>
      <c r="AY39" s="5">
        <v>0</v>
      </c>
      <c r="AZ39" s="5">
        <v>0</v>
      </c>
      <c r="BA39" s="5">
        <v>0</v>
      </c>
      <c r="BB39" s="2"/>
      <c r="BC39" t="s">
        <v>0</v>
      </c>
      <c r="BD39" s="5">
        <v>1</v>
      </c>
      <c r="BE39" t="s">
        <v>0</v>
      </c>
      <c r="BF39" t="s">
        <v>72</v>
      </c>
      <c r="BG39" t="s">
        <v>17</v>
      </c>
      <c r="BH39" t="s">
        <v>0</v>
      </c>
      <c r="BI39" t="s">
        <v>11</v>
      </c>
      <c r="BJ39" t="s">
        <v>0</v>
      </c>
      <c r="BK39" t="s">
        <v>0</v>
      </c>
      <c r="BL39" s="5">
        <v>0</v>
      </c>
      <c r="BM39" t="s">
        <v>0</v>
      </c>
      <c r="BN39" t="s">
        <v>0</v>
      </c>
      <c r="BO39" t="s">
        <v>0</v>
      </c>
      <c r="BP39" t="s">
        <v>17</v>
      </c>
      <c r="BQ39" t="s">
        <v>0</v>
      </c>
      <c r="BR39" t="s">
        <v>17</v>
      </c>
      <c r="BS39" t="s">
        <v>17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</row>
    <row r="40" spans="1:80" ht="13.95" customHeight="1" x14ac:dyDescent="0.25">
      <c r="A40" t="s">
        <v>84</v>
      </c>
      <c r="B40" s="2">
        <v>46060</v>
      </c>
      <c r="C40" s="2">
        <v>46060</v>
      </c>
      <c r="D40" s="2">
        <v>46112</v>
      </c>
      <c r="E40" t="s">
        <v>2</v>
      </c>
      <c r="F40" t="s">
        <v>3</v>
      </c>
      <c r="G40" t="s">
        <v>0</v>
      </c>
      <c r="H40" t="s">
        <v>4</v>
      </c>
      <c r="I40" t="s">
        <v>64</v>
      </c>
      <c r="J40" t="s">
        <v>6</v>
      </c>
      <c r="K40" t="s">
        <v>30</v>
      </c>
      <c r="L40" t="s">
        <v>70</v>
      </c>
      <c r="M40" t="s">
        <v>71</v>
      </c>
      <c r="N40" t="s">
        <v>10</v>
      </c>
      <c r="O40" t="s">
        <v>0</v>
      </c>
      <c r="P40" t="s">
        <v>11</v>
      </c>
      <c r="Q40" s="5">
        <v>7</v>
      </c>
      <c r="R40" s="4">
        <v>55300</v>
      </c>
      <c r="S40" s="5">
        <v>1</v>
      </c>
      <c r="T40" s="4">
        <v>387100</v>
      </c>
      <c r="U40" s="5">
        <v>0</v>
      </c>
      <c r="V40" s="4">
        <v>0</v>
      </c>
      <c r="W40" s="5">
        <v>0</v>
      </c>
      <c r="X40" s="4">
        <v>0</v>
      </c>
      <c r="Y40" s="4">
        <f t="shared" si="0"/>
        <v>387100</v>
      </c>
      <c r="Z40" s="6" t="s">
        <v>0</v>
      </c>
      <c r="AA40" t="s">
        <v>2</v>
      </c>
      <c r="AB40" t="s">
        <v>12</v>
      </c>
      <c r="AC40">
        <f>_xlfn.XLOOKUP(AB40,'[1]GST Codes'!$A:$A,'[1]GST Codes'!$C:$C,0,0)</f>
        <v>18</v>
      </c>
      <c r="AD40">
        <f t="shared" si="1"/>
        <v>456778</v>
      </c>
      <c r="AE40" t="s">
        <v>13</v>
      </c>
      <c r="AF40" t="s">
        <v>0</v>
      </c>
      <c r="AG40" t="s">
        <v>14</v>
      </c>
      <c r="AH40" t="s">
        <v>15</v>
      </c>
      <c r="AI40" t="s">
        <v>85</v>
      </c>
      <c r="AJ40" t="s">
        <v>17</v>
      </c>
      <c r="AK40" t="s">
        <v>18</v>
      </c>
      <c r="AL40" t="s">
        <v>19</v>
      </c>
      <c r="AM40" t="s">
        <v>64</v>
      </c>
      <c r="AN40" t="s">
        <v>0</v>
      </c>
      <c r="AO40" t="s">
        <v>0</v>
      </c>
      <c r="AP40" t="s">
        <v>0</v>
      </c>
      <c r="AQ40" s="5">
        <v>7</v>
      </c>
      <c r="AR40" t="s">
        <v>11</v>
      </c>
      <c r="AS40" t="s">
        <v>0</v>
      </c>
      <c r="AT40" t="s">
        <v>17</v>
      </c>
      <c r="AU40" s="4">
        <v>0</v>
      </c>
      <c r="AV40" s="4">
        <v>0</v>
      </c>
      <c r="AW40" s="4">
        <v>0</v>
      </c>
      <c r="AX40" s="4">
        <v>0</v>
      </c>
      <c r="AY40" s="5">
        <v>0</v>
      </c>
      <c r="AZ40" s="5">
        <v>0</v>
      </c>
      <c r="BA40" s="5">
        <v>0</v>
      </c>
      <c r="BB40" s="2"/>
      <c r="BC40" t="s">
        <v>0</v>
      </c>
      <c r="BD40" s="5">
        <v>1</v>
      </c>
      <c r="BE40" t="s">
        <v>0</v>
      </c>
      <c r="BF40" t="s">
        <v>72</v>
      </c>
      <c r="BG40" t="s">
        <v>17</v>
      </c>
      <c r="BH40" t="s">
        <v>0</v>
      </c>
      <c r="BI40" t="s">
        <v>11</v>
      </c>
      <c r="BJ40" t="s">
        <v>0</v>
      </c>
      <c r="BK40" t="s">
        <v>0</v>
      </c>
      <c r="BL40" s="5">
        <v>0</v>
      </c>
      <c r="BM40" t="s">
        <v>0</v>
      </c>
      <c r="BN40" t="s">
        <v>0</v>
      </c>
      <c r="BO40" t="s">
        <v>0</v>
      </c>
      <c r="BP40" t="s">
        <v>17</v>
      </c>
      <c r="BQ40" t="s">
        <v>0</v>
      </c>
      <c r="BR40" t="s">
        <v>17</v>
      </c>
      <c r="BS40" t="s">
        <v>17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</row>
    <row r="41" spans="1:80" ht="13.95" customHeight="1" x14ac:dyDescent="0.25">
      <c r="A41" t="s">
        <v>84</v>
      </c>
      <c r="B41" s="2">
        <v>46060</v>
      </c>
      <c r="C41" s="2">
        <v>46060</v>
      </c>
      <c r="D41" s="2">
        <v>46112</v>
      </c>
      <c r="E41" t="s">
        <v>2</v>
      </c>
      <c r="F41" t="s">
        <v>3</v>
      </c>
      <c r="G41" t="s">
        <v>0</v>
      </c>
      <c r="H41" t="s">
        <v>4</v>
      </c>
      <c r="I41" t="s">
        <v>64</v>
      </c>
      <c r="J41" t="s">
        <v>6</v>
      </c>
      <c r="K41" t="s">
        <v>34</v>
      </c>
      <c r="L41" t="s">
        <v>70</v>
      </c>
      <c r="M41" t="s">
        <v>71</v>
      </c>
      <c r="N41" t="s">
        <v>10</v>
      </c>
      <c r="O41" t="s">
        <v>0</v>
      </c>
      <c r="P41" t="s">
        <v>11</v>
      </c>
      <c r="Q41" s="5">
        <v>7</v>
      </c>
      <c r="R41" s="4">
        <v>55300</v>
      </c>
      <c r="S41" s="5">
        <v>1</v>
      </c>
      <c r="T41" s="4">
        <v>387100</v>
      </c>
      <c r="U41" s="5">
        <v>0</v>
      </c>
      <c r="V41" s="4">
        <v>0</v>
      </c>
      <c r="W41" s="5">
        <v>0</v>
      </c>
      <c r="X41" s="4">
        <v>0</v>
      </c>
      <c r="Y41" s="4">
        <f t="shared" si="0"/>
        <v>387100</v>
      </c>
      <c r="Z41" s="6" t="s">
        <v>0</v>
      </c>
      <c r="AA41" t="s">
        <v>2</v>
      </c>
      <c r="AB41" t="s">
        <v>12</v>
      </c>
      <c r="AC41">
        <f>_xlfn.XLOOKUP(AB41,'[1]GST Codes'!$A:$A,'[1]GST Codes'!$C:$C,0,0)</f>
        <v>18</v>
      </c>
      <c r="AD41">
        <f t="shared" si="1"/>
        <v>456778</v>
      </c>
      <c r="AE41" t="s">
        <v>13</v>
      </c>
      <c r="AF41" t="s">
        <v>0</v>
      </c>
      <c r="AG41" t="s">
        <v>14</v>
      </c>
      <c r="AH41" t="s">
        <v>15</v>
      </c>
      <c r="AI41" t="s">
        <v>85</v>
      </c>
      <c r="AJ41" t="s">
        <v>17</v>
      </c>
      <c r="AK41" t="s">
        <v>18</v>
      </c>
      <c r="AL41" t="s">
        <v>19</v>
      </c>
      <c r="AM41" t="s">
        <v>64</v>
      </c>
      <c r="AN41" t="s">
        <v>0</v>
      </c>
      <c r="AO41" t="s">
        <v>0</v>
      </c>
      <c r="AP41" t="s">
        <v>0</v>
      </c>
      <c r="AQ41" s="5">
        <v>7</v>
      </c>
      <c r="AR41" t="s">
        <v>11</v>
      </c>
      <c r="AS41" t="s">
        <v>0</v>
      </c>
      <c r="AT41" t="s">
        <v>17</v>
      </c>
      <c r="AU41" s="4">
        <v>0</v>
      </c>
      <c r="AV41" s="4">
        <v>0</v>
      </c>
      <c r="AW41" s="4">
        <v>0</v>
      </c>
      <c r="AX41" s="4">
        <v>0</v>
      </c>
      <c r="AY41" s="5">
        <v>0</v>
      </c>
      <c r="AZ41" s="5">
        <v>0</v>
      </c>
      <c r="BA41" s="5">
        <v>0</v>
      </c>
      <c r="BB41" s="2"/>
      <c r="BC41" t="s">
        <v>0</v>
      </c>
      <c r="BD41" s="5">
        <v>1</v>
      </c>
      <c r="BE41" t="s">
        <v>0</v>
      </c>
      <c r="BF41" t="s">
        <v>72</v>
      </c>
      <c r="BG41" t="s">
        <v>17</v>
      </c>
      <c r="BH41" t="s">
        <v>0</v>
      </c>
      <c r="BI41" t="s">
        <v>11</v>
      </c>
      <c r="BJ41" t="s">
        <v>0</v>
      </c>
      <c r="BK41" t="s">
        <v>0</v>
      </c>
      <c r="BL41" s="5">
        <v>0</v>
      </c>
      <c r="BM41" t="s">
        <v>0</v>
      </c>
      <c r="BN41" t="s">
        <v>0</v>
      </c>
      <c r="BO41" t="s">
        <v>0</v>
      </c>
      <c r="BP41" t="s">
        <v>17</v>
      </c>
      <c r="BQ41" t="s">
        <v>0</v>
      </c>
      <c r="BR41" t="s">
        <v>17</v>
      </c>
      <c r="BS41" t="s">
        <v>17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</row>
    <row r="42" spans="1:80" ht="13.95" customHeight="1" x14ac:dyDescent="0.25">
      <c r="A42" t="s">
        <v>84</v>
      </c>
      <c r="B42" s="2">
        <v>46060</v>
      </c>
      <c r="C42" s="2">
        <v>46060</v>
      </c>
      <c r="D42" s="2">
        <v>46112</v>
      </c>
      <c r="E42" t="s">
        <v>2</v>
      </c>
      <c r="F42" t="s">
        <v>3</v>
      </c>
      <c r="G42" t="s">
        <v>0</v>
      </c>
      <c r="H42" t="s">
        <v>4</v>
      </c>
      <c r="I42" t="s">
        <v>64</v>
      </c>
      <c r="J42" t="s">
        <v>6</v>
      </c>
      <c r="K42" t="s">
        <v>38</v>
      </c>
      <c r="L42" t="s">
        <v>70</v>
      </c>
      <c r="M42" t="s">
        <v>71</v>
      </c>
      <c r="N42" t="s">
        <v>10</v>
      </c>
      <c r="O42" t="s">
        <v>0</v>
      </c>
      <c r="P42" t="s">
        <v>11</v>
      </c>
      <c r="Q42" s="5">
        <v>7</v>
      </c>
      <c r="R42" s="4">
        <v>55300</v>
      </c>
      <c r="S42" s="5">
        <v>1</v>
      </c>
      <c r="T42" s="4">
        <v>387100</v>
      </c>
      <c r="U42" s="5">
        <v>0</v>
      </c>
      <c r="V42" s="4">
        <v>0</v>
      </c>
      <c r="W42" s="5">
        <v>0</v>
      </c>
      <c r="X42" s="4">
        <v>0</v>
      </c>
      <c r="Y42" s="4">
        <f t="shared" si="0"/>
        <v>387100</v>
      </c>
      <c r="Z42" s="6" t="s">
        <v>0</v>
      </c>
      <c r="AA42" t="s">
        <v>2</v>
      </c>
      <c r="AB42" t="s">
        <v>12</v>
      </c>
      <c r="AC42">
        <f>_xlfn.XLOOKUP(AB42,'[1]GST Codes'!$A:$A,'[1]GST Codes'!$C:$C,0,0)</f>
        <v>18</v>
      </c>
      <c r="AD42">
        <f t="shared" si="1"/>
        <v>456778</v>
      </c>
      <c r="AE42" t="s">
        <v>13</v>
      </c>
      <c r="AF42" t="s">
        <v>0</v>
      </c>
      <c r="AG42" t="s">
        <v>14</v>
      </c>
      <c r="AH42" t="s">
        <v>15</v>
      </c>
      <c r="AI42" t="s">
        <v>85</v>
      </c>
      <c r="AJ42" t="s">
        <v>17</v>
      </c>
      <c r="AK42" t="s">
        <v>18</v>
      </c>
      <c r="AL42" t="s">
        <v>19</v>
      </c>
      <c r="AM42" t="s">
        <v>64</v>
      </c>
      <c r="AN42" t="s">
        <v>0</v>
      </c>
      <c r="AO42" t="s">
        <v>0</v>
      </c>
      <c r="AP42" t="s">
        <v>0</v>
      </c>
      <c r="AQ42" s="5">
        <v>7</v>
      </c>
      <c r="AR42" t="s">
        <v>11</v>
      </c>
      <c r="AS42" t="s">
        <v>0</v>
      </c>
      <c r="AT42" t="s">
        <v>17</v>
      </c>
      <c r="AU42" s="4">
        <v>0</v>
      </c>
      <c r="AV42" s="4">
        <v>0</v>
      </c>
      <c r="AW42" s="4">
        <v>0</v>
      </c>
      <c r="AX42" s="4">
        <v>0</v>
      </c>
      <c r="AY42" s="5">
        <v>0</v>
      </c>
      <c r="AZ42" s="5">
        <v>0</v>
      </c>
      <c r="BA42" s="5">
        <v>0</v>
      </c>
      <c r="BB42" s="2"/>
      <c r="BC42" t="s">
        <v>0</v>
      </c>
      <c r="BD42" s="5">
        <v>1</v>
      </c>
      <c r="BE42" t="s">
        <v>0</v>
      </c>
      <c r="BF42" t="s">
        <v>72</v>
      </c>
      <c r="BG42" t="s">
        <v>17</v>
      </c>
      <c r="BH42" t="s">
        <v>0</v>
      </c>
      <c r="BI42" t="s">
        <v>11</v>
      </c>
      <c r="BJ42" t="s">
        <v>0</v>
      </c>
      <c r="BK42" t="s">
        <v>0</v>
      </c>
      <c r="BL42" s="5">
        <v>0</v>
      </c>
      <c r="BM42" t="s">
        <v>0</v>
      </c>
      <c r="BN42" t="s">
        <v>0</v>
      </c>
      <c r="BO42" t="s">
        <v>0</v>
      </c>
      <c r="BP42" t="s">
        <v>17</v>
      </c>
      <c r="BQ42" t="s">
        <v>0</v>
      </c>
      <c r="BR42" t="s">
        <v>17</v>
      </c>
      <c r="BS42" t="s">
        <v>17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</row>
    <row r="43" spans="1:80" ht="13.95" customHeight="1" x14ac:dyDescent="0.25">
      <c r="A43" t="s">
        <v>84</v>
      </c>
      <c r="B43" s="2">
        <v>46060</v>
      </c>
      <c r="C43" s="2">
        <v>46060</v>
      </c>
      <c r="D43" s="2">
        <v>46112</v>
      </c>
      <c r="E43" t="s">
        <v>2</v>
      </c>
      <c r="F43" t="s">
        <v>3</v>
      </c>
      <c r="G43" t="s">
        <v>0</v>
      </c>
      <c r="H43" t="s">
        <v>4</v>
      </c>
      <c r="I43" t="s">
        <v>64</v>
      </c>
      <c r="J43" t="s">
        <v>6</v>
      </c>
      <c r="K43" t="s">
        <v>42</v>
      </c>
      <c r="L43" t="s">
        <v>35</v>
      </c>
      <c r="M43" t="s">
        <v>36</v>
      </c>
      <c r="N43" t="s">
        <v>10</v>
      </c>
      <c r="O43" t="s">
        <v>0</v>
      </c>
      <c r="P43" t="s">
        <v>11</v>
      </c>
      <c r="Q43" s="5">
        <v>15</v>
      </c>
      <c r="R43" s="4">
        <v>54300</v>
      </c>
      <c r="S43" s="5">
        <v>1</v>
      </c>
      <c r="T43" s="4">
        <v>814500</v>
      </c>
      <c r="U43" s="5">
        <v>0</v>
      </c>
      <c r="V43" s="4">
        <v>0</v>
      </c>
      <c r="W43" s="5">
        <v>0</v>
      </c>
      <c r="X43" s="4">
        <v>0</v>
      </c>
      <c r="Y43" s="4">
        <f t="shared" si="0"/>
        <v>814500</v>
      </c>
      <c r="Z43" s="6" t="s">
        <v>0</v>
      </c>
      <c r="AA43" t="s">
        <v>2</v>
      </c>
      <c r="AB43" t="s">
        <v>12</v>
      </c>
      <c r="AC43">
        <f>_xlfn.XLOOKUP(AB43,'[1]GST Codes'!$A:$A,'[1]GST Codes'!$C:$C,0,0)</f>
        <v>18</v>
      </c>
      <c r="AD43">
        <f t="shared" si="1"/>
        <v>961110</v>
      </c>
      <c r="AE43" t="s">
        <v>13</v>
      </c>
      <c r="AF43" t="s">
        <v>0</v>
      </c>
      <c r="AG43" t="s">
        <v>14</v>
      </c>
      <c r="AH43" t="s">
        <v>15</v>
      </c>
      <c r="AI43" t="s">
        <v>85</v>
      </c>
      <c r="AJ43" t="s">
        <v>17</v>
      </c>
      <c r="AK43" t="s">
        <v>18</v>
      </c>
      <c r="AL43" t="s">
        <v>19</v>
      </c>
      <c r="AM43" t="s">
        <v>64</v>
      </c>
      <c r="AN43" t="s">
        <v>0</v>
      </c>
      <c r="AO43" t="s">
        <v>0</v>
      </c>
      <c r="AP43" t="s">
        <v>0</v>
      </c>
      <c r="AQ43" s="5">
        <v>15</v>
      </c>
      <c r="AR43" t="s">
        <v>11</v>
      </c>
      <c r="AS43" t="s">
        <v>0</v>
      </c>
      <c r="AT43" t="s">
        <v>17</v>
      </c>
      <c r="AU43" s="4">
        <v>0</v>
      </c>
      <c r="AV43" s="4">
        <v>0</v>
      </c>
      <c r="AW43" s="4">
        <v>0</v>
      </c>
      <c r="AX43" s="4">
        <v>0</v>
      </c>
      <c r="AY43" s="5">
        <v>0</v>
      </c>
      <c r="AZ43" s="5">
        <v>0</v>
      </c>
      <c r="BA43" s="5">
        <v>0</v>
      </c>
      <c r="BB43" s="2"/>
      <c r="BC43" t="s">
        <v>0</v>
      </c>
      <c r="BD43" s="5">
        <v>1</v>
      </c>
      <c r="BE43" t="s">
        <v>0</v>
      </c>
      <c r="BF43" t="s">
        <v>73</v>
      </c>
      <c r="BG43" t="s">
        <v>17</v>
      </c>
      <c r="BH43" t="s">
        <v>0</v>
      </c>
      <c r="BI43" t="s">
        <v>11</v>
      </c>
      <c r="BJ43" t="s">
        <v>0</v>
      </c>
      <c r="BK43" t="s">
        <v>0</v>
      </c>
      <c r="BL43" s="5">
        <v>0</v>
      </c>
      <c r="BM43" t="s">
        <v>0</v>
      </c>
      <c r="BN43" t="s">
        <v>0</v>
      </c>
      <c r="BO43" t="s">
        <v>0</v>
      </c>
      <c r="BP43" t="s">
        <v>17</v>
      </c>
      <c r="BQ43" t="s">
        <v>0</v>
      </c>
      <c r="BR43" t="s">
        <v>17</v>
      </c>
      <c r="BS43" t="s">
        <v>17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</row>
    <row r="44" spans="1:80" ht="13.95" customHeight="1" x14ac:dyDescent="0.25">
      <c r="A44" t="s">
        <v>84</v>
      </c>
      <c r="B44" s="2">
        <v>46060</v>
      </c>
      <c r="C44" s="2">
        <v>46060</v>
      </c>
      <c r="D44" s="2">
        <v>46112</v>
      </c>
      <c r="E44" t="s">
        <v>2</v>
      </c>
      <c r="F44" t="s">
        <v>3</v>
      </c>
      <c r="G44" t="s">
        <v>0</v>
      </c>
      <c r="H44" t="s">
        <v>4</v>
      </c>
      <c r="I44" t="s">
        <v>64</v>
      </c>
      <c r="J44" t="s">
        <v>6</v>
      </c>
      <c r="K44" t="s">
        <v>86</v>
      </c>
      <c r="L44" t="s">
        <v>35</v>
      </c>
      <c r="M44" t="s">
        <v>36</v>
      </c>
      <c r="N44" t="s">
        <v>10</v>
      </c>
      <c r="O44" t="s">
        <v>0</v>
      </c>
      <c r="P44" t="s">
        <v>11</v>
      </c>
      <c r="Q44" s="5">
        <v>15</v>
      </c>
      <c r="R44" s="4">
        <v>54300</v>
      </c>
      <c r="S44" s="5">
        <v>1</v>
      </c>
      <c r="T44" s="4">
        <v>814500</v>
      </c>
      <c r="U44" s="5">
        <v>0</v>
      </c>
      <c r="V44" s="4">
        <v>0</v>
      </c>
      <c r="W44" s="5">
        <v>0</v>
      </c>
      <c r="X44" s="4">
        <v>0</v>
      </c>
      <c r="Y44" s="4">
        <f t="shared" si="0"/>
        <v>814500</v>
      </c>
      <c r="Z44" s="6" t="s">
        <v>0</v>
      </c>
      <c r="AA44" t="s">
        <v>2</v>
      </c>
      <c r="AB44" t="s">
        <v>12</v>
      </c>
      <c r="AC44">
        <f>_xlfn.XLOOKUP(AB44,'[1]GST Codes'!$A:$A,'[1]GST Codes'!$C:$C,0,0)</f>
        <v>18</v>
      </c>
      <c r="AD44">
        <f t="shared" si="1"/>
        <v>961110</v>
      </c>
      <c r="AE44" t="s">
        <v>13</v>
      </c>
      <c r="AF44" t="s">
        <v>0</v>
      </c>
      <c r="AG44" t="s">
        <v>14</v>
      </c>
      <c r="AH44" t="s">
        <v>15</v>
      </c>
      <c r="AI44" t="s">
        <v>85</v>
      </c>
      <c r="AJ44" t="s">
        <v>17</v>
      </c>
      <c r="AK44" t="s">
        <v>18</v>
      </c>
      <c r="AL44" t="s">
        <v>19</v>
      </c>
      <c r="AM44" t="s">
        <v>64</v>
      </c>
      <c r="AN44" t="s">
        <v>0</v>
      </c>
      <c r="AO44" t="s">
        <v>0</v>
      </c>
      <c r="AP44" t="s">
        <v>0</v>
      </c>
      <c r="AQ44" s="5">
        <v>15</v>
      </c>
      <c r="AR44" t="s">
        <v>11</v>
      </c>
      <c r="AS44" t="s">
        <v>0</v>
      </c>
      <c r="AT44" t="s">
        <v>17</v>
      </c>
      <c r="AU44" s="4">
        <v>0</v>
      </c>
      <c r="AV44" s="4">
        <v>0</v>
      </c>
      <c r="AW44" s="4">
        <v>0</v>
      </c>
      <c r="AX44" s="4">
        <v>0</v>
      </c>
      <c r="AY44" s="5">
        <v>0</v>
      </c>
      <c r="AZ44" s="5">
        <v>0</v>
      </c>
      <c r="BA44" s="5">
        <v>0</v>
      </c>
      <c r="BB44" s="2"/>
      <c r="BC44" t="s">
        <v>0</v>
      </c>
      <c r="BD44" s="5">
        <v>1</v>
      </c>
      <c r="BE44" t="s">
        <v>0</v>
      </c>
      <c r="BF44" t="s">
        <v>73</v>
      </c>
      <c r="BG44" t="s">
        <v>17</v>
      </c>
      <c r="BH44" t="s">
        <v>0</v>
      </c>
      <c r="BI44" t="s">
        <v>11</v>
      </c>
      <c r="BJ44" t="s">
        <v>0</v>
      </c>
      <c r="BK44" t="s">
        <v>0</v>
      </c>
      <c r="BL44" s="5">
        <v>0</v>
      </c>
      <c r="BM44" t="s">
        <v>0</v>
      </c>
      <c r="BN44" t="s">
        <v>0</v>
      </c>
      <c r="BO44" t="s">
        <v>0</v>
      </c>
      <c r="BP44" t="s">
        <v>17</v>
      </c>
      <c r="BQ44" t="s">
        <v>0</v>
      </c>
      <c r="BR44" t="s">
        <v>17</v>
      </c>
      <c r="BS44" t="s">
        <v>17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</row>
    <row r="45" spans="1:80" ht="13.95" customHeight="1" x14ac:dyDescent="0.25">
      <c r="A45" t="s">
        <v>84</v>
      </c>
      <c r="B45" s="2">
        <v>46060</v>
      </c>
      <c r="C45" s="2">
        <v>46060</v>
      </c>
      <c r="D45" s="2">
        <v>46112</v>
      </c>
      <c r="E45" t="s">
        <v>2</v>
      </c>
      <c r="F45" t="s">
        <v>3</v>
      </c>
      <c r="G45" t="s">
        <v>0</v>
      </c>
      <c r="H45" t="s">
        <v>4</v>
      </c>
      <c r="I45" t="s">
        <v>64</v>
      </c>
      <c r="J45" t="s">
        <v>6</v>
      </c>
      <c r="K45" t="s">
        <v>87</v>
      </c>
      <c r="L45" t="s">
        <v>35</v>
      </c>
      <c r="M45" t="s">
        <v>36</v>
      </c>
      <c r="N45" t="s">
        <v>10</v>
      </c>
      <c r="O45" t="s">
        <v>0</v>
      </c>
      <c r="P45" t="s">
        <v>11</v>
      </c>
      <c r="Q45" s="5">
        <v>15</v>
      </c>
      <c r="R45" s="4">
        <v>54300</v>
      </c>
      <c r="S45" s="5">
        <v>1</v>
      </c>
      <c r="T45" s="4">
        <v>814500</v>
      </c>
      <c r="U45" s="5">
        <v>0</v>
      </c>
      <c r="V45" s="4">
        <v>0</v>
      </c>
      <c r="W45" s="5">
        <v>0</v>
      </c>
      <c r="X45" s="4">
        <v>0</v>
      </c>
      <c r="Y45" s="4">
        <f t="shared" si="0"/>
        <v>814500</v>
      </c>
      <c r="Z45" s="6" t="s">
        <v>0</v>
      </c>
      <c r="AA45" t="s">
        <v>2</v>
      </c>
      <c r="AB45" t="s">
        <v>12</v>
      </c>
      <c r="AC45">
        <f>_xlfn.XLOOKUP(AB45,'[1]GST Codes'!$A:$A,'[1]GST Codes'!$C:$C,0,0)</f>
        <v>18</v>
      </c>
      <c r="AD45">
        <f t="shared" si="1"/>
        <v>961110</v>
      </c>
      <c r="AE45" t="s">
        <v>13</v>
      </c>
      <c r="AF45" t="s">
        <v>0</v>
      </c>
      <c r="AG45" t="s">
        <v>14</v>
      </c>
      <c r="AH45" t="s">
        <v>15</v>
      </c>
      <c r="AI45" t="s">
        <v>85</v>
      </c>
      <c r="AJ45" t="s">
        <v>17</v>
      </c>
      <c r="AK45" t="s">
        <v>18</v>
      </c>
      <c r="AL45" t="s">
        <v>19</v>
      </c>
      <c r="AM45" t="s">
        <v>64</v>
      </c>
      <c r="AN45" t="s">
        <v>0</v>
      </c>
      <c r="AO45" t="s">
        <v>0</v>
      </c>
      <c r="AP45" t="s">
        <v>0</v>
      </c>
      <c r="AQ45" s="5">
        <v>15</v>
      </c>
      <c r="AR45" t="s">
        <v>11</v>
      </c>
      <c r="AS45" t="s">
        <v>0</v>
      </c>
      <c r="AT45" t="s">
        <v>17</v>
      </c>
      <c r="AU45" s="4">
        <v>0</v>
      </c>
      <c r="AV45" s="4">
        <v>0</v>
      </c>
      <c r="AW45" s="4">
        <v>0</v>
      </c>
      <c r="AX45" s="4">
        <v>0</v>
      </c>
      <c r="AY45" s="5">
        <v>0</v>
      </c>
      <c r="AZ45" s="5">
        <v>0</v>
      </c>
      <c r="BA45" s="5">
        <v>0</v>
      </c>
      <c r="BB45" s="2"/>
      <c r="BC45" t="s">
        <v>0</v>
      </c>
      <c r="BD45" s="5">
        <v>1</v>
      </c>
      <c r="BE45" t="s">
        <v>0</v>
      </c>
      <c r="BF45" t="s">
        <v>73</v>
      </c>
      <c r="BG45" t="s">
        <v>17</v>
      </c>
      <c r="BH45" t="s">
        <v>0</v>
      </c>
      <c r="BI45" t="s">
        <v>11</v>
      </c>
      <c r="BJ45" t="s">
        <v>0</v>
      </c>
      <c r="BK45" t="s">
        <v>0</v>
      </c>
      <c r="BL45" s="5">
        <v>0</v>
      </c>
      <c r="BM45" t="s">
        <v>0</v>
      </c>
      <c r="BN45" t="s">
        <v>0</v>
      </c>
      <c r="BO45" t="s">
        <v>0</v>
      </c>
      <c r="BP45" t="s">
        <v>17</v>
      </c>
      <c r="BQ45" t="s">
        <v>0</v>
      </c>
      <c r="BR45" t="s">
        <v>17</v>
      </c>
      <c r="BS45" t="s">
        <v>17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</row>
    <row r="46" spans="1:80" ht="13.95" customHeight="1" x14ac:dyDescent="0.25">
      <c r="A46" t="s">
        <v>84</v>
      </c>
      <c r="B46" s="2">
        <v>46060</v>
      </c>
      <c r="C46" s="2">
        <v>46060</v>
      </c>
      <c r="D46" s="2">
        <v>46112</v>
      </c>
      <c r="E46" t="s">
        <v>2</v>
      </c>
      <c r="F46" t="s">
        <v>3</v>
      </c>
      <c r="G46" t="s">
        <v>0</v>
      </c>
      <c r="H46" t="s">
        <v>4</v>
      </c>
      <c r="I46" t="s">
        <v>64</v>
      </c>
      <c r="J46" t="s">
        <v>6</v>
      </c>
      <c r="K46" t="s">
        <v>88</v>
      </c>
      <c r="L46" t="s">
        <v>35</v>
      </c>
      <c r="M46" t="s">
        <v>36</v>
      </c>
      <c r="N46" t="s">
        <v>10</v>
      </c>
      <c r="O46" t="s">
        <v>0</v>
      </c>
      <c r="P46" t="s">
        <v>11</v>
      </c>
      <c r="Q46" s="5">
        <v>15</v>
      </c>
      <c r="R46" s="4">
        <v>54300</v>
      </c>
      <c r="S46" s="5">
        <v>1</v>
      </c>
      <c r="T46" s="4">
        <v>814500</v>
      </c>
      <c r="U46" s="5">
        <v>0</v>
      </c>
      <c r="V46" s="4">
        <v>0</v>
      </c>
      <c r="W46" s="5">
        <v>0</v>
      </c>
      <c r="X46" s="4">
        <v>0</v>
      </c>
      <c r="Y46" s="4">
        <f t="shared" si="0"/>
        <v>814500</v>
      </c>
      <c r="Z46" s="6" t="s">
        <v>0</v>
      </c>
      <c r="AA46" t="s">
        <v>2</v>
      </c>
      <c r="AB46" t="s">
        <v>12</v>
      </c>
      <c r="AC46">
        <f>_xlfn.XLOOKUP(AB46,'[1]GST Codes'!$A:$A,'[1]GST Codes'!$C:$C,0,0)</f>
        <v>18</v>
      </c>
      <c r="AD46">
        <f t="shared" si="1"/>
        <v>961110</v>
      </c>
      <c r="AE46" t="s">
        <v>13</v>
      </c>
      <c r="AF46" t="s">
        <v>0</v>
      </c>
      <c r="AG46" t="s">
        <v>14</v>
      </c>
      <c r="AH46" t="s">
        <v>15</v>
      </c>
      <c r="AI46" t="s">
        <v>85</v>
      </c>
      <c r="AJ46" t="s">
        <v>17</v>
      </c>
      <c r="AK46" t="s">
        <v>18</v>
      </c>
      <c r="AL46" t="s">
        <v>19</v>
      </c>
      <c r="AM46" t="s">
        <v>64</v>
      </c>
      <c r="AN46" t="s">
        <v>0</v>
      </c>
      <c r="AO46" t="s">
        <v>0</v>
      </c>
      <c r="AP46" t="s">
        <v>0</v>
      </c>
      <c r="AQ46" s="5">
        <v>15</v>
      </c>
      <c r="AR46" t="s">
        <v>11</v>
      </c>
      <c r="AS46" t="s">
        <v>0</v>
      </c>
      <c r="AT46" t="s">
        <v>17</v>
      </c>
      <c r="AU46" s="4">
        <v>0</v>
      </c>
      <c r="AV46" s="4">
        <v>0</v>
      </c>
      <c r="AW46" s="4">
        <v>0</v>
      </c>
      <c r="AX46" s="4">
        <v>0</v>
      </c>
      <c r="AY46" s="5">
        <v>0</v>
      </c>
      <c r="AZ46" s="5">
        <v>0</v>
      </c>
      <c r="BA46" s="5">
        <v>0</v>
      </c>
      <c r="BB46" s="2"/>
      <c r="BC46" t="s">
        <v>0</v>
      </c>
      <c r="BD46" s="5">
        <v>1</v>
      </c>
      <c r="BE46" t="s">
        <v>0</v>
      </c>
      <c r="BF46" t="s">
        <v>73</v>
      </c>
      <c r="BG46" t="s">
        <v>17</v>
      </c>
      <c r="BH46" t="s">
        <v>0</v>
      </c>
      <c r="BI46" t="s">
        <v>11</v>
      </c>
      <c r="BJ46" t="s">
        <v>0</v>
      </c>
      <c r="BK46" t="s">
        <v>0</v>
      </c>
      <c r="BL46" s="5">
        <v>0</v>
      </c>
      <c r="BM46" t="s">
        <v>0</v>
      </c>
      <c r="BN46" t="s">
        <v>0</v>
      </c>
      <c r="BO46" t="s">
        <v>0</v>
      </c>
      <c r="BP46" t="s">
        <v>17</v>
      </c>
      <c r="BQ46" t="s">
        <v>0</v>
      </c>
      <c r="BR46" t="s">
        <v>17</v>
      </c>
      <c r="BS46" t="s">
        <v>17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</row>
    <row r="47" spans="1:80" ht="13.95" customHeight="1" x14ac:dyDescent="0.25">
      <c r="A47" t="s">
        <v>84</v>
      </c>
      <c r="B47" s="2">
        <v>46060</v>
      </c>
      <c r="C47" s="2">
        <v>46060</v>
      </c>
      <c r="D47" s="2">
        <v>46112</v>
      </c>
      <c r="E47" t="s">
        <v>2</v>
      </c>
      <c r="F47" t="s">
        <v>3</v>
      </c>
      <c r="G47" t="s">
        <v>0</v>
      </c>
      <c r="H47" t="s">
        <v>4</v>
      </c>
      <c r="I47" t="s">
        <v>64</v>
      </c>
      <c r="J47" t="s">
        <v>6</v>
      </c>
      <c r="K47" t="s">
        <v>89</v>
      </c>
      <c r="L47" t="s">
        <v>35</v>
      </c>
      <c r="M47" t="s">
        <v>36</v>
      </c>
      <c r="N47" t="s">
        <v>10</v>
      </c>
      <c r="O47" t="s">
        <v>0</v>
      </c>
      <c r="P47" t="s">
        <v>11</v>
      </c>
      <c r="Q47" s="5">
        <v>15</v>
      </c>
      <c r="R47" s="4">
        <v>54300</v>
      </c>
      <c r="S47" s="5">
        <v>1</v>
      </c>
      <c r="T47" s="4">
        <v>814500</v>
      </c>
      <c r="U47" s="5">
        <v>0</v>
      </c>
      <c r="V47" s="4">
        <v>0</v>
      </c>
      <c r="W47" s="5">
        <v>0</v>
      </c>
      <c r="X47" s="4">
        <v>0</v>
      </c>
      <c r="Y47" s="4">
        <f t="shared" si="0"/>
        <v>814500</v>
      </c>
      <c r="Z47" s="6" t="s">
        <v>0</v>
      </c>
      <c r="AA47" t="s">
        <v>2</v>
      </c>
      <c r="AB47" t="s">
        <v>12</v>
      </c>
      <c r="AC47">
        <f>_xlfn.XLOOKUP(AB47,'[1]GST Codes'!$A:$A,'[1]GST Codes'!$C:$C,0,0)</f>
        <v>18</v>
      </c>
      <c r="AD47">
        <f t="shared" si="1"/>
        <v>961110</v>
      </c>
      <c r="AE47" t="s">
        <v>13</v>
      </c>
      <c r="AF47" t="s">
        <v>0</v>
      </c>
      <c r="AG47" t="s">
        <v>14</v>
      </c>
      <c r="AH47" t="s">
        <v>15</v>
      </c>
      <c r="AI47" t="s">
        <v>85</v>
      </c>
      <c r="AJ47" t="s">
        <v>17</v>
      </c>
      <c r="AK47" t="s">
        <v>18</v>
      </c>
      <c r="AL47" t="s">
        <v>19</v>
      </c>
      <c r="AM47" t="s">
        <v>64</v>
      </c>
      <c r="AN47" t="s">
        <v>0</v>
      </c>
      <c r="AO47" t="s">
        <v>0</v>
      </c>
      <c r="AP47" t="s">
        <v>0</v>
      </c>
      <c r="AQ47" s="5">
        <v>15</v>
      </c>
      <c r="AR47" t="s">
        <v>11</v>
      </c>
      <c r="AS47" t="s">
        <v>0</v>
      </c>
      <c r="AT47" t="s">
        <v>17</v>
      </c>
      <c r="AU47" s="4">
        <v>0</v>
      </c>
      <c r="AV47" s="4">
        <v>0</v>
      </c>
      <c r="AW47" s="4">
        <v>0</v>
      </c>
      <c r="AX47" s="4">
        <v>0</v>
      </c>
      <c r="AY47" s="5">
        <v>0</v>
      </c>
      <c r="AZ47" s="5">
        <v>0</v>
      </c>
      <c r="BA47" s="5">
        <v>0</v>
      </c>
      <c r="BB47" s="2"/>
      <c r="BC47" t="s">
        <v>0</v>
      </c>
      <c r="BD47" s="5">
        <v>1</v>
      </c>
      <c r="BE47" t="s">
        <v>0</v>
      </c>
      <c r="BF47" t="s">
        <v>73</v>
      </c>
      <c r="BG47" t="s">
        <v>17</v>
      </c>
      <c r="BH47" t="s">
        <v>0</v>
      </c>
      <c r="BI47" t="s">
        <v>11</v>
      </c>
      <c r="BJ47" t="s">
        <v>0</v>
      </c>
      <c r="BK47" t="s">
        <v>0</v>
      </c>
      <c r="BL47" s="5">
        <v>0</v>
      </c>
      <c r="BM47" t="s">
        <v>0</v>
      </c>
      <c r="BN47" t="s">
        <v>0</v>
      </c>
      <c r="BO47" t="s">
        <v>0</v>
      </c>
      <c r="BP47" t="s">
        <v>17</v>
      </c>
      <c r="BQ47" t="s">
        <v>0</v>
      </c>
      <c r="BR47" t="s">
        <v>17</v>
      </c>
      <c r="BS47" t="s">
        <v>17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</row>
    <row r="48" spans="1:80" ht="13.95" customHeight="1" x14ac:dyDescent="0.25">
      <c r="A48" t="s">
        <v>84</v>
      </c>
      <c r="B48" s="2">
        <v>46060</v>
      </c>
      <c r="C48" s="2">
        <v>46060</v>
      </c>
      <c r="D48" s="2">
        <v>46112</v>
      </c>
      <c r="E48" t="s">
        <v>2</v>
      </c>
      <c r="F48" t="s">
        <v>3</v>
      </c>
      <c r="G48" t="s">
        <v>0</v>
      </c>
      <c r="H48" t="s">
        <v>4</v>
      </c>
      <c r="I48" t="s">
        <v>64</v>
      </c>
      <c r="J48" t="s">
        <v>6</v>
      </c>
      <c r="K48" t="s">
        <v>90</v>
      </c>
      <c r="L48" t="s">
        <v>35</v>
      </c>
      <c r="M48" t="s">
        <v>36</v>
      </c>
      <c r="N48" t="s">
        <v>10</v>
      </c>
      <c r="O48" t="s">
        <v>0</v>
      </c>
      <c r="P48" t="s">
        <v>11</v>
      </c>
      <c r="Q48" s="5">
        <v>15</v>
      </c>
      <c r="R48" s="4">
        <v>54300</v>
      </c>
      <c r="S48" s="5">
        <v>1</v>
      </c>
      <c r="T48" s="4">
        <v>814500</v>
      </c>
      <c r="U48" s="3">
        <v>9.3800000000000008</v>
      </c>
      <c r="V48" s="4">
        <v>509334</v>
      </c>
      <c r="W48" s="3">
        <v>9.3800000000000008</v>
      </c>
      <c r="X48" s="4">
        <v>509334</v>
      </c>
      <c r="Y48" s="4">
        <f t="shared" si="0"/>
        <v>305166</v>
      </c>
      <c r="Z48" s="6" t="s">
        <v>0</v>
      </c>
      <c r="AA48" t="s">
        <v>2</v>
      </c>
      <c r="AB48" t="s">
        <v>12</v>
      </c>
      <c r="AC48">
        <f>_xlfn.XLOOKUP(AB48,'[1]GST Codes'!$A:$A,'[1]GST Codes'!$C:$C,0,0)</f>
        <v>18</v>
      </c>
      <c r="AD48">
        <f t="shared" si="1"/>
        <v>360095.88</v>
      </c>
      <c r="AE48" t="s">
        <v>13</v>
      </c>
      <c r="AF48" t="s">
        <v>0</v>
      </c>
      <c r="AG48" t="s">
        <v>14</v>
      </c>
      <c r="AH48" t="s">
        <v>15</v>
      </c>
      <c r="AI48" t="s">
        <v>85</v>
      </c>
      <c r="AJ48" t="s">
        <v>17</v>
      </c>
      <c r="AK48" t="s">
        <v>18</v>
      </c>
      <c r="AL48" t="s">
        <v>19</v>
      </c>
      <c r="AM48" t="s">
        <v>64</v>
      </c>
      <c r="AN48" t="s">
        <v>0</v>
      </c>
      <c r="AO48" t="s">
        <v>0</v>
      </c>
      <c r="AP48" t="s">
        <v>0</v>
      </c>
      <c r="AQ48" s="5">
        <v>15</v>
      </c>
      <c r="AR48" t="s">
        <v>11</v>
      </c>
      <c r="AS48" t="s">
        <v>0</v>
      </c>
      <c r="AT48" t="s">
        <v>17</v>
      </c>
      <c r="AU48" s="4">
        <v>0</v>
      </c>
      <c r="AV48" s="4">
        <v>0</v>
      </c>
      <c r="AW48" s="4">
        <v>0</v>
      </c>
      <c r="AX48" s="4">
        <v>0</v>
      </c>
      <c r="AY48" s="5">
        <v>0</v>
      </c>
      <c r="AZ48" s="5">
        <v>0</v>
      </c>
      <c r="BA48" s="5">
        <v>0</v>
      </c>
      <c r="BB48" s="2"/>
      <c r="BC48" t="s">
        <v>0</v>
      </c>
      <c r="BD48" s="5">
        <v>1</v>
      </c>
      <c r="BE48" t="s">
        <v>0</v>
      </c>
      <c r="BF48" t="s">
        <v>73</v>
      </c>
      <c r="BG48" t="s">
        <v>17</v>
      </c>
      <c r="BH48" t="s">
        <v>0</v>
      </c>
      <c r="BI48" t="s">
        <v>11</v>
      </c>
      <c r="BJ48" t="s">
        <v>0</v>
      </c>
      <c r="BK48" t="s">
        <v>0</v>
      </c>
      <c r="BL48" s="5">
        <v>0</v>
      </c>
      <c r="BM48" t="s">
        <v>0</v>
      </c>
      <c r="BN48" t="s">
        <v>0</v>
      </c>
      <c r="BO48" t="s">
        <v>0</v>
      </c>
      <c r="BP48" t="s">
        <v>17</v>
      </c>
      <c r="BQ48" t="s">
        <v>0</v>
      </c>
      <c r="BR48" t="s">
        <v>17</v>
      </c>
      <c r="BS48" t="s">
        <v>17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</row>
    <row r="49" spans="1:80" ht="13.95" customHeight="1" x14ac:dyDescent="0.25">
      <c r="A49" t="s">
        <v>91</v>
      </c>
      <c r="B49" s="2">
        <v>46063</v>
      </c>
      <c r="C49" s="2">
        <v>46063</v>
      </c>
      <c r="D49" s="2">
        <v>46091</v>
      </c>
      <c r="E49" t="s">
        <v>2</v>
      </c>
      <c r="F49" t="s">
        <v>3</v>
      </c>
      <c r="G49" t="s">
        <v>0</v>
      </c>
      <c r="H49" t="s">
        <v>4</v>
      </c>
      <c r="I49" t="s">
        <v>64</v>
      </c>
      <c r="J49" t="s">
        <v>6</v>
      </c>
      <c r="K49" t="s">
        <v>7</v>
      </c>
      <c r="L49" t="s">
        <v>70</v>
      </c>
      <c r="M49" t="s">
        <v>71</v>
      </c>
      <c r="N49" t="s">
        <v>10</v>
      </c>
      <c r="O49" t="s">
        <v>0</v>
      </c>
      <c r="P49" t="s">
        <v>11</v>
      </c>
      <c r="Q49" s="5">
        <v>19</v>
      </c>
      <c r="R49" s="4">
        <v>55300</v>
      </c>
      <c r="S49" s="5">
        <v>1</v>
      </c>
      <c r="T49" s="4">
        <v>1050700</v>
      </c>
      <c r="U49" s="5">
        <v>0</v>
      </c>
      <c r="V49" s="4">
        <v>0</v>
      </c>
      <c r="W49" s="5">
        <v>0</v>
      </c>
      <c r="X49" s="4">
        <v>0</v>
      </c>
      <c r="Y49" s="4">
        <f t="shared" si="0"/>
        <v>1050700</v>
      </c>
      <c r="Z49" s="6" t="s">
        <v>0</v>
      </c>
      <c r="AA49" t="s">
        <v>2</v>
      </c>
      <c r="AB49" t="s">
        <v>12</v>
      </c>
      <c r="AC49">
        <f>_xlfn.XLOOKUP(AB49,'[1]GST Codes'!$A:$A,'[1]GST Codes'!$C:$C,0,0)</f>
        <v>18</v>
      </c>
      <c r="AD49">
        <f t="shared" si="1"/>
        <v>1239826</v>
      </c>
      <c r="AE49" t="s">
        <v>13</v>
      </c>
      <c r="AF49" t="s">
        <v>0</v>
      </c>
      <c r="AG49" t="s">
        <v>14</v>
      </c>
      <c r="AH49" t="s">
        <v>15</v>
      </c>
      <c r="AI49" t="s">
        <v>85</v>
      </c>
      <c r="AJ49" t="s">
        <v>17</v>
      </c>
      <c r="AK49" t="s">
        <v>18</v>
      </c>
      <c r="AL49" t="s">
        <v>19</v>
      </c>
      <c r="AM49" t="s">
        <v>64</v>
      </c>
      <c r="AN49" t="s">
        <v>0</v>
      </c>
      <c r="AO49" t="s">
        <v>0</v>
      </c>
      <c r="AP49" t="s">
        <v>0</v>
      </c>
      <c r="AQ49" s="5">
        <v>19</v>
      </c>
      <c r="AR49" t="s">
        <v>11</v>
      </c>
      <c r="AS49" t="s">
        <v>0</v>
      </c>
      <c r="AT49" t="s">
        <v>17</v>
      </c>
      <c r="AU49" s="4">
        <v>0</v>
      </c>
      <c r="AV49" s="4">
        <v>0</v>
      </c>
      <c r="AW49" s="4">
        <v>0</v>
      </c>
      <c r="AX49" s="4">
        <v>0</v>
      </c>
      <c r="AY49" s="5">
        <v>0</v>
      </c>
      <c r="AZ49" s="5">
        <v>0</v>
      </c>
      <c r="BA49" s="5">
        <v>0</v>
      </c>
      <c r="BB49" s="2"/>
      <c r="BC49" t="s">
        <v>0</v>
      </c>
      <c r="BD49" s="5">
        <v>1</v>
      </c>
      <c r="BE49" t="s">
        <v>0</v>
      </c>
      <c r="BF49" t="s">
        <v>72</v>
      </c>
      <c r="BG49" t="s">
        <v>17</v>
      </c>
      <c r="BH49" t="s">
        <v>0</v>
      </c>
      <c r="BI49" t="s">
        <v>11</v>
      </c>
      <c r="BJ49" t="s">
        <v>0</v>
      </c>
      <c r="BK49" t="s">
        <v>0</v>
      </c>
      <c r="BL49" s="5">
        <v>0</v>
      </c>
      <c r="BM49" t="s">
        <v>0</v>
      </c>
      <c r="BN49" t="s">
        <v>0</v>
      </c>
      <c r="BO49" t="s">
        <v>0</v>
      </c>
      <c r="BP49" t="s">
        <v>17</v>
      </c>
      <c r="BQ49" t="s">
        <v>0</v>
      </c>
      <c r="BR49" t="s">
        <v>17</v>
      </c>
      <c r="BS49" t="s">
        <v>17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</row>
    <row r="50" spans="1:80" ht="13.95" customHeight="1" x14ac:dyDescent="0.25">
      <c r="A50" t="s">
        <v>91</v>
      </c>
      <c r="B50" s="2">
        <v>46063</v>
      </c>
      <c r="C50" s="2">
        <v>46063</v>
      </c>
      <c r="D50" s="2">
        <v>46091</v>
      </c>
      <c r="E50" t="s">
        <v>2</v>
      </c>
      <c r="F50" t="s">
        <v>3</v>
      </c>
      <c r="G50" t="s">
        <v>0</v>
      </c>
      <c r="H50" t="s">
        <v>4</v>
      </c>
      <c r="I50" t="s">
        <v>64</v>
      </c>
      <c r="J50" t="s">
        <v>6</v>
      </c>
      <c r="K50" t="s">
        <v>22</v>
      </c>
      <c r="L50" t="s">
        <v>70</v>
      </c>
      <c r="M50" t="s">
        <v>71</v>
      </c>
      <c r="N50" t="s">
        <v>10</v>
      </c>
      <c r="O50" t="s">
        <v>0</v>
      </c>
      <c r="P50" t="s">
        <v>11</v>
      </c>
      <c r="Q50" s="5">
        <v>19</v>
      </c>
      <c r="R50" s="4">
        <v>55300</v>
      </c>
      <c r="S50" s="5">
        <v>1</v>
      </c>
      <c r="T50" s="4">
        <v>1050700</v>
      </c>
      <c r="U50" s="5">
        <v>0</v>
      </c>
      <c r="V50" s="4">
        <v>0</v>
      </c>
      <c r="W50" s="5">
        <v>0</v>
      </c>
      <c r="X50" s="4">
        <v>0</v>
      </c>
      <c r="Y50" s="4">
        <f t="shared" si="0"/>
        <v>1050700</v>
      </c>
      <c r="Z50" s="6" t="s">
        <v>0</v>
      </c>
      <c r="AA50" t="s">
        <v>2</v>
      </c>
      <c r="AB50" t="s">
        <v>12</v>
      </c>
      <c r="AC50">
        <f>_xlfn.XLOOKUP(AB50,'[1]GST Codes'!$A:$A,'[1]GST Codes'!$C:$C,0,0)</f>
        <v>18</v>
      </c>
      <c r="AD50">
        <f t="shared" si="1"/>
        <v>1239826</v>
      </c>
      <c r="AE50" t="s">
        <v>13</v>
      </c>
      <c r="AF50" t="s">
        <v>0</v>
      </c>
      <c r="AG50" t="s">
        <v>14</v>
      </c>
      <c r="AH50" t="s">
        <v>15</v>
      </c>
      <c r="AI50" t="s">
        <v>85</v>
      </c>
      <c r="AJ50" t="s">
        <v>17</v>
      </c>
      <c r="AK50" t="s">
        <v>18</v>
      </c>
      <c r="AL50" t="s">
        <v>19</v>
      </c>
      <c r="AM50" t="s">
        <v>64</v>
      </c>
      <c r="AN50" t="s">
        <v>0</v>
      </c>
      <c r="AO50" t="s">
        <v>0</v>
      </c>
      <c r="AP50" t="s">
        <v>0</v>
      </c>
      <c r="AQ50" s="5">
        <v>19</v>
      </c>
      <c r="AR50" t="s">
        <v>11</v>
      </c>
      <c r="AS50" t="s">
        <v>0</v>
      </c>
      <c r="AT50" t="s">
        <v>17</v>
      </c>
      <c r="AU50" s="4">
        <v>0</v>
      </c>
      <c r="AV50" s="4">
        <v>0</v>
      </c>
      <c r="AW50" s="4">
        <v>0</v>
      </c>
      <c r="AX50" s="4">
        <v>0</v>
      </c>
      <c r="AY50" s="5">
        <v>0</v>
      </c>
      <c r="AZ50" s="5">
        <v>0</v>
      </c>
      <c r="BA50" s="5">
        <v>0</v>
      </c>
      <c r="BB50" s="2"/>
      <c r="BC50" t="s">
        <v>0</v>
      </c>
      <c r="BD50" s="5">
        <v>1</v>
      </c>
      <c r="BE50" t="s">
        <v>0</v>
      </c>
      <c r="BF50" t="s">
        <v>72</v>
      </c>
      <c r="BG50" t="s">
        <v>17</v>
      </c>
      <c r="BH50" t="s">
        <v>0</v>
      </c>
      <c r="BI50" t="s">
        <v>11</v>
      </c>
      <c r="BJ50" t="s">
        <v>0</v>
      </c>
      <c r="BK50" t="s">
        <v>0</v>
      </c>
      <c r="BL50" s="5">
        <v>0</v>
      </c>
      <c r="BM50" t="s">
        <v>0</v>
      </c>
      <c r="BN50" t="s">
        <v>0</v>
      </c>
      <c r="BO50" t="s">
        <v>0</v>
      </c>
      <c r="BP50" t="s">
        <v>17</v>
      </c>
      <c r="BQ50" t="s">
        <v>0</v>
      </c>
      <c r="BR50" t="s">
        <v>17</v>
      </c>
      <c r="BS50" t="s">
        <v>17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</row>
    <row r="51" spans="1:80" ht="13.95" customHeight="1" x14ac:dyDescent="0.25">
      <c r="A51" t="s">
        <v>91</v>
      </c>
      <c r="B51" s="2">
        <v>46063</v>
      </c>
      <c r="C51" s="2">
        <v>46063</v>
      </c>
      <c r="D51" s="2">
        <v>46091</v>
      </c>
      <c r="E51" t="s">
        <v>2</v>
      </c>
      <c r="F51" t="s">
        <v>3</v>
      </c>
      <c r="G51" t="s">
        <v>0</v>
      </c>
      <c r="H51" t="s">
        <v>4</v>
      </c>
      <c r="I51" t="s">
        <v>64</v>
      </c>
      <c r="J51" t="s">
        <v>6</v>
      </c>
      <c r="K51" t="s">
        <v>26</v>
      </c>
      <c r="L51" t="s">
        <v>70</v>
      </c>
      <c r="M51" t="s">
        <v>71</v>
      </c>
      <c r="N51" t="s">
        <v>10</v>
      </c>
      <c r="O51" t="s">
        <v>0</v>
      </c>
      <c r="P51" t="s">
        <v>11</v>
      </c>
      <c r="Q51" s="5">
        <v>18</v>
      </c>
      <c r="R51" s="4">
        <v>55300</v>
      </c>
      <c r="S51" s="5">
        <v>1</v>
      </c>
      <c r="T51" s="4">
        <v>995400</v>
      </c>
      <c r="U51" s="5">
        <v>0</v>
      </c>
      <c r="V51" s="4">
        <v>0</v>
      </c>
      <c r="W51" s="5">
        <v>0</v>
      </c>
      <c r="X51" s="4">
        <v>0</v>
      </c>
      <c r="Y51" s="4">
        <f t="shared" si="0"/>
        <v>995400</v>
      </c>
      <c r="Z51" s="6" t="s">
        <v>0</v>
      </c>
      <c r="AA51" t="s">
        <v>2</v>
      </c>
      <c r="AB51" t="s">
        <v>12</v>
      </c>
      <c r="AC51">
        <f>_xlfn.XLOOKUP(AB51,'[1]GST Codes'!$A:$A,'[1]GST Codes'!$C:$C,0,0)</f>
        <v>18</v>
      </c>
      <c r="AD51">
        <f t="shared" si="1"/>
        <v>1174572</v>
      </c>
      <c r="AE51" t="s">
        <v>13</v>
      </c>
      <c r="AF51" t="s">
        <v>0</v>
      </c>
      <c r="AG51" t="s">
        <v>14</v>
      </c>
      <c r="AH51" t="s">
        <v>15</v>
      </c>
      <c r="AI51" t="s">
        <v>85</v>
      </c>
      <c r="AJ51" t="s">
        <v>17</v>
      </c>
      <c r="AK51" t="s">
        <v>18</v>
      </c>
      <c r="AL51" t="s">
        <v>19</v>
      </c>
      <c r="AM51" t="s">
        <v>64</v>
      </c>
      <c r="AN51" t="s">
        <v>0</v>
      </c>
      <c r="AO51" t="s">
        <v>0</v>
      </c>
      <c r="AP51" t="s">
        <v>0</v>
      </c>
      <c r="AQ51" s="5">
        <v>18</v>
      </c>
      <c r="AR51" t="s">
        <v>11</v>
      </c>
      <c r="AS51" t="s">
        <v>0</v>
      </c>
      <c r="AT51" t="s">
        <v>17</v>
      </c>
      <c r="AU51" s="4">
        <v>0</v>
      </c>
      <c r="AV51" s="4">
        <v>0</v>
      </c>
      <c r="AW51" s="4">
        <v>0</v>
      </c>
      <c r="AX51" s="4">
        <v>0</v>
      </c>
      <c r="AY51" s="5">
        <v>0</v>
      </c>
      <c r="AZ51" s="5">
        <v>0</v>
      </c>
      <c r="BA51" s="5">
        <v>0</v>
      </c>
      <c r="BB51" s="2"/>
      <c r="BC51" t="s">
        <v>0</v>
      </c>
      <c r="BD51" s="5">
        <v>1</v>
      </c>
      <c r="BE51" t="s">
        <v>0</v>
      </c>
      <c r="BF51" t="s">
        <v>72</v>
      </c>
      <c r="BG51" t="s">
        <v>17</v>
      </c>
      <c r="BH51" t="s">
        <v>0</v>
      </c>
      <c r="BI51" t="s">
        <v>11</v>
      </c>
      <c r="BJ51" t="s">
        <v>0</v>
      </c>
      <c r="BK51" t="s">
        <v>0</v>
      </c>
      <c r="BL51" s="5">
        <v>0</v>
      </c>
      <c r="BM51" t="s">
        <v>0</v>
      </c>
      <c r="BN51" t="s">
        <v>0</v>
      </c>
      <c r="BO51" t="s">
        <v>0</v>
      </c>
      <c r="BP51" t="s">
        <v>17</v>
      </c>
      <c r="BQ51" t="s">
        <v>0</v>
      </c>
      <c r="BR51" t="s">
        <v>17</v>
      </c>
      <c r="BS51" t="s">
        <v>17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</row>
    <row r="52" spans="1:80" ht="13.95" customHeight="1" x14ac:dyDescent="0.25">
      <c r="A52" t="s">
        <v>91</v>
      </c>
      <c r="B52" s="2">
        <v>46063</v>
      </c>
      <c r="C52" s="2">
        <v>46063</v>
      </c>
      <c r="D52" s="2">
        <v>46091</v>
      </c>
      <c r="E52" t="s">
        <v>2</v>
      </c>
      <c r="F52" t="s">
        <v>3</v>
      </c>
      <c r="G52" t="s">
        <v>0</v>
      </c>
      <c r="H52" t="s">
        <v>4</v>
      </c>
      <c r="I52" t="s">
        <v>64</v>
      </c>
      <c r="J52" t="s">
        <v>6</v>
      </c>
      <c r="K52" t="s">
        <v>30</v>
      </c>
      <c r="L52" t="s">
        <v>70</v>
      </c>
      <c r="M52" t="s">
        <v>71</v>
      </c>
      <c r="N52" t="s">
        <v>10</v>
      </c>
      <c r="O52" t="s">
        <v>0</v>
      </c>
      <c r="P52" t="s">
        <v>11</v>
      </c>
      <c r="Q52" s="5">
        <v>18</v>
      </c>
      <c r="R52" s="4">
        <v>55300</v>
      </c>
      <c r="S52" s="5">
        <v>1</v>
      </c>
      <c r="T52" s="4">
        <v>995400</v>
      </c>
      <c r="U52" s="5">
        <v>0</v>
      </c>
      <c r="V52" s="4">
        <v>0</v>
      </c>
      <c r="W52" s="5">
        <v>0</v>
      </c>
      <c r="X52" s="4">
        <v>0</v>
      </c>
      <c r="Y52" s="4">
        <f t="shared" si="0"/>
        <v>995400</v>
      </c>
      <c r="Z52" s="6" t="s">
        <v>0</v>
      </c>
      <c r="AA52" t="s">
        <v>2</v>
      </c>
      <c r="AB52" t="s">
        <v>12</v>
      </c>
      <c r="AC52">
        <f>_xlfn.XLOOKUP(AB52,'[1]GST Codes'!$A:$A,'[1]GST Codes'!$C:$C,0,0)</f>
        <v>18</v>
      </c>
      <c r="AD52">
        <f t="shared" si="1"/>
        <v>1174572</v>
      </c>
      <c r="AE52" t="s">
        <v>13</v>
      </c>
      <c r="AF52" t="s">
        <v>0</v>
      </c>
      <c r="AG52" t="s">
        <v>14</v>
      </c>
      <c r="AH52" t="s">
        <v>15</v>
      </c>
      <c r="AI52" t="s">
        <v>85</v>
      </c>
      <c r="AJ52" t="s">
        <v>17</v>
      </c>
      <c r="AK52" t="s">
        <v>18</v>
      </c>
      <c r="AL52" t="s">
        <v>19</v>
      </c>
      <c r="AM52" t="s">
        <v>64</v>
      </c>
      <c r="AN52" t="s">
        <v>0</v>
      </c>
      <c r="AO52" t="s">
        <v>0</v>
      </c>
      <c r="AP52" t="s">
        <v>0</v>
      </c>
      <c r="AQ52" s="5">
        <v>18</v>
      </c>
      <c r="AR52" t="s">
        <v>11</v>
      </c>
      <c r="AS52" t="s">
        <v>0</v>
      </c>
      <c r="AT52" t="s">
        <v>17</v>
      </c>
      <c r="AU52" s="4">
        <v>0</v>
      </c>
      <c r="AV52" s="4">
        <v>0</v>
      </c>
      <c r="AW52" s="4">
        <v>0</v>
      </c>
      <c r="AX52" s="4">
        <v>0</v>
      </c>
      <c r="AY52" s="5">
        <v>0</v>
      </c>
      <c r="AZ52" s="5">
        <v>0</v>
      </c>
      <c r="BA52" s="5">
        <v>0</v>
      </c>
      <c r="BB52" s="2"/>
      <c r="BC52" t="s">
        <v>0</v>
      </c>
      <c r="BD52" s="5">
        <v>1</v>
      </c>
      <c r="BE52" t="s">
        <v>0</v>
      </c>
      <c r="BF52" t="s">
        <v>72</v>
      </c>
      <c r="BG52" t="s">
        <v>17</v>
      </c>
      <c r="BH52" t="s">
        <v>0</v>
      </c>
      <c r="BI52" t="s">
        <v>11</v>
      </c>
      <c r="BJ52" t="s">
        <v>0</v>
      </c>
      <c r="BK52" t="s">
        <v>0</v>
      </c>
      <c r="BL52" s="5">
        <v>0</v>
      </c>
      <c r="BM52" t="s">
        <v>0</v>
      </c>
      <c r="BN52" t="s">
        <v>0</v>
      </c>
      <c r="BO52" t="s">
        <v>0</v>
      </c>
      <c r="BP52" t="s">
        <v>17</v>
      </c>
      <c r="BQ52" t="s">
        <v>0</v>
      </c>
      <c r="BR52" t="s">
        <v>17</v>
      </c>
      <c r="BS52" t="s">
        <v>17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</row>
    <row r="53" spans="1:80" ht="13.95" customHeight="1" x14ac:dyDescent="0.25">
      <c r="A53" t="s">
        <v>91</v>
      </c>
      <c r="B53" s="2">
        <v>46063</v>
      </c>
      <c r="C53" s="2">
        <v>46063</v>
      </c>
      <c r="D53" s="2">
        <v>46091</v>
      </c>
      <c r="E53" t="s">
        <v>2</v>
      </c>
      <c r="F53" t="s">
        <v>3</v>
      </c>
      <c r="G53" t="s">
        <v>0</v>
      </c>
      <c r="H53" t="s">
        <v>4</v>
      </c>
      <c r="I53" t="s">
        <v>64</v>
      </c>
      <c r="J53" t="s">
        <v>6</v>
      </c>
      <c r="K53" t="s">
        <v>34</v>
      </c>
      <c r="L53" t="s">
        <v>70</v>
      </c>
      <c r="M53" t="s">
        <v>71</v>
      </c>
      <c r="N53" t="s">
        <v>10</v>
      </c>
      <c r="O53" t="s">
        <v>0</v>
      </c>
      <c r="P53" t="s">
        <v>11</v>
      </c>
      <c r="Q53" s="5">
        <v>18</v>
      </c>
      <c r="R53" s="4">
        <v>55300</v>
      </c>
      <c r="S53" s="5">
        <v>1</v>
      </c>
      <c r="T53" s="4">
        <v>995400</v>
      </c>
      <c r="U53" s="5">
        <v>0</v>
      </c>
      <c r="V53" s="4">
        <v>0</v>
      </c>
      <c r="W53" s="5">
        <v>0</v>
      </c>
      <c r="X53" s="4">
        <v>0</v>
      </c>
      <c r="Y53" s="4">
        <f t="shared" si="0"/>
        <v>995400</v>
      </c>
      <c r="Z53" s="6" t="s">
        <v>0</v>
      </c>
      <c r="AA53" t="s">
        <v>2</v>
      </c>
      <c r="AB53" t="s">
        <v>12</v>
      </c>
      <c r="AC53">
        <f>_xlfn.XLOOKUP(AB53,'[1]GST Codes'!$A:$A,'[1]GST Codes'!$C:$C,0,0)</f>
        <v>18</v>
      </c>
      <c r="AD53">
        <f t="shared" si="1"/>
        <v>1174572</v>
      </c>
      <c r="AE53" t="s">
        <v>13</v>
      </c>
      <c r="AF53" t="s">
        <v>0</v>
      </c>
      <c r="AG53" t="s">
        <v>14</v>
      </c>
      <c r="AH53" t="s">
        <v>15</v>
      </c>
      <c r="AI53" t="s">
        <v>85</v>
      </c>
      <c r="AJ53" t="s">
        <v>17</v>
      </c>
      <c r="AK53" t="s">
        <v>18</v>
      </c>
      <c r="AL53" t="s">
        <v>19</v>
      </c>
      <c r="AM53" t="s">
        <v>64</v>
      </c>
      <c r="AN53" t="s">
        <v>0</v>
      </c>
      <c r="AO53" t="s">
        <v>0</v>
      </c>
      <c r="AP53" t="s">
        <v>0</v>
      </c>
      <c r="AQ53" s="5">
        <v>18</v>
      </c>
      <c r="AR53" t="s">
        <v>11</v>
      </c>
      <c r="AS53" t="s">
        <v>0</v>
      </c>
      <c r="AT53" t="s">
        <v>17</v>
      </c>
      <c r="AU53" s="4">
        <v>0</v>
      </c>
      <c r="AV53" s="4">
        <v>0</v>
      </c>
      <c r="AW53" s="4">
        <v>0</v>
      </c>
      <c r="AX53" s="4">
        <v>0</v>
      </c>
      <c r="AY53" s="5">
        <v>0</v>
      </c>
      <c r="AZ53" s="5">
        <v>0</v>
      </c>
      <c r="BA53" s="5">
        <v>0</v>
      </c>
      <c r="BB53" s="2"/>
      <c r="BC53" t="s">
        <v>0</v>
      </c>
      <c r="BD53" s="5">
        <v>1</v>
      </c>
      <c r="BE53" t="s">
        <v>0</v>
      </c>
      <c r="BF53" t="s">
        <v>72</v>
      </c>
      <c r="BG53" t="s">
        <v>17</v>
      </c>
      <c r="BH53" t="s">
        <v>0</v>
      </c>
      <c r="BI53" t="s">
        <v>11</v>
      </c>
      <c r="BJ53" t="s">
        <v>0</v>
      </c>
      <c r="BK53" t="s">
        <v>0</v>
      </c>
      <c r="BL53" s="5">
        <v>0</v>
      </c>
      <c r="BM53" t="s">
        <v>0</v>
      </c>
      <c r="BN53" t="s">
        <v>0</v>
      </c>
      <c r="BO53" t="s">
        <v>0</v>
      </c>
      <c r="BP53" t="s">
        <v>17</v>
      </c>
      <c r="BQ53" t="s">
        <v>0</v>
      </c>
      <c r="BR53" t="s">
        <v>17</v>
      </c>
      <c r="BS53" t="s">
        <v>17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</row>
    <row r="54" spans="1:80" ht="13.95" customHeight="1" x14ac:dyDescent="0.25">
      <c r="A54" t="s">
        <v>91</v>
      </c>
      <c r="B54" s="2">
        <v>46063</v>
      </c>
      <c r="C54" s="2">
        <v>46063</v>
      </c>
      <c r="D54" s="2">
        <v>46091</v>
      </c>
      <c r="E54" t="s">
        <v>2</v>
      </c>
      <c r="F54" t="s">
        <v>3</v>
      </c>
      <c r="G54" t="s">
        <v>0</v>
      </c>
      <c r="H54" t="s">
        <v>4</v>
      </c>
      <c r="I54" t="s">
        <v>64</v>
      </c>
      <c r="J54" t="s">
        <v>6</v>
      </c>
      <c r="K54" t="s">
        <v>38</v>
      </c>
      <c r="L54" t="s">
        <v>70</v>
      </c>
      <c r="M54" t="s">
        <v>71</v>
      </c>
      <c r="N54" t="s">
        <v>10</v>
      </c>
      <c r="O54" t="s">
        <v>0</v>
      </c>
      <c r="P54" t="s">
        <v>11</v>
      </c>
      <c r="Q54" s="5">
        <v>18</v>
      </c>
      <c r="R54" s="4">
        <v>55300</v>
      </c>
      <c r="S54" s="5">
        <v>1</v>
      </c>
      <c r="T54" s="4">
        <v>995400</v>
      </c>
      <c r="U54" s="5">
        <v>0</v>
      </c>
      <c r="V54" s="4">
        <v>0</v>
      </c>
      <c r="W54" s="5">
        <v>0</v>
      </c>
      <c r="X54" s="4">
        <v>0</v>
      </c>
      <c r="Y54" s="4">
        <f t="shared" si="0"/>
        <v>995400</v>
      </c>
      <c r="Z54" s="6" t="s">
        <v>0</v>
      </c>
      <c r="AA54" t="s">
        <v>2</v>
      </c>
      <c r="AB54" t="s">
        <v>12</v>
      </c>
      <c r="AC54">
        <f>_xlfn.XLOOKUP(AB54,'[1]GST Codes'!$A:$A,'[1]GST Codes'!$C:$C,0,0)</f>
        <v>18</v>
      </c>
      <c r="AD54">
        <f t="shared" si="1"/>
        <v>1174572</v>
      </c>
      <c r="AE54" t="s">
        <v>13</v>
      </c>
      <c r="AF54" t="s">
        <v>0</v>
      </c>
      <c r="AG54" t="s">
        <v>14</v>
      </c>
      <c r="AH54" t="s">
        <v>15</v>
      </c>
      <c r="AI54" t="s">
        <v>85</v>
      </c>
      <c r="AJ54" t="s">
        <v>17</v>
      </c>
      <c r="AK54" t="s">
        <v>18</v>
      </c>
      <c r="AL54" t="s">
        <v>19</v>
      </c>
      <c r="AM54" t="s">
        <v>64</v>
      </c>
      <c r="AN54" t="s">
        <v>0</v>
      </c>
      <c r="AO54" t="s">
        <v>0</v>
      </c>
      <c r="AP54" t="s">
        <v>0</v>
      </c>
      <c r="AQ54" s="5">
        <v>18</v>
      </c>
      <c r="AR54" t="s">
        <v>11</v>
      </c>
      <c r="AS54" t="s">
        <v>0</v>
      </c>
      <c r="AT54" t="s">
        <v>17</v>
      </c>
      <c r="AU54" s="4">
        <v>0</v>
      </c>
      <c r="AV54" s="4">
        <v>0</v>
      </c>
      <c r="AW54" s="4">
        <v>0</v>
      </c>
      <c r="AX54" s="4">
        <v>0</v>
      </c>
      <c r="AY54" s="5">
        <v>0</v>
      </c>
      <c r="AZ54" s="5">
        <v>0</v>
      </c>
      <c r="BA54" s="5">
        <v>0</v>
      </c>
      <c r="BB54" s="2"/>
      <c r="BC54" t="s">
        <v>0</v>
      </c>
      <c r="BD54" s="5">
        <v>1</v>
      </c>
      <c r="BE54" t="s">
        <v>0</v>
      </c>
      <c r="BF54" t="s">
        <v>72</v>
      </c>
      <c r="BG54" t="s">
        <v>17</v>
      </c>
      <c r="BH54" t="s">
        <v>0</v>
      </c>
      <c r="BI54" t="s">
        <v>11</v>
      </c>
      <c r="BJ54" t="s">
        <v>0</v>
      </c>
      <c r="BK54" t="s">
        <v>0</v>
      </c>
      <c r="BL54" s="5">
        <v>0</v>
      </c>
      <c r="BM54" t="s">
        <v>0</v>
      </c>
      <c r="BN54" t="s">
        <v>0</v>
      </c>
      <c r="BO54" t="s">
        <v>0</v>
      </c>
      <c r="BP54" t="s">
        <v>17</v>
      </c>
      <c r="BQ54" t="s">
        <v>0</v>
      </c>
      <c r="BR54" t="s">
        <v>17</v>
      </c>
      <c r="BS54" t="s">
        <v>17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</row>
    <row r="55" spans="1:80" ht="13.95" customHeight="1" x14ac:dyDescent="0.25">
      <c r="A55" t="s">
        <v>92</v>
      </c>
      <c r="B55" s="2">
        <v>46070</v>
      </c>
      <c r="C55" s="2">
        <v>46070</v>
      </c>
      <c r="D55" s="2">
        <v>46098</v>
      </c>
      <c r="E55" t="s">
        <v>2</v>
      </c>
      <c r="F55" t="s">
        <v>3</v>
      </c>
      <c r="G55" t="s">
        <v>0</v>
      </c>
      <c r="H55" t="s">
        <v>4</v>
      </c>
      <c r="I55" t="s">
        <v>64</v>
      </c>
      <c r="J55" t="s">
        <v>6</v>
      </c>
      <c r="K55" t="s">
        <v>7</v>
      </c>
      <c r="L55" t="s">
        <v>70</v>
      </c>
      <c r="M55" t="s">
        <v>93</v>
      </c>
      <c r="N55" t="s">
        <v>10</v>
      </c>
      <c r="O55" t="s">
        <v>0</v>
      </c>
      <c r="P55" t="s">
        <v>11</v>
      </c>
      <c r="Q55" s="5">
        <v>140</v>
      </c>
      <c r="R55" s="4">
        <v>55300</v>
      </c>
      <c r="S55" s="5">
        <v>1</v>
      </c>
      <c r="T55" s="4">
        <v>7742000</v>
      </c>
      <c r="U55" s="5">
        <v>0</v>
      </c>
      <c r="V55" s="4">
        <v>0</v>
      </c>
      <c r="W55" s="5">
        <v>0</v>
      </c>
      <c r="X55" s="4">
        <v>0</v>
      </c>
      <c r="Y55" s="4">
        <f t="shared" si="0"/>
        <v>7742000</v>
      </c>
      <c r="Z55" s="6" t="s">
        <v>0</v>
      </c>
      <c r="AA55" t="s">
        <v>2</v>
      </c>
      <c r="AB55" t="s">
        <v>12</v>
      </c>
      <c r="AC55">
        <f>_xlfn.XLOOKUP(AB55,'[1]GST Codes'!$A:$A,'[1]GST Codes'!$C:$C,0,0)</f>
        <v>18</v>
      </c>
      <c r="AD55">
        <f t="shared" si="1"/>
        <v>9135560</v>
      </c>
      <c r="AE55" t="s">
        <v>13</v>
      </c>
      <c r="AF55" t="s">
        <v>0</v>
      </c>
      <c r="AG55" t="s">
        <v>14</v>
      </c>
      <c r="AH55" t="s">
        <v>15</v>
      </c>
      <c r="AI55" t="s">
        <v>85</v>
      </c>
      <c r="AJ55" t="s">
        <v>17</v>
      </c>
      <c r="AK55" t="s">
        <v>18</v>
      </c>
      <c r="AL55" t="s">
        <v>19</v>
      </c>
      <c r="AM55" t="s">
        <v>64</v>
      </c>
      <c r="AN55" t="s">
        <v>0</v>
      </c>
      <c r="AO55" t="s">
        <v>0</v>
      </c>
      <c r="AP55" t="s">
        <v>0</v>
      </c>
      <c r="AQ55" s="5">
        <v>140</v>
      </c>
      <c r="AR55" t="s">
        <v>11</v>
      </c>
      <c r="AS55" t="s">
        <v>0</v>
      </c>
      <c r="AT55" t="s">
        <v>17</v>
      </c>
      <c r="AU55" s="4">
        <v>0</v>
      </c>
      <c r="AV55" s="4">
        <v>0</v>
      </c>
      <c r="AW55" s="4">
        <v>0</v>
      </c>
      <c r="AX55" s="4">
        <v>0</v>
      </c>
      <c r="AY55" s="5">
        <v>0</v>
      </c>
      <c r="AZ55" s="5">
        <v>0</v>
      </c>
      <c r="BA55" s="5">
        <v>0</v>
      </c>
      <c r="BB55" s="2"/>
      <c r="BC55" t="s">
        <v>0</v>
      </c>
      <c r="BD55" s="5">
        <v>1</v>
      </c>
      <c r="BE55" t="s">
        <v>0</v>
      </c>
      <c r="BF55" t="s">
        <v>72</v>
      </c>
      <c r="BG55" t="s">
        <v>17</v>
      </c>
      <c r="BH55" t="s">
        <v>0</v>
      </c>
      <c r="BI55" t="s">
        <v>11</v>
      </c>
      <c r="BJ55" t="s">
        <v>0</v>
      </c>
      <c r="BK55" t="s">
        <v>0</v>
      </c>
      <c r="BL55" s="5">
        <v>0</v>
      </c>
      <c r="BM55" t="s">
        <v>0</v>
      </c>
      <c r="BN55" t="s">
        <v>0</v>
      </c>
      <c r="BO55" t="s">
        <v>0</v>
      </c>
      <c r="BP55" t="s">
        <v>17</v>
      </c>
      <c r="BQ55" t="s">
        <v>0</v>
      </c>
      <c r="BR55" t="s">
        <v>17</v>
      </c>
      <c r="BS55" t="s">
        <v>17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</row>
    <row r="56" spans="1:80" ht="13.95" customHeight="1" x14ac:dyDescent="0.25">
      <c r="A56" t="s">
        <v>92</v>
      </c>
      <c r="B56" s="2">
        <v>46070</v>
      </c>
      <c r="C56" s="2">
        <v>46070</v>
      </c>
      <c r="D56" s="2">
        <v>46098</v>
      </c>
      <c r="E56" t="s">
        <v>2</v>
      </c>
      <c r="F56" t="s">
        <v>3</v>
      </c>
      <c r="G56" t="s">
        <v>0</v>
      </c>
      <c r="H56" t="s">
        <v>4</v>
      </c>
      <c r="I56" t="s">
        <v>64</v>
      </c>
      <c r="J56" t="s">
        <v>6</v>
      </c>
      <c r="K56" t="s">
        <v>22</v>
      </c>
      <c r="L56" t="s">
        <v>35</v>
      </c>
      <c r="M56" t="s">
        <v>94</v>
      </c>
      <c r="N56" t="s">
        <v>10</v>
      </c>
      <c r="O56" t="s">
        <v>0</v>
      </c>
      <c r="P56" t="s">
        <v>11</v>
      </c>
      <c r="Q56" s="5">
        <v>280</v>
      </c>
      <c r="R56" s="4">
        <v>54300</v>
      </c>
      <c r="S56" s="5">
        <v>1</v>
      </c>
      <c r="T56" s="4">
        <v>15204000</v>
      </c>
      <c r="U56" s="5">
        <v>0</v>
      </c>
      <c r="V56" s="4">
        <v>0</v>
      </c>
      <c r="W56" s="5">
        <v>0</v>
      </c>
      <c r="X56" s="4">
        <v>0</v>
      </c>
      <c r="Y56" s="4">
        <f t="shared" si="0"/>
        <v>15204000</v>
      </c>
      <c r="Z56" s="6" t="s">
        <v>0</v>
      </c>
      <c r="AA56" t="s">
        <v>2</v>
      </c>
      <c r="AB56" t="s">
        <v>12</v>
      </c>
      <c r="AC56">
        <f>_xlfn.XLOOKUP(AB56,'[1]GST Codes'!$A:$A,'[1]GST Codes'!$C:$C,0,0)</f>
        <v>18</v>
      </c>
      <c r="AD56">
        <f t="shared" si="1"/>
        <v>17940720</v>
      </c>
      <c r="AE56" t="s">
        <v>13</v>
      </c>
      <c r="AF56" t="s">
        <v>0</v>
      </c>
      <c r="AG56" t="s">
        <v>14</v>
      </c>
      <c r="AH56" t="s">
        <v>15</v>
      </c>
      <c r="AI56" t="s">
        <v>85</v>
      </c>
      <c r="AJ56" t="s">
        <v>17</v>
      </c>
      <c r="AK56" t="s">
        <v>18</v>
      </c>
      <c r="AL56" t="s">
        <v>19</v>
      </c>
      <c r="AM56" t="s">
        <v>64</v>
      </c>
      <c r="AN56" t="s">
        <v>0</v>
      </c>
      <c r="AO56" t="s">
        <v>0</v>
      </c>
      <c r="AP56" t="s">
        <v>0</v>
      </c>
      <c r="AQ56" s="5">
        <v>280</v>
      </c>
      <c r="AR56" t="s">
        <v>11</v>
      </c>
      <c r="AS56" t="s">
        <v>0</v>
      </c>
      <c r="AT56" t="s">
        <v>17</v>
      </c>
      <c r="AU56" s="4">
        <v>0</v>
      </c>
      <c r="AV56" s="4">
        <v>0</v>
      </c>
      <c r="AW56" s="4">
        <v>0</v>
      </c>
      <c r="AX56" s="4">
        <v>0</v>
      </c>
      <c r="AY56" s="5">
        <v>0</v>
      </c>
      <c r="AZ56" s="5">
        <v>0</v>
      </c>
      <c r="BA56" s="5">
        <v>0</v>
      </c>
      <c r="BB56" s="2"/>
      <c r="BC56" t="s">
        <v>0</v>
      </c>
      <c r="BD56" s="5">
        <v>1</v>
      </c>
      <c r="BE56" t="s">
        <v>0</v>
      </c>
      <c r="BF56" t="s">
        <v>73</v>
      </c>
      <c r="BG56" t="s">
        <v>17</v>
      </c>
      <c r="BH56" t="s">
        <v>0</v>
      </c>
      <c r="BI56" t="s">
        <v>11</v>
      </c>
      <c r="BJ56" t="s">
        <v>0</v>
      </c>
      <c r="BK56" t="s">
        <v>0</v>
      </c>
      <c r="BL56" s="5">
        <v>0</v>
      </c>
      <c r="BM56" t="s">
        <v>0</v>
      </c>
      <c r="BN56" t="s">
        <v>0</v>
      </c>
      <c r="BO56" t="s">
        <v>0</v>
      </c>
      <c r="BP56" t="s">
        <v>17</v>
      </c>
      <c r="BQ56" t="s">
        <v>0</v>
      </c>
      <c r="BR56" t="s">
        <v>17</v>
      </c>
      <c r="BS56" t="s">
        <v>17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</row>
    <row r="57" spans="1:80" ht="13.95" customHeight="1" x14ac:dyDescent="0.25">
      <c r="A57" t="s">
        <v>95</v>
      </c>
      <c r="B57" s="2">
        <v>46153</v>
      </c>
      <c r="C57" s="2">
        <v>46153</v>
      </c>
      <c r="D57" s="2">
        <v>46184</v>
      </c>
      <c r="E57" t="s">
        <v>2</v>
      </c>
      <c r="F57" t="s">
        <v>3</v>
      </c>
      <c r="G57" t="s">
        <v>0</v>
      </c>
      <c r="H57" t="s">
        <v>4</v>
      </c>
      <c r="I57" t="s">
        <v>64</v>
      </c>
      <c r="J57" t="s">
        <v>6</v>
      </c>
      <c r="K57" t="s">
        <v>7</v>
      </c>
      <c r="L57" t="s">
        <v>70</v>
      </c>
      <c r="M57" t="s">
        <v>71</v>
      </c>
      <c r="N57" t="s">
        <v>10</v>
      </c>
      <c r="O57" t="s">
        <v>0</v>
      </c>
      <c r="P57" t="s">
        <v>11</v>
      </c>
      <c r="Q57" s="5">
        <v>54</v>
      </c>
      <c r="R57" s="4">
        <v>55700</v>
      </c>
      <c r="S57" s="5">
        <v>1</v>
      </c>
      <c r="T57" s="4">
        <v>3007800</v>
      </c>
      <c r="U57" s="5">
        <v>0</v>
      </c>
      <c r="V57" s="4">
        <v>0</v>
      </c>
      <c r="W57" s="5">
        <v>0</v>
      </c>
      <c r="X57" s="4">
        <v>0</v>
      </c>
      <c r="Y57" s="4">
        <f t="shared" si="0"/>
        <v>3007800</v>
      </c>
      <c r="Z57" s="6" t="s">
        <v>0</v>
      </c>
      <c r="AA57" t="s">
        <v>2</v>
      </c>
      <c r="AB57" t="s">
        <v>12</v>
      </c>
      <c r="AC57">
        <f>_xlfn.XLOOKUP(AB57,'[1]GST Codes'!$A:$A,'[1]GST Codes'!$C:$C,0,0)</f>
        <v>18</v>
      </c>
      <c r="AD57">
        <f t="shared" si="1"/>
        <v>3549204</v>
      </c>
      <c r="AE57" t="s">
        <v>13</v>
      </c>
      <c r="AF57" t="s">
        <v>0</v>
      </c>
      <c r="AG57" t="s">
        <v>14</v>
      </c>
      <c r="AH57" t="s">
        <v>15</v>
      </c>
      <c r="AI57" t="s">
        <v>96</v>
      </c>
      <c r="AJ57" t="s">
        <v>17</v>
      </c>
      <c r="AK57" t="s">
        <v>18</v>
      </c>
      <c r="AL57" t="s">
        <v>19</v>
      </c>
      <c r="AM57" t="s">
        <v>64</v>
      </c>
      <c r="AN57" t="s">
        <v>0</v>
      </c>
      <c r="AO57" t="s">
        <v>0</v>
      </c>
      <c r="AP57" t="s">
        <v>0</v>
      </c>
      <c r="AQ57" s="5">
        <v>54</v>
      </c>
      <c r="AR57" t="s">
        <v>11</v>
      </c>
      <c r="AS57" t="s">
        <v>0</v>
      </c>
      <c r="AT57" t="s">
        <v>17</v>
      </c>
      <c r="AU57" s="4">
        <v>0</v>
      </c>
      <c r="AV57" s="4">
        <v>0</v>
      </c>
      <c r="AW57" s="4">
        <v>0</v>
      </c>
      <c r="AX57" s="4">
        <v>0</v>
      </c>
      <c r="AY57" s="5">
        <v>0</v>
      </c>
      <c r="AZ57" s="5">
        <v>0</v>
      </c>
      <c r="BA57" s="5">
        <v>0</v>
      </c>
      <c r="BB57" s="2"/>
      <c r="BC57" t="s">
        <v>0</v>
      </c>
      <c r="BD57" s="5">
        <v>1</v>
      </c>
      <c r="BE57" t="s">
        <v>0</v>
      </c>
      <c r="BF57" t="s">
        <v>72</v>
      </c>
      <c r="BG57" t="s">
        <v>17</v>
      </c>
      <c r="BH57" t="s">
        <v>0</v>
      </c>
      <c r="BI57" t="s">
        <v>11</v>
      </c>
      <c r="BJ57" t="s">
        <v>0</v>
      </c>
      <c r="BK57" t="s">
        <v>0</v>
      </c>
      <c r="BL57" s="5">
        <v>0</v>
      </c>
      <c r="BM57" t="s">
        <v>0</v>
      </c>
      <c r="BN57" t="s">
        <v>0</v>
      </c>
      <c r="BO57" t="s">
        <v>0</v>
      </c>
      <c r="BP57" t="s">
        <v>17</v>
      </c>
      <c r="BQ57" t="s">
        <v>0</v>
      </c>
      <c r="BR57" t="s">
        <v>17</v>
      </c>
      <c r="BS57" t="s">
        <v>17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</row>
    <row r="58" spans="1:80" ht="13.95" customHeight="1" x14ac:dyDescent="0.25">
      <c r="A58" t="s">
        <v>95</v>
      </c>
      <c r="B58" s="2">
        <v>46153</v>
      </c>
      <c r="C58" s="2">
        <v>46153</v>
      </c>
      <c r="D58" s="2">
        <v>46184</v>
      </c>
      <c r="E58" t="s">
        <v>2</v>
      </c>
      <c r="F58" t="s">
        <v>3</v>
      </c>
      <c r="G58" t="s">
        <v>0</v>
      </c>
      <c r="H58" t="s">
        <v>4</v>
      </c>
      <c r="I58" t="s">
        <v>64</v>
      </c>
      <c r="J58" t="s">
        <v>6</v>
      </c>
      <c r="K58" t="s">
        <v>22</v>
      </c>
      <c r="L58" t="s">
        <v>70</v>
      </c>
      <c r="M58" t="s">
        <v>71</v>
      </c>
      <c r="N58" t="s">
        <v>10</v>
      </c>
      <c r="O58" t="s">
        <v>0</v>
      </c>
      <c r="P58" t="s">
        <v>11</v>
      </c>
      <c r="Q58" s="5">
        <v>54</v>
      </c>
      <c r="R58" s="4">
        <v>55700</v>
      </c>
      <c r="S58" s="5">
        <v>1</v>
      </c>
      <c r="T58" s="4">
        <v>3007800</v>
      </c>
      <c r="U58" s="5">
        <v>0</v>
      </c>
      <c r="V58" s="4">
        <v>0</v>
      </c>
      <c r="W58" s="5">
        <v>0</v>
      </c>
      <c r="X58" s="4">
        <v>0</v>
      </c>
      <c r="Y58" s="4">
        <f t="shared" si="0"/>
        <v>3007800</v>
      </c>
      <c r="Z58" s="6" t="s">
        <v>0</v>
      </c>
      <c r="AA58" t="s">
        <v>2</v>
      </c>
      <c r="AB58" t="s">
        <v>12</v>
      </c>
      <c r="AC58">
        <f>_xlfn.XLOOKUP(AB58,'[1]GST Codes'!$A:$A,'[1]GST Codes'!$C:$C,0,0)</f>
        <v>18</v>
      </c>
      <c r="AD58">
        <f t="shared" si="1"/>
        <v>3549204</v>
      </c>
      <c r="AE58" t="s">
        <v>13</v>
      </c>
      <c r="AF58" t="s">
        <v>0</v>
      </c>
      <c r="AG58" t="s">
        <v>14</v>
      </c>
      <c r="AH58" t="s">
        <v>15</v>
      </c>
      <c r="AI58" t="s">
        <v>96</v>
      </c>
      <c r="AJ58" t="s">
        <v>17</v>
      </c>
      <c r="AK58" t="s">
        <v>18</v>
      </c>
      <c r="AL58" t="s">
        <v>19</v>
      </c>
      <c r="AM58" t="s">
        <v>64</v>
      </c>
      <c r="AN58" t="s">
        <v>0</v>
      </c>
      <c r="AO58" t="s">
        <v>0</v>
      </c>
      <c r="AP58" t="s">
        <v>0</v>
      </c>
      <c r="AQ58" s="5">
        <v>54</v>
      </c>
      <c r="AR58" t="s">
        <v>11</v>
      </c>
      <c r="AS58" t="s">
        <v>0</v>
      </c>
      <c r="AT58" t="s">
        <v>17</v>
      </c>
      <c r="AU58" s="4">
        <v>0</v>
      </c>
      <c r="AV58" s="4">
        <v>0</v>
      </c>
      <c r="AW58" s="4">
        <v>0</v>
      </c>
      <c r="AX58" s="4">
        <v>0</v>
      </c>
      <c r="AY58" s="5">
        <v>0</v>
      </c>
      <c r="AZ58" s="5">
        <v>0</v>
      </c>
      <c r="BA58" s="5">
        <v>0</v>
      </c>
      <c r="BB58" s="2"/>
      <c r="BC58" t="s">
        <v>0</v>
      </c>
      <c r="BD58" s="5">
        <v>1</v>
      </c>
      <c r="BE58" t="s">
        <v>0</v>
      </c>
      <c r="BF58" t="s">
        <v>72</v>
      </c>
      <c r="BG58" t="s">
        <v>17</v>
      </c>
      <c r="BH58" t="s">
        <v>0</v>
      </c>
      <c r="BI58" t="s">
        <v>11</v>
      </c>
      <c r="BJ58" t="s">
        <v>0</v>
      </c>
      <c r="BK58" t="s">
        <v>0</v>
      </c>
      <c r="BL58" s="5">
        <v>0</v>
      </c>
      <c r="BM58" t="s">
        <v>0</v>
      </c>
      <c r="BN58" t="s">
        <v>0</v>
      </c>
      <c r="BO58" t="s">
        <v>0</v>
      </c>
      <c r="BP58" t="s">
        <v>17</v>
      </c>
      <c r="BQ58" t="s">
        <v>0</v>
      </c>
      <c r="BR58" t="s">
        <v>17</v>
      </c>
      <c r="BS58" t="s">
        <v>17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</row>
    <row r="59" spans="1:80" ht="13.95" customHeight="1" x14ac:dyDescent="0.25">
      <c r="A59" t="s">
        <v>95</v>
      </c>
      <c r="B59" s="2">
        <v>46153</v>
      </c>
      <c r="C59" s="2">
        <v>46153</v>
      </c>
      <c r="D59" s="2">
        <v>46184</v>
      </c>
      <c r="E59" t="s">
        <v>2</v>
      </c>
      <c r="F59" t="s">
        <v>3</v>
      </c>
      <c r="G59" t="s">
        <v>0</v>
      </c>
      <c r="H59" t="s">
        <v>4</v>
      </c>
      <c r="I59" t="s">
        <v>64</v>
      </c>
      <c r="J59" t="s">
        <v>6</v>
      </c>
      <c r="K59" t="s">
        <v>26</v>
      </c>
      <c r="L59" t="s">
        <v>70</v>
      </c>
      <c r="M59" t="s">
        <v>71</v>
      </c>
      <c r="N59" t="s">
        <v>10</v>
      </c>
      <c r="O59" t="s">
        <v>0</v>
      </c>
      <c r="P59" t="s">
        <v>11</v>
      </c>
      <c r="Q59" s="5">
        <v>53</v>
      </c>
      <c r="R59" s="4">
        <v>55700</v>
      </c>
      <c r="S59" s="5">
        <v>1</v>
      </c>
      <c r="T59" s="4">
        <v>2952100</v>
      </c>
      <c r="U59" s="5">
        <v>0</v>
      </c>
      <c r="V59" s="4">
        <v>0</v>
      </c>
      <c r="W59" s="5">
        <v>0</v>
      </c>
      <c r="X59" s="4">
        <v>0</v>
      </c>
      <c r="Y59" s="4">
        <f t="shared" si="0"/>
        <v>2952100</v>
      </c>
      <c r="Z59" s="6" t="s">
        <v>0</v>
      </c>
      <c r="AA59" t="s">
        <v>2</v>
      </c>
      <c r="AB59" t="s">
        <v>12</v>
      </c>
      <c r="AC59">
        <f>_xlfn.XLOOKUP(AB59,'[1]GST Codes'!$A:$A,'[1]GST Codes'!$C:$C,0,0)</f>
        <v>18</v>
      </c>
      <c r="AD59">
        <f t="shared" si="1"/>
        <v>3483478</v>
      </c>
      <c r="AE59" t="s">
        <v>13</v>
      </c>
      <c r="AF59" t="s">
        <v>0</v>
      </c>
      <c r="AG59" t="s">
        <v>14</v>
      </c>
      <c r="AH59" t="s">
        <v>15</v>
      </c>
      <c r="AI59" t="s">
        <v>96</v>
      </c>
      <c r="AJ59" t="s">
        <v>17</v>
      </c>
      <c r="AK59" t="s">
        <v>18</v>
      </c>
      <c r="AL59" t="s">
        <v>19</v>
      </c>
      <c r="AM59" t="s">
        <v>64</v>
      </c>
      <c r="AN59" t="s">
        <v>0</v>
      </c>
      <c r="AO59" t="s">
        <v>0</v>
      </c>
      <c r="AP59" t="s">
        <v>0</v>
      </c>
      <c r="AQ59" s="5">
        <v>53</v>
      </c>
      <c r="AR59" t="s">
        <v>11</v>
      </c>
      <c r="AS59" t="s">
        <v>0</v>
      </c>
      <c r="AT59" t="s">
        <v>17</v>
      </c>
      <c r="AU59" s="4">
        <v>0</v>
      </c>
      <c r="AV59" s="4">
        <v>0</v>
      </c>
      <c r="AW59" s="4">
        <v>0</v>
      </c>
      <c r="AX59" s="4">
        <v>0</v>
      </c>
      <c r="AY59" s="5">
        <v>0</v>
      </c>
      <c r="AZ59" s="5">
        <v>0</v>
      </c>
      <c r="BA59" s="5">
        <v>0</v>
      </c>
      <c r="BB59" s="2"/>
      <c r="BC59" t="s">
        <v>0</v>
      </c>
      <c r="BD59" s="5">
        <v>1</v>
      </c>
      <c r="BE59" t="s">
        <v>0</v>
      </c>
      <c r="BF59" t="s">
        <v>72</v>
      </c>
      <c r="BG59" t="s">
        <v>17</v>
      </c>
      <c r="BH59" t="s">
        <v>0</v>
      </c>
      <c r="BI59" t="s">
        <v>11</v>
      </c>
      <c r="BJ59" t="s">
        <v>0</v>
      </c>
      <c r="BK59" t="s">
        <v>0</v>
      </c>
      <c r="BL59" s="5">
        <v>0</v>
      </c>
      <c r="BM59" t="s">
        <v>0</v>
      </c>
      <c r="BN59" t="s">
        <v>0</v>
      </c>
      <c r="BO59" t="s">
        <v>0</v>
      </c>
      <c r="BP59" t="s">
        <v>17</v>
      </c>
      <c r="BQ59" t="s">
        <v>0</v>
      </c>
      <c r="BR59" t="s">
        <v>17</v>
      </c>
      <c r="BS59" t="s">
        <v>17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</row>
    <row r="60" spans="1:80" ht="13.95" customHeight="1" x14ac:dyDescent="0.25">
      <c r="A60" t="s">
        <v>95</v>
      </c>
      <c r="B60" s="2">
        <v>46153</v>
      </c>
      <c r="C60" s="2">
        <v>46153</v>
      </c>
      <c r="D60" s="2">
        <v>46184</v>
      </c>
      <c r="E60" t="s">
        <v>2</v>
      </c>
      <c r="F60" t="s">
        <v>3</v>
      </c>
      <c r="G60" t="s">
        <v>0</v>
      </c>
      <c r="H60" t="s">
        <v>4</v>
      </c>
      <c r="I60" t="s">
        <v>64</v>
      </c>
      <c r="J60" t="s">
        <v>6</v>
      </c>
      <c r="K60" t="s">
        <v>30</v>
      </c>
      <c r="L60" t="s">
        <v>70</v>
      </c>
      <c r="M60" t="s">
        <v>71</v>
      </c>
      <c r="N60" t="s">
        <v>10</v>
      </c>
      <c r="O60" t="s">
        <v>0</v>
      </c>
      <c r="P60" t="s">
        <v>11</v>
      </c>
      <c r="Q60" s="5">
        <v>53</v>
      </c>
      <c r="R60" s="4">
        <v>55700</v>
      </c>
      <c r="S60" s="5">
        <v>1</v>
      </c>
      <c r="T60" s="4">
        <v>2952100</v>
      </c>
      <c r="U60" s="5">
        <v>0</v>
      </c>
      <c r="V60" s="4">
        <v>0</v>
      </c>
      <c r="W60" s="5">
        <v>0</v>
      </c>
      <c r="X60" s="4">
        <v>0</v>
      </c>
      <c r="Y60" s="4">
        <f t="shared" si="0"/>
        <v>2952100</v>
      </c>
      <c r="Z60" s="6" t="s">
        <v>0</v>
      </c>
      <c r="AA60" t="s">
        <v>2</v>
      </c>
      <c r="AB60" t="s">
        <v>12</v>
      </c>
      <c r="AC60">
        <f>_xlfn.XLOOKUP(AB60,'[1]GST Codes'!$A:$A,'[1]GST Codes'!$C:$C,0,0)</f>
        <v>18</v>
      </c>
      <c r="AD60">
        <f t="shared" si="1"/>
        <v>3483478</v>
      </c>
      <c r="AE60" t="s">
        <v>13</v>
      </c>
      <c r="AF60" t="s">
        <v>0</v>
      </c>
      <c r="AG60" t="s">
        <v>14</v>
      </c>
      <c r="AH60" t="s">
        <v>15</v>
      </c>
      <c r="AI60" t="s">
        <v>96</v>
      </c>
      <c r="AJ60" t="s">
        <v>17</v>
      </c>
      <c r="AK60" t="s">
        <v>18</v>
      </c>
      <c r="AL60" t="s">
        <v>19</v>
      </c>
      <c r="AM60" t="s">
        <v>64</v>
      </c>
      <c r="AN60" t="s">
        <v>0</v>
      </c>
      <c r="AO60" t="s">
        <v>0</v>
      </c>
      <c r="AP60" t="s">
        <v>0</v>
      </c>
      <c r="AQ60" s="5">
        <v>53</v>
      </c>
      <c r="AR60" t="s">
        <v>11</v>
      </c>
      <c r="AS60" t="s">
        <v>0</v>
      </c>
      <c r="AT60" t="s">
        <v>17</v>
      </c>
      <c r="AU60" s="4">
        <v>0</v>
      </c>
      <c r="AV60" s="4">
        <v>0</v>
      </c>
      <c r="AW60" s="4">
        <v>0</v>
      </c>
      <c r="AX60" s="4">
        <v>0</v>
      </c>
      <c r="AY60" s="5">
        <v>0</v>
      </c>
      <c r="AZ60" s="5">
        <v>0</v>
      </c>
      <c r="BA60" s="5">
        <v>0</v>
      </c>
      <c r="BB60" s="2"/>
      <c r="BC60" t="s">
        <v>0</v>
      </c>
      <c r="BD60" s="5">
        <v>1</v>
      </c>
      <c r="BE60" t="s">
        <v>0</v>
      </c>
      <c r="BF60" t="s">
        <v>72</v>
      </c>
      <c r="BG60" t="s">
        <v>17</v>
      </c>
      <c r="BH60" t="s">
        <v>0</v>
      </c>
      <c r="BI60" t="s">
        <v>11</v>
      </c>
      <c r="BJ60" t="s">
        <v>0</v>
      </c>
      <c r="BK60" t="s">
        <v>0</v>
      </c>
      <c r="BL60" s="5">
        <v>0</v>
      </c>
      <c r="BM60" t="s">
        <v>0</v>
      </c>
      <c r="BN60" t="s">
        <v>0</v>
      </c>
      <c r="BO60" t="s">
        <v>0</v>
      </c>
      <c r="BP60" t="s">
        <v>17</v>
      </c>
      <c r="BQ60" t="s">
        <v>0</v>
      </c>
      <c r="BR60" t="s">
        <v>17</v>
      </c>
      <c r="BS60" t="s">
        <v>17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</row>
    <row r="61" spans="1:80" ht="13.95" customHeight="1" x14ac:dyDescent="0.25">
      <c r="A61" t="s">
        <v>95</v>
      </c>
      <c r="B61" s="2">
        <v>46153</v>
      </c>
      <c r="C61" s="2">
        <v>46153</v>
      </c>
      <c r="D61" s="2">
        <v>46184</v>
      </c>
      <c r="E61" t="s">
        <v>2</v>
      </c>
      <c r="F61" t="s">
        <v>3</v>
      </c>
      <c r="G61" t="s">
        <v>0</v>
      </c>
      <c r="H61" t="s">
        <v>4</v>
      </c>
      <c r="I61" t="s">
        <v>64</v>
      </c>
      <c r="J61" t="s">
        <v>6</v>
      </c>
      <c r="K61" t="s">
        <v>34</v>
      </c>
      <c r="L61" t="s">
        <v>70</v>
      </c>
      <c r="M61" t="s">
        <v>71</v>
      </c>
      <c r="N61" t="s">
        <v>10</v>
      </c>
      <c r="O61" t="s">
        <v>0</v>
      </c>
      <c r="P61" t="s">
        <v>11</v>
      </c>
      <c r="Q61" s="5">
        <v>53</v>
      </c>
      <c r="R61" s="4">
        <v>55700</v>
      </c>
      <c r="S61" s="5">
        <v>1</v>
      </c>
      <c r="T61" s="4">
        <v>2952100</v>
      </c>
      <c r="U61" s="5">
        <v>0</v>
      </c>
      <c r="V61" s="4">
        <v>0</v>
      </c>
      <c r="W61" s="5">
        <v>0</v>
      </c>
      <c r="X61" s="4">
        <v>0</v>
      </c>
      <c r="Y61" s="4">
        <f t="shared" si="0"/>
        <v>2952100</v>
      </c>
      <c r="Z61" s="6" t="s">
        <v>0</v>
      </c>
      <c r="AA61" t="s">
        <v>2</v>
      </c>
      <c r="AB61" t="s">
        <v>12</v>
      </c>
      <c r="AC61">
        <f>_xlfn.XLOOKUP(AB61,'[1]GST Codes'!$A:$A,'[1]GST Codes'!$C:$C,0,0)</f>
        <v>18</v>
      </c>
      <c r="AD61">
        <f t="shared" si="1"/>
        <v>3483478</v>
      </c>
      <c r="AE61" t="s">
        <v>13</v>
      </c>
      <c r="AF61" t="s">
        <v>0</v>
      </c>
      <c r="AG61" t="s">
        <v>14</v>
      </c>
      <c r="AH61" t="s">
        <v>15</v>
      </c>
      <c r="AI61" t="s">
        <v>96</v>
      </c>
      <c r="AJ61" t="s">
        <v>17</v>
      </c>
      <c r="AK61" t="s">
        <v>18</v>
      </c>
      <c r="AL61" t="s">
        <v>19</v>
      </c>
      <c r="AM61" t="s">
        <v>64</v>
      </c>
      <c r="AN61" t="s">
        <v>0</v>
      </c>
      <c r="AO61" t="s">
        <v>0</v>
      </c>
      <c r="AP61" t="s">
        <v>0</v>
      </c>
      <c r="AQ61" s="5">
        <v>53</v>
      </c>
      <c r="AR61" t="s">
        <v>11</v>
      </c>
      <c r="AS61" t="s">
        <v>0</v>
      </c>
      <c r="AT61" t="s">
        <v>17</v>
      </c>
      <c r="AU61" s="4">
        <v>0</v>
      </c>
      <c r="AV61" s="4">
        <v>0</v>
      </c>
      <c r="AW61" s="4">
        <v>0</v>
      </c>
      <c r="AX61" s="4">
        <v>0</v>
      </c>
      <c r="AY61" s="5">
        <v>0</v>
      </c>
      <c r="AZ61" s="5">
        <v>0</v>
      </c>
      <c r="BA61" s="5">
        <v>0</v>
      </c>
      <c r="BB61" s="2"/>
      <c r="BC61" t="s">
        <v>0</v>
      </c>
      <c r="BD61" s="5">
        <v>1</v>
      </c>
      <c r="BE61" t="s">
        <v>0</v>
      </c>
      <c r="BF61" t="s">
        <v>72</v>
      </c>
      <c r="BG61" t="s">
        <v>17</v>
      </c>
      <c r="BH61" t="s">
        <v>0</v>
      </c>
      <c r="BI61" t="s">
        <v>11</v>
      </c>
      <c r="BJ61" t="s">
        <v>0</v>
      </c>
      <c r="BK61" t="s">
        <v>0</v>
      </c>
      <c r="BL61" s="5">
        <v>0</v>
      </c>
      <c r="BM61" t="s">
        <v>0</v>
      </c>
      <c r="BN61" t="s">
        <v>0</v>
      </c>
      <c r="BO61" t="s">
        <v>0</v>
      </c>
      <c r="BP61" t="s">
        <v>17</v>
      </c>
      <c r="BQ61" t="s">
        <v>0</v>
      </c>
      <c r="BR61" t="s">
        <v>17</v>
      </c>
      <c r="BS61" t="s">
        <v>17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</row>
    <row r="62" spans="1:80" ht="13.95" customHeight="1" x14ac:dyDescent="0.25">
      <c r="A62" t="s">
        <v>95</v>
      </c>
      <c r="B62" s="2">
        <v>46153</v>
      </c>
      <c r="C62" s="2">
        <v>46153</v>
      </c>
      <c r="D62" s="2">
        <v>46184</v>
      </c>
      <c r="E62" t="s">
        <v>2</v>
      </c>
      <c r="F62" t="s">
        <v>3</v>
      </c>
      <c r="G62" t="s">
        <v>0</v>
      </c>
      <c r="H62" t="s">
        <v>4</v>
      </c>
      <c r="I62" t="s">
        <v>64</v>
      </c>
      <c r="J62" t="s">
        <v>6</v>
      </c>
      <c r="K62" t="s">
        <v>38</v>
      </c>
      <c r="L62" t="s">
        <v>70</v>
      </c>
      <c r="M62" t="s">
        <v>71</v>
      </c>
      <c r="N62" t="s">
        <v>10</v>
      </c>
      <c r="O62" t="s">
        <v>0</v>
      </c>
      <c r="P62" t="s">
        <v>11</v>
      </c>
      <c r="Q62" s="5">
        <v>53</v>
      </c>
      <c r="R62" s="4">
        <v>55700</v>
      </c>
      <c r="S62" s="5">
        <v>1</v>
      </c>
      <c r="T62" s="4">
        <v>2952100</v>
      </c>
      <c r="U62" s="5">
        <v>0</v>
      </c>
      <c r="V62" s="4">
        <v>0</v>
      </c>
      <c r="W62" s="5">
        <v>0</v>
      </c>
      <c r="X62" s="4">
        <v>0</v>
      </c>
      <c r="Y62" s="4">
        <f t="shared" si="0"/>
        <v>2952100</v>
      </c>
      <c r="Z62" s="6" t="s">
        <v>0</v>
      </c>
      <c r="AA62" t="s">
        <v>2</v>
      </c>
      <c r="AB62" t="s">
        <v>12</v>
      </c>
      <c r="AC62">
        <f>_xlfn.XLOOKUP(AB62,'[1]GST Codes'!$A:$A,'[1]GST Codes'!$C:$C,0,0)</f>
        <v>18</v>
      </c>
      <c r="AD62">
        <f t="shared" si="1"/>
        <v>3483478</v>
      </c>
      <c r="AE62" t="s">
        <v>13</v>
      </c>
      <c r="AF62" t="s">
        <v>0</v>
      </c>
      <c r="AG62" t="s">
        <v>14</v>
      </c>
      <c r="AH62" t="s">
        <v>15</v>
      </c>
      <c r="AI62" t="s">
        <v>96</v>
      </c>
      <c r="AJ62" t="s">
        <v>17</v>
      </c>
      <c r="AK62" t="s">
        <v>18</v>
      </c>
      <c r="AL62" t="s">
        <v>19</v>
      </c>
      <c r="AM62" t="s">
        <v>64</v>
      </c>
      <c r="AN62" t="s">
        <v>0</v>
      </c>
      <c r="AO62" t="s">
        <v>0</v>
      </c>
      <c r="AP62" t="s">
        <v>0</v>
      </c>
      <c r="AQ62" s="5">
        <v>53</v>
      </c>
      <c r="AR62" t="s">
        <v>11</v>
      </c>
      <c r="AS62" t="s">
        <v>0</v>
      </c>
      <c r="AT62" t="s">
        <v>17</v>
      </c>
      <c r="AU62" s="4">
        <v>0</v>
      </c>
      <c r="AV62" s="4">
        <v>0</v>
      </c>
      <c r="AW62" s="4">
        <v>0</v>
      </c>
      <c r="AX62" s="4">
        <v>0</v>
      </c>
      <c r="AY62" s="5">
        <v>0</v>
      </c>
      <c r="AZ62" s="5">
        <v>0</v>
      </c>
      <c r="BA62" s="5">
        <v>0</v>
      </c>
      <c r="BB62" s="2"/>
      <c r="BC62" t="s">
        <v>0</v>
      </c>
      <c r="BD62" s="5">
        <v>1</v>
      </c>
      <c r="BE62" t="s">
        <v>0</v>
      </c>
      <c r="BF62" t="s">
        <v>72</v>
      </c>
      <c r="BG62" t="s">
        <v>17</v>
      </c>
      <c r="BH62" t="s">
        <v>0</v>
      </c>
      <c r="BI62" t="s">
        <v>11</v>
      </c>
      <c r="BJ62" t="s">
        <v>0</v>
      </c>
      <c r="BK62" t="s">
        <v>0</v>
      </c>
      <c r="BL62" s="5">
        <v>0</v>
      </c>
      <c r="BM62" t="s">
        <v>0</v>
      </c>
      <c r="BN62" t="s">
        <v>0</v>
      </c>
      <c r="BO62" t="s">
        <v>0</v>
      </c>
      <c r="BP62" t="s">
        <v>17</v>
      </c>
      <c r="BQ62" t="s">
        <v>0</v>
      </c>
      <c r="BR62" t="s">
        <v>17</v>
      </c>
      <c r="BS62" t="s">
        <v>17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</row>
    <row r="63" spans="1:80" ht="13.95" customHeight="1" x14ac:dyDescent="0.25">
      <c r="A63" t="s">
        <v>95</v>
      </c>
      <c r="B63" s="2">
        <v>46153</v>
      </c>
      <c r="C63" s="2">
        <v>46153</v>
      </c>
      <c r="D63" s="2">
        <v>46184</v>
      </c>
      <c r="E63" t="s">
        <v>2</v>
      </c>
      <c r="F63" t="s">
        <v>3</v>
      </c>
      <c r="G63" t="s">
        <v>0</v>
      </c>
      <c r="H63" t="s">
        <v>4</v>
      </c>
      <c r="I63" t="s">
        <v>64</v>
      </c>
      <c r="J63" t="s">
        <v>6</v>
      </c>
      <c r="K63" t="s">
        <v>42</v>
      </c>
      <c r="L63" t="s">
        <v>35</v>
      </c>
      <c r="M63" t="s">
        <v>36</v>
      </c>
      <c r="N63" t="s">
        <v>10</v>
      </c>
      <c r="O63" t="s">
        <v>0</v>
      </c>
      <c r="P63" t="s">
        <v>11</v>
      </c>
      <c r="Q63" s="5">
        <v>4</v>
      </c>
      <c r="R63" s="4">
        <v>54700</v>
      </c>
      <c r="S63" s="5">
        <v>1</v>
      </c>
      <c r="T63" s="4">
        <v>218800</v>
      </c>
      <c r="U63" s="5">
        <v>0</v>
      </c>
      <c r="V63" s="4">
        <v>0</v>
      </c>
      <c r="W63" s="5">
        <v>0</v>
      </c>
      <c r="X63" s="4">
        <v>0</v>
      </c>
      <c r="Y63" s="4">
        <f t="shared" si="0"/>
        <v>218800</v>
      </c>
      <c r="Z63" s="6" t="s">
        <v>0</v>
      </c>
      <c r="AA63" t="s">
        <v>2</v>
      </c>
      <c r="AB63" t="s">
        <v>12</v>
      </c>
      <c r="AC63">
        <f>_xlfn.XLOOKUP(AB63,'[1]GST Codes'!$A:$A,'[1]GST Codes'!$C:$C,0,0)</f>
        <v>18</v>
      </c>
      <c r="AD63">
        <f t="shared" si="1"/>
        <v>258184</v>
      </c>
      <c r="AE63" t="s">
        <v>13</v>
      </c>
      <c r="AF63" t="s">
        <v>0</v>
      </c>
      <c r="AG63" t="s">
        <v>14</v>
      </c>
      <c r="AH63" t="s">
        <v>15</v>
      </c>
      <c r="AI63" t="s">
        <v>96</v>
      </c>
      <c r="AJ63" t="s">
        <v>17</v>
      </c>
      <c r="AK63" t="s">
        <v>18</v>
      </c>
      <c r="AL63" t="s">
        <v>19</v>
      </c>
      <c r="AM63" t="s">
        <v>64</v>
      </c>
      <c r="AN63" t="s">
        <v>0</v>
      </c>
      <c r="AO63" t="s">
        <v>0</v>
      </c>
      <c r="AP63" t="s">
        <v>0</v>
      </c>
      <c r="AQ63" s="5">
        <v>4</v>
      </c>
      <c r="AR63" t="s">
        <v>11</v>
      </c>
      <c r="AS63" t="s">
        <v>0</v>
      </c>
      <c r="AT63" t="s">
        <v>17</v>
      </c>
      <c r="AU63" s="4">
        <v>0</v>
      </c>
      <c r="AV63" s="4">
        <v>0</v>
      </c>
      <c r="AW63" s="4">
        <v>0</v>
      </c>
      <c r="AX63" s="4">
        <v>0</v>
      </c>
      <c r="AY63" s="5">
        <v>0</v>
      </c>
      <c r="AZ63" s="5">
        <v>0</v>
      </c>
      <c r="BA63" s="5">
        <v>0</v>
      </c>
      <c r="BB63" s="2"/>
      <c r="BC63" t="s">
        <v>0</v>
      </c>
      <c r="BD63" s="5">
        <v>1</v>
      </c>
      <c r="BE63" t="s">
        <v>0</v>
      </c>
      <c r="BF63" t="s">
        <v>73</v>
      </c>
      <c r="BG63" t="s">
        <v>17</v>
      </c>
      <c r="BH63" t="s">
        <v>0</v>
      </c>
      <c r="BI63" t="s">
        <v>11</v>
      </c>
      <c r="BJ63" t="s">
        <v>0</v>
      </c>
      <c r="BK63" t="s">
        <v>0</v>
      </c>
      <c r="BL63" s="5">
        <v>0</v>
      </c>
      <c r="BM63" t="s">
        <v>0</v>
      </c>
      <c r="BN63" t="s">
        <v>0</v>
      </c>
      <c r="BO63" t="s">
        <v>0</v>
      </c>
      <c r="BP63" t="s">
        <v>17</v>
      </c>
      <c r="BQ63" t="s">
        <v>0</v>
      </c>
      <c r="BR63" t="s">
        <v>17</v>
      </c>
      <c r="BS63" t="s">
        <v>17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</row>
    <row r="64" spans="1:80" ht="13.95" customHeight="1" x14ac:dyDescent="0.25">
      <c r="A64" t="s">
        <v>95</v>
      </c>
      <c r="B64" s="2">
        <v>46153</v>
      </c>
      <c r="C64" s="2">
        <v>46153</v>
      </c>
      <c r="D64" s="2">
        <v>46184</v>
      </c>
      <c r="E64" t="s">
        <v>2</v>
      </c>
      <c r="F64" t="s">
        <v>3</v>
      </c>
      <c r="G64" t="s">
        <v>0</v>
      </c>
      <c r="H64" t="s">
        <v>4</v>
      </c>
      <c r="I64" t="s">
        <v>64</v>
      </c>
      <c r="J64" t="s">
        <v>6</v>
      </c>
      <c r="K64" t="s">
        <v>86</v>
      </c>
      <c r="L64" t="s">
        <v>35</v>
      </c>
      <c r="M64" t="s">
        <v>36</v>
      </c>
      <c r="N64" t="s">
        <v>10</v>
      </c>
      <c r="O64" t="s">
        <v>0</v>
      </c>
      <c r="P64" t="s">
        <v>11</v>
      </c>
      <c r="Q64" s="5">
        <v>4</v>
      </c>
      <c r="R64" s="4">
        <v>54700</v>
      </c>
      <c r="S64" s="5">
        <v>1</v>
      </c>
      <c r="T64" s="4">
        <v>218800</v>
      </c>
      <c r="U64" s="5">
        <v>0</v>
      </c>
      <c r="V64" s="4">
        <v>0</v>
      </c>
      <c r="W64" s="5">
        <v>0</v>
      </c>
      <c r="X64" s="4">
        <v>0</v>
      </c>
      <c r="Y64" s="4">
        <f t="shared" si="0"/>
        <v>218800</v>
      </c>
      <c r="Z64" s="6" t="s">
        <v>0</v>
      </c>
      <c r="AA64" t="s">
        <v>2</v>
      </c>
      <c r="AB64" t="s">
        <v>12</v>
      </c>
      <c r="AC64">
        <f>_xlfn.XLOOKUP(AB64,'[1]GST Codes'!$A:$A,'[1]GST Codes'!$C:$C,0,0)</f>
        <v>18</v>
      </c>
      <c r="AD64">
        <f t="shared" si="1"/>
        <v>258184</v>
      </c>
      <c r="AE64" t="s">
        <v>13</v>
      </c>
      <c r="AF64" t="s">
        <v>0</v>
      </c>
      <c r="AG64" t="s">
        <v>14</v>
      </c>
      <c r="AH64" t="s">
        <v>15</v>
      </c>
      <c r="AI64" t="s">
        <v>96</v>
      </c>
      <c r="AJ64" t="s">
        <v>17</v>
      </c>
      <c r="AK64" t="s">
        <v>18</v>
      </c>
      <c r="AL64" t="s">
        <v>19</v>
      </c>
      <c r="AM64" t="s">
        <v>64</v>
      </c>
      <c r="AN64" t="s">
        <v>0</v>
      </c>
      <c r="AO64" t="s">
        <v>0</v>
      </c>
      <c r="AP64" t="s">
        <v>0</v>
      </c>
      <c r="AQ64" s="5">
        <v>4</v>
      </c>
      <c r="AR64" t="s">
        <v>11</v>
      </c>
      <c r="AS64" t="s">
        <v>0</v>
      </c>
      <c r="AT64" t="s">
        <v>17</v>
      </c>
      <c r="AU64" s="4">
        <v>0</v>
      </c>
      <c r="AV64" s="4">
        <v>0</v>
      </c>
      <c r="AW64" s="4">
        <v>0</v>
      </c>
      <c r="AX64" s="4">
        <v>0</v>
      </c>
      <c r="AY64" s="5">
        <v>0</v>
      </c>
      <c r="AZ64" s="5">
        <v>0</v>
      </c>
      <c r="BA64" s="5">
        <v>0</v>
      </c>
      <c r="BB64" s="2"/>
      <c r="BC64" t="s">
        <v>0</v>
      </c>
      <c r="BD64" s="5">
        <v>1</v>
      </c>
      <c r="BE64" t="s">
        <v>0</v>
      </c>
      <c r="BF64" t="s">
        <v>73</v>
      </c>
      <c r="BG64" t="s">
        <v>17</v>
      </c>
      <c r="BH64" t="s">
        <v>0</v>
      </c>
      <c r="BI64" t="s">
        <v>11</v>
      </c>
      <c r="BJ64" t="s">
        <v>0</v>
      </c>
      <c r="BK64" t="s">
        <v>0</v>
      </c>
      <c r="BL64" s="5">
        <v>0</v>
      </c>
      <c r="BM64" t="s">
        <v>0</v>
      </c>
      <c r="BN64" t="s">
        <v>0</v>
      </c>
      <c r="BO64" t="s">
        <v>0</v>
      </c>
      <c r="BP64" t="s">
        <v>17</v>
      </c>
      <c r="BQ64" t="s">
        <v>0</v>
      </c>
      <c r="BR64" t="s">
        <v>17</v>
      </c>
      <c r="BS64" t="s">
        <v>17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</row>
    <row r="65" spans="1:80" ht="13.95" customHeight="1" x14ac:dyDescent="0.25">
      <c r="A65" t="s">
        <v>95</v>
      </c>
      <c r="B65" s="2">
        <v>46153</v>
      </c>
      <c r="C65" s="2">
        <v>46153</v>
      </c>
      <c r="D65" s="2">
        <v>46184</v>
      </c>
      <c r="E65" t="s">
        <v>2</v>
      </c>
      <c r="F65" t="s">
        <v>3</v>
      </c>
      <c r="G65" t="s">
        <v>0</v>
      </c>
      <c r="H65" t="s">
        <v>4</v>
      </c>
      <c r="I65" t="s">
        <v>64</v>
      </c>
      <c r="J65" t="s">
        <v>6</v>
      </c>
      <c r="K65" t="s">
        <v>87</v>
      </c>
      <c r="L65" t="s">
        <v>35</v>
      </c>
      <c r="M65" t="s">
        <v>36</v>
      </c>
      <c r="N65" t="s">
        <v>10</v>
      </c>
      <c r="O65" t="s">
        <v>0</v>
      </c>
      <c r="P65" t="s">
        <v>11</v>
      </c>
      <c r="Q65" s="5">
        <v>4</v>
      </c>
      <c r="R65" s="4">
        <v>54700</v>
      </c>
      <c r="S65" s="5">
        <v>1</v>
      </c>
      <c r="T65" s="4">
        <v>218800</v>
      </c>
      <c r="U65" s="5">
        <v>0</v>
      </c>
      <c r="V65" s="4">
        <v>0</v>
      </c>
      <c r="W65" s="5">
        <v>0</v>
      </c>
      <c r="X65" s="4">
        <v>0</v>
      </c>
      <c r="Y65" s="4">
        <f t="shared" si="0"/>
        <v>218800</v>
      </c>
      <c r="Z65" s="6" t="s">
        <v>0</v>
      </c>
      <c r="AA65" t="s">
        <v>2</v>
      </c>
      <c r="AB65" t="s">
        <v>12</v>
      </c>
      <c r="AC65">
        <f>_xlfn.XLOOKUP(AB65,'[1]GST Codes'!$A:$A,'[1]GST Codes'!$C:$C,0,0)</f>
        <v>18</v>
      </c>
      <c r="AD65">
        <f t="shared" si="1"/>
        <v>258184</v>
      </c>
      <c r="AE65" t="s">
        <v>13</v>
      </c>
      <c r="AF65" t="s">
        <v>0</v>
      </c>
      <c r="AG65" t="s">
        <v>14</v>
      </c>
      <c r="AH65" t="s">
        <v>15</v>
      </c>
      <c r="AI65" t="s">
        <v>96</v>
      </c>
      <c r="AJ65" t="s">
        <v>17</v>
      </c>
      <c r="AK65" t="s">
        <v>18</v>
      </c>
      <c r="AL65" t="s">
        <v>19</v>
      </c>
      <c r="AM65" t="s">
        <v>64</v>
      </c>
      <c r="AN65" t="s">
        <v>0</v>
      </c>
      <c r="AO65" t="s">
        <v>0</v>
      </c>
      <c r="AP65" t="s">
        <v>0</v>
      </c>
      <c r="AQ65" s="5">
        <v>4</v>
      </c>
      <c r="AR65" t="s">
        <v>11</v>
      </c>
      <c r="AS65" t="s">
        <v>0</v>
      </c>
      <c r="AT65" t="s">
        <v>17</v>
      </c>
      <c r="AU65" s="4">
        <v>0</v>
      </c>
      <c r="AV65" s="4">
        <v>0</v>
      </c>
      <c r="AW65" s="4">
        <v>0</v>
      </c>
      <c r="AX65" s="4">
        <v>0</v>
      </c>
      <c r="AY65" s="5">
        <v>0</v>
      </c>
      <c r="AZ65" s="5">
        <v>0</v>
      </c>
      <c r="BA65" s="5">
        <v>0</v>
      </c>
      <c r="BB65" s="2"/>
      <c r="BC65" t="s">
        <v>0</v>
      </c>
      <c r="BD65" s="5">
        <v>1</v>
      </c>
      <c r="BE65" t="s">
        <v>0</v>
      </c>
      <c r="BF65" t="s">
        <v>73</v>
      </c>
      <c r="BG65" t="s">
        <v>17</v>
      </c>
      <c r="BH65" t="s">
        <v>0</v>
      </c>
      <c r="BI65" t="s">
        <v>11</v>
      </c>
      <c r="BJ65" t="s">
        <v>0</v>
      </c>
      <c r="BK65" t="s">
        <v>0</v>
      </c>
      <c r="BL65" s="5">
        <v>0</v>
      </c>
      <c r="BM65" t="s">
        <v>0</v>
      </c>
      <c r="BN65" t="s">
        <v>0</v>
      </c>
      <c r="BO65" t="s">
        <v>0</v>
      </c>
      <c r="BP65" t="s">
        <v>17</v>
      </c>
      <c r="BQ65" t="s">
        <v>0</v>
      </c>
      <c r="BR65" t="s">
        <v>17</v>
      </c>
      <c r="BS65" t="s">
        <v>17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</row>
    <row r="66" spans="1:80" ht="13.95" customHeight="1" x14ac:dyDescent="0.25">
      <c r="A66" t="s">
        <v>95</v>
      </c>
      <c r="B66" s="2">
        <v>46153</v>
      </c>
      <c r="C66" s="2">
        <v>46153</v>
      </c>
      <c r="D66" s="2">
        <v>46184</v>
      </c>
      <c r="E66" t="s">
        <v>2</v>
      </c>
      <c r="F66" t="s">
        <v>3</v>
      </c>
      <c r="G66" t="s">
        <v>0</v>
      </c>
      <c r="H66" t="s">
        <v>4</v>
      </c>
      <c r="I66" t="s">
        <v>64</v>
      </c>
      <c r="J66" t="s">
        <v>6</v>
      </c>
      <c r="K66" t="s">
        <v>88</v>
      </c>
      <c r="L66" t="s">
        <v>35</v>
      </c>
      <c r="M66" t="s">
        <v>36</v>
      </c>
      <c r="N66" t="s">
        <v>10</v>
      </c>
      <c r="O66" t="s">
        <v>0</v>
      </c>
      <c r="P66" t="s">
        <v>11</v>
      </c>
      <c r="Q66" s="5">
        <v>4</v>
      </c>
      <c r="R66" s="4">
        <v>54700</v>
      </c>
      <c r="S66" s="5">
        <v>1</v>
      </c>
      <c r="T66" s="4">
        <v>218800</v>
      </c>
      <c r="U66" s="5">
        <v>0</v>
      </c>
      <c r="V66" s="4">
        <v>0</v>
      </c>
      <c r="W66" s="5">
        <v>0</v>
      </c>
      <c r="X66" s="4">
        <v>0</v>
      </c>
      <c r="Y66" s="4">
        <f t="shared" si="0"/>
        <v>218800</v>
      </c>
      <c r="Z66" s="6" t="s">
        <v>0</v>
      </c>
      <c r="AA66" t="s">
        <v>2</v>
      </c>
      <c r="AB66" t="s">
        <v>12</v>
      </c>
      <c r="AC66">
        <f>_xlfn.XLOOKUP(AB66,'[1]GST Codes'!$A:$A,'[1]GST Codes'!$C:$C,0,0)</f>
        <v>18</v>
      </c>
      <c r="AD66">
        <f t="shared" si="1"/>
        <v>258184</v>
      </c>
      <c r="AE66" t="s">
        <v>13</v>
      </c>
      <c r="AF66" t="s">
        <v>0</v>
      </c>
      <c r="AG66" t="s">
        <v>14</v>
      </c>
      <c r="AH66" t="s">
        <v>15</v>
      </c>
      <c r="AI66" t="s">
        <v>96</v>
      </c>
      <c r="AJ66" t="s">
        <v>17</v>
      </c>
      <c r="AK66" t="s">
        <v>18</v>
      </c>
      <c r="AL66" t="s">
        <v>19</v>
      </c>
      <c r="AM66" t="s">
        <v>64</v>
      </c>
      <c r="AN66" t="s">
        <v>0</v>
      </c>
      <c r="AO66" t="s">
        <v>0</v>
      </c>
      <c r="AP66" t="s">
        <v>0</v>
      </c>
      <c r="AQ66" s="5">
        <v>4</v>
      </c>
      <c r="AR66" t="s">
        <v>11</v>
      </c>
      <c r="AS66" t="s">
        <v>0</v>
      </c>
      <c r="AT66" t="s">
        <v>17</v>
      </c>
      <c r="AU66" s="4">
        <v>0</v>
      </c>
      <c r="AV66" s="4">
        <v>0</v>
      </c>
      <c r="AW66" s="4">
        <v>0</v>
      </c>
      <c r="AX66" s="4">
        <v>0</v>
      </c>
      <c r="AY66" s="5">
        <v>0</v>
      </c>
      <c r="AZ66" s="5">
        <v>0</v>
      </c>
      <c r="BA66" s="5">
        <v>0</v>
      </c>
      <c r="BB66" s="2"/>
      <c r="BC66" t="s">
        <v>0</v>
      </c>
      <c r="BD66" s="5">
        <v>1</v>
      </c>
      <c r="BE66" t="s">
        <v>0</v>
      </c>
      <c r="BF66" t="s">
        <v>73</v>
      </c>
      <c r="BG66" t="s">
        <v>17</v>
      </c>
      <c r="BH66" t="s">
        <v>0</v>
      </c>
      <c r="BI66" t="s">
        <v>11</v>
      </c>
      <c r="BJ66" t="s">
        <v>0</v>
      </c>
      <c r="BK66" t="s">
        <v>0</v>
      </c>
      <c r="BL66" s="5">
        <v>0</v>
      </c>
      <c r="BM66" t="s">
        <v>0</v>
      </c>
      <c r="BN66" t="s">
        <v>0</v>
      </c>
      <c r="BO66" t="s">
        <v>0</v>
      </c>
      <c r="BP66" t="s">
        <v>17</v>
      </c>
      <c r="BQ66" t="s">
        <v>0</v>
      </c>
      <c r="BR66" t="s">
        <v>17</v>
      </c>
      <c r="BS66" t="s">
        <v>17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</row>
    <row r="67" spans="1:80" ht="13.95" customHeight="1" x14ac:dyDescent="0.25">
      <c r="A67" t="s">
        <v>95</v>
      </c>
      <c r="B67" s="2">
        <v>46153</v>
      </c>
      <c r="C67" s="2">
        <v>46153</v>
      </c>
      <c r="D67" s="2">
        <v>46184</v>
      </c>
      <c r="E67" t="s">
        <v>2</v>
      </c>
      <c r="F67" t="s">
        <v>3</v>
      </c>
      <c r="G67" t="s">
        <v>0</v>
      </c>
      <c r="H67" t="s">
        <v>4</v>
      </c>
      <c r="I67" t="s">
        <v>64</v>
      </c>
      <c r="J67" t="s">
        <v>6</v>
      </c>
      <c r="K67" t="s">
        <v>89</v>
      </c>
      <c r="L67" t="s">
        <v>35</v>
      </c>
      <c r="M67" t="s">
        <v>36</v>
      </c>
      <c r="N67" t="s">
        <v>10</v>
      </c>
      <c r="O67" t="s">
        <v>0</v>
      </c>
      <c r="P67" t="s">
        <v>11</v>
      </c>
      <c r="Q67" s="5">
        <v>3</v>
      </c>
      <c r="R67" s="4">
        <v>54700</v>
      </c>
      <c r="S67" s="5">
        <v>1</v>
      </c>
      <c r="T67" s="4">
        <v>164100</v>
      </c>
      <c r="U67" s="5">
        <v>0</v>
      </c>
      <c r="V67" s="4">
        <v>0</v>
      </c>
      <c r="W67" s="5">
        <v>0</v>
      </c>
      <c r="X67" s="4">
        <v>0</v>
      </c>
      <c r="Y67" s="4">
        <f t="shared" ref="Y67:Y130" si="2">T67-V67</f>
        <v>164100</v>
      </c>
      <c r="Z67" s="6" t="s">
        <v>0</v>
      </c>
      <c r="AA67" t="s">
        <v>2</v>
      </c>
      <c r="AB67" t="s">
        <v>12</v>
      </c>
      <c r="AC67">
        <f>_xlfn.XLOOKUP(AB67,'[1]GST Codes'!$A:$A,'[1]GST Codes'!$C:$C,0,0)</f>
        <v>18</v>
      </c>
      <c r="AD67">
        <f t="shared" ref="AD67:AD130" si="3">Y67+(Y67*AC67/100)</f>
        <v>193638</v>
      </c>
      <c r="AE67" t="s">
        <v>13</v>
      </c>
      <c r="AF67" t="s">
        <v>0</v>
      </c>
      <c r="AG67" t="s">
        <v>14</v>
      </c>
      <c r="AH67" t="s">
        <v>15</v>
      </c>
      <c r="AI67" t="s">
        <v>96</v>
      </c>
      <c r="AJ67" t="s">
        <v>17</v>
      </c>
      <c r="AK67" t="s">
        <v>18</v>
      </c>
      <c r="AL67" t="s">
        <v>19</v>
      </c>
      <c r="AM67" t="s">
        <v>64</v>
      </c>
      <c r="AN67" t="s">
        <v>0</v>
      </c>
      <c r="AO67" t="s">
        <v>0</v>
      </c>
      <c r="AP67" t="s">
        <v>0</v>
      </c>
      <c r="AQ67" s="5">
        <v>3</v>
      </c>
      <c r="AR67" t="s">
        <v>11</v>
      </c>
      <c r="AS67" t="s">
        <v>0</v>
      </c>
      <c r="AT67" t="s">
        <v>17</v>
      </c>
      <c r="AU67" s="4">
        <v>0</v>
      </c>
      <c r="AV67" s="4">
        <v>0</v>
      </c>
      <c r="AW67" s="4">
        <v>0</v>
      </c>
      <c r="AX67" s="4">
        <v>0</v>
      </c>
      <c r="AY67" s="5">
        <v>0</v>
      </c>
      <c r="AZ67" s="5">
        <v>0</v>
      </c>
      <c r="BA67" s="5">
        <v>0</v>
      </c>
      <c r="BB67" s="2"/>
      <c r="BC67" t="s">
        <v>0</v>
      </c>
      <c r="BD67" s="5">
        <v>1</v>
      </c>
      <c r="BE67" t="s">
        <v>0</v>
      </c>
      <c r="BF67" t="s">
        <v>73</v>
      </c>
      <c r="BG67" t="s">
        <v>17</v>
      </c>
      <c r="BH67" t="s">
        <v>0</v>
      </c>
      <c r="BI67" t="s">
        <v>11</v>
      </c>
      <c r="BJ67" t="s">
        <v>0</v>
      </c>
      <c r="BK67" t="s">
        <v>0</v>
      </c>
      <c r="BL67" s="5">
        <v>0</v>
      </c>
      <c r="BM67" t="s">
        <v>0</v>
      </c>
      <c r="BN67" t="s">
        <v>0</v>
      </c>
      <c r="BO67" t="s">
        <v>0</v>
      </c>
      <c r="BP67" t="s">
        <v>17</v>
      </c>
      <c r="BQ67" t="s">
        <v>0</v>
      </c>
      <c r="BR67" t="s">
        <v>17</v>
      </c>
      <c r="BS67" t="s">
        <v>17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</row>
    <row r="68" spans="1:80" ht="13.95" customHeight="1" x14ac:dyDescent="0.25">
      <c r="A68" t="s">
        <v>95</v>
      </c>
      <c r="B68" s="2">
        <v>46153</v>
      </c>
      <c r="C68" s="2">
        <v>46153</v>
      </c>
      <c r="D68" s="2">
        <v>46184</v>
      </c>
      <c r="E68" t="s">
        <v>2</v>
      </c>
      <c r="F68" t="s">
        <v>3</v>
      </c>
      <c r="G68" t="s">
        <v>0</v>
      </c>
      <c r="H68" t="s">
        <v>4</v>
      </c>
      <c r="I68" t="s">
        <v>64</v>
      </c>
      <c r="J68" t="s">
        <v>6</v>
      </c>
      <c r="K68" t="s">
        <v>90</v>
      </c>
      <c r="L68" t="s">
        <v>35</v>
      </c>
      <c r="M68" t="s">
        <v>36</v>
      </c>
      <c r="N68" t="s">
        <v>10</v>
      </c>
      <c r="O68" t="s">
        <v>0</v>
      </c>
      <c r="P68" t="s">
        <v>11</v>
      </c>
      <c r="Q68" s="5">
        <v>3</v>
      </c>
      <c r="R68" s="4">
        <v>54700</v>
      </c>
      <c r="S68" s="5">
        <v>1</v>
      </c>
      <c r="T68" s="4">
        <v>164100</v>
      </c>
      <c r="U68" s="3">
        <v>0.62</v>
      </c>
      <c r="V68" s="4">
        <v>33914</v>
      </c>
      <c r="W68" s="3">
        <v>0.62</v>
      </c>
      <c r="X68" s="4">
        <v>33914</v>
      </c>
      <c r="Y68" s="4">
        <f t="shared" si="2"/>
        <v>130186</v>
      </c>
      <c r="Z68" s="6" t="s">
        <v>0</v>
      </c>
      <c r="AA68" t="s">
        <v>2</v>
      </c>
      <c r="AB68" t="s">
        <v>12</v>
      </c>
      <c r="AC68">
        <f>_xlfn.XLOOKUP(AB68,'[1]GST Codes'!$A:$A,'[1]GST Codes'!$C:$C,0,0)</f>
        <v>18</v>
      </c>
      <c r="AD68">
        <f t="shared" si="3"/>
        <v>153619.48000000001</v>
      </c>
      <c r="AE68" t="s">
        <v>13</v>
      </c>
      <c r="AF68" t="s">
        <v>0</v>
      </c>
      <c r="AG68" t="s">
        <v>14</v>
      </c>
      <c r="AH68" t="s">
        <v>15</v>
      </c>
      <c r="AI68" t="s">
        <v>96</v>
      </c>
      <c r="AJ68" t="s">
        <v>17</v>
      </c>
      <c r="AK68" t="s">
        <v>18</v>
      </c>
      <c r="AL68" t="s">
        <v>19</v>
      </c>
      <c r="AM68" t="s">
        <v>64</v>
      </c>
      <c r="AN68" t="s">
        <v>0</v>
      </c>
      <c r="AO68" t="s">
        <v>0</v>
      </c>
      <c r="AP68" t="s">
        <v>0</v>
      </c>
      <c r="AQ68" s="5">
        <v>3</v>
      </c>
      <c r="AR68" t="s">
        <v>11</v>
      </c>
      <c r="AS68" t="s">
        <v>0</v>
      </c>
      <c r="AT68" t="s">
        <v>17</v>
      </c>
      <c r="AU68" s="4">
        <v>0</v>
      </c>
      <c r="AV68" s="4">
        <v>0</v>
      </c>
      <c r="AW68" s="4">
        <v>0</v>
      </c>
      <c r="AX68" s="4">
        <v>0</v>
      </c>
      <c r="AY68" s="5">
        <v>0</v>
      </c>
      <c r="AZ68" s="5">
        <v>0</v>
      </c>
      <c r="BA68" s="5">
        <v>0</v>
      </c>
      <c r="BB68" s="2"/>
      <c r="BC68" t="s">
        <v>0</v>
      </c>
      <c r="BD68" s="5">
        <v>1</v>
      </c>
      <c r="BE68" t="s">
        <v>0</v>
      </c>
      <c r="BF68" t="s">
        <v>73</v>
      </c>
      <c r="BG68" t="s">
        <v>17</v>
      </c>
      <c r="BH68" t="s">
        <v>0</v>
      </c>
      <c r="BI68" t="s">
        <v>11</v>
      </c>
      <c r="BJ68" t="s">
        <v>0</v>
      </c>
      <c r="BK68" t="s">
        <v>0</v>
      </c>
      <c r="BL68" s="5">
        <v>0</v>
      </c>
      <c r="BM68" t="s">
        <v>0</v>
      </c>
      <c r="BN68" t="s">
        <v>0</v>
      </c>
      <c r="BO68" t="s">
        <v>0</v>
      </c>
      <c r="BP68" t="s">
        <v>17</v>
      </c>
      <c r="BQ68" t="s">
        <v>0</v>
      </c>
      <c r="BR68" t="s">
        <v>17</v>
      </c>
      <c r="BS68" t="s">
        <v>17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</row>
    <row r="69" spans="1:80" ht="13.95" customHeight="1" x14ac:dyDescent="0.25">
      <c r="A69" t="s">
        <v>97</v>
      </c>
      <c r="B69" s="2">
        <v>45330</v>
      </c>
      <c r="C69" s="2">
        <v>45677</v>
      </c>
      <c r="D69" s="2">
        <v>45736</v>
      </c>
      <c r="E69" t="s">
        <v>2</v>
      </c>
      <c r="F69" t="s">
        <v>82</v>
      </c>
      <c r="G69" t="s">
        <v>98</v>
      </c>
      <c r="H69" t="s">
        <v>4</v>
      </c>
      <c r="I69" t="s">
        <v>99</v>
      </c>
      <c r="J69" t="s">
        <v>6</v>
      </c>
      <c r="K69" t="s">
        <v>7</v>
      </c>
      <c r="L69" t="s">
        <v>100</v>
      </c>
      <c r="M69" t="s">
        <v>101</v>
      </c>
      <c r="N69" t="s">
        <v>10</v>
      </c>
      <c r="O69" t="s">
        <v>0</v>
      </c>
      <c r="P69" t="s">
        <v>102</v>
      </c>
      <c r="Q69" s="5">
        <v>100</v>
      </c>
      <c r="R69" s="4">
        <v>3743</v>
      </c>
      <c r="S69" s="5">
        <v>1</v>
      </c>
      <c r="T69" s="4">
        <v>374300</v>
      </c>
      <c r="U69" s="5">
        <v>0</v>
      </c>
      <c r="V69" s="4">
        <v>0</v>
      </c>
      <c r="W69" s="5">
        <v>0</v>
      </c>
      <c r="X69" s="4">
        <v>0</v>
      </c>
      <c r="Y69" s="4">
        <f t="shared" si="2"/>
        <v>374300</v>
      </c>
      <c r="Z69" s="6" t="s">
        <v>0</v>
      </c>
      <c r="AA69" t="s">
        <v>2</v>
      </c>
      <c r="AB69" t="s">
        <v>103</v>
      </c>
      <c r="AC69">
        <f>_xlfn.XLOOKUP(AB69,'[1]GST Codes'!$A:$A,'[1]GST Codes'!$C:$C,0,0)</f>
        <v>18</v>
      </c>
      <c r="AD69">
        <f t="shared" si="3"/>
        <v>441674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17</v>
      </c>
      <c r="AK69" t="s">
        <v>18</v>
      </c>
      <c r="AL69" t="s">
        <v>104</v>
      </c>
      <c r="AM69" t="s">
        <v>99</v>
      </c>
      <c r="AN69" t="s">
        <v>0</v>
      </c>
      <c r="AO69" t="s">
        <v>20</v>
      </c>
      <c r="AP69" t="s">
        <v>0</v>
      </c>
      <c r="AQ69" s="5">
        <v>100</v>
      </c>
      <c r="AR69" t="s">
        <v>102</v>
      </c>
      <c r="AS69" t="s">
        <v>0</v>
      </c>
      <c r="AT69" t="s">
        <v>17</v>
      </c>
      <c r="AU69" s="4">
        <v>0</v>
      </c>
      <c r="AV69" s="4">
        <v>0</v>
      </c>
      <c r="AW69" s="4">
        <v>0</v>
      </c>
      <c r="AX69" s="4">
        <v>0</v>
      </c>
      <c r="AY69" s="5">
        <v>0</v>
      </c>
      <c r="AZ69" s="5">
        <v>0</v>
      </c>
      <c r="BA69" s="5">
        <v>0</v>
      </c>
      <c r="BB69" s="2"/>
      <c r="BC69" t="s">
        <v>0</v>
      </c>
      <c r="BD69" s="5">
        <v>1</v>
      </c>
      <c r="BE69" t="s">
        <v>0</v>
      </c>
      <c r="BF69" t="s">
        <v>105</v>
      </c>
      <c r="BG69" t="s">
        <v>17</v>
      </c>
      <c r="BH69" t="s">
        <v>0</v>
      </c>
      <c r="BI69" t="s">
        <v>102</v>
      </c>
      <c r="BJ69" t="s">
        <v>0</v>
      </c>
      <c r="BK69" t="s">
        <v>0</v>
      </c>
      <c r="BL69" s="5">
        <v>0</v>
      </c>
      <c r="BM69" t="s">
        <v>0</v>
      </c>
      <c r="BN69" t="s">
        <v>0</v>
      </c>
      <c r="BO69" t="s">
        <v>0</v>
      </c>
      <c r="BP69" t="s">
        <v>17</v>
      </c>
      <c r="BQ69" t="s">
        <v>0</v>
      </c>
      <c r="BR69" t="s">
        <v>17</v>
      </c>
      <c r="BS69" t="s">
        <v>17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</row>
    <row r="70" spans="1:80" ht="13.95" customHeight="1" x14ac:dyDescent="0.25">
      <c r="A70" t="s">
        <v>97</v>
      </c>
      <c r="B70" s="2">
        <v>45330</v>
      </c>
      <c r="C70" s="2">
        <v>45677</v>
      </c>
      <c r="D70" s="2">
        <v>45736</v>
      </c>
      <c r="E70" t="s">
        <v>2</v>
      </c>
      <c r="F70" t="s">
        <v>82</v>
      </c>
      <c r="G70" t="s">
        <v>98</v>
      </c>
      <c r="H70" t="s">
        <v>4</v>
      </c>
      <c r="I70" t="s">
        <v>99</v>
      </c>
      <c r="J70" t="s">
        <v>6</v>
      </c>
      <c r="K70" t="s">
        <v>22</v>
      </c>
      <c r="L70" t="s">
        <v>106</v>
      </c>
      <c r="M70" t="s">
        <v>107</v>
      </c>
      <c r="N70" t="s">
        <v>10</v>
      </c>
      <c r="O70" t="s">
        <v>0</v>
      </c>
      <c r="P70" t="s">
        <v>102</v>
      </c>
      <c r="Q70" s="5">
        <v>3000</v>
      </c>
      <c r="R70" s="4">
        <v>4617.5</v>
      </c>
      <c r="S70" s="5">
        <v>1</v>
      </c>
      <c r="T70" s="4">
        <v>13852500</v>
      </c>
      <c r="U70" s="5">
        <v>0</v>
      </c>
      <c r="V70" s="4">
        <v>0</v>
      </c>
      <c r="W70" s="5">
        <v>0</v>
      </c>
      <c r="X70" s="4">
        <v>0</v>
      </c>
      <c r="Y70" s="4">
        <f t="shared" si="2"/>
        <v>13852500</v>
      </c>
      <c r="Z70" s="6" t="s">
        <v>0</v>
      </c>
      <c r="AA70" t="s">
        <v>2</v>
      </c>
      <c r="AB70" t="s">
        <v>103</v>
      </c>
      <c r="AC70">
        <f>_xlfn.XLOOKUP(AB70,'[1]GST Codes'!$A:$A,'[1]GST Codes'!$C:$C,0,0)</f>
        <v>18</v>
      </c>
      <c r="AD70">
        <f t="shared" si="3"/>
        <v>16345950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17</v>
      </c>
      <c r="AK70" t="s">
        <v>18</v>
      </c>
      <c r="AL70" t="s">
        <v>104</v>
      </c>
      <c r="AM70" t="s">
        <v>99</v>
      </c>
      <c r="AN70" t="s">
        <v>0</v>
      </c>
      <c r="AO70" t="s">
        <v>20</v>
      </c>
      <c r="AP70" t="s">
        <v>0</v>
      </c>
      <c r="AQ70" s="5">
        <v>3000</v>
      </c>
      <c r="AR70" t="s">
        <v>102</v>
      </c>
      <c r="AS70" t="s">
        <v>0</v>
      </c>
      <c r="AT70" t="s">
        <v>17</v>
      </c>
      <c r="AU70" s="4">
        <v>0</v>
      </c>
      <c r="AV70" s="4">
        <v>0</v>
      </c>
      <c r="AW70" s="4">
        <v>0</v>
      </c>
      <c r="AX70" s="4">
        <v>0</v>
      </c>
      <c r="AY70" s="5">
        <v>0</v>
      </c>
      <c r="AZ70" s="5">
        <v>0</v>
      </c>
      <c r="BA70" s="5">
        <v>0</v>
      </c>
      <c r="BB70" s="2"/>
      <c r="BC70" t="s">
        <v>0</v>
      </c>
      <c r="BD70" s="5">
        <v>1</v>
      </c>
      <c r="BE70" t="s">
        <v>0</v>
      </c>
      <c r="BF70" t="s">
        <v>108</v>
      </c>
      <c r="BG70" t="s">
        <v>17</v>
      </c>
      <c r="BH70" t="s">
        <v>0</v>
      </c>
      <c r="BI70" t="s">
        <v>102</v>
      </c>
      <c r="BJ70" t="s">
        <v>0</v>
      </c>
      <c r="BK70" t="s">
        <v>0</v>
      </c>
      <c r="BL70" s="5">
        <v>0</v>
      </c>
      <c r="BM70" t="s">
        <v>0</v>
      </c>
      <c r="BN70" t="s">
        <v>0</v>
      </c>
      <c r="BO70" t="s">
        <v>0</v>
      </c>
      <c r="BP70" t="s">
        <v>17</v>
      </c>
      <c r="BQ70" t="s">
        <v>0</v>
      </c>
      <c r="BR70" t="s">
        <v>17</v>
      </c>
      <c r="BS70" t="s">
        <v>17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</row>
    <row r="71" spans="1:80" x14ac:dyDescent="0.25">
      <c r="A71" t="s">
        <v>109</v>
      </c>
      <c r="B71" s="2">
        <v>44988</v>
      </c>
      <c r="C71" s="2">
        <v>45677</v>
      </c>
      <c r="D71" s="2">
        <v>45736</v>
      </c>
      <c r="E71" t="s">
        <v>2</v>
      </c>
      <c r="F71" t="s">
        <v>110</v>
      </c>
      <c r="G71" t="s">
        <v>98</v>
      </c>
      <c r="H71" t="s">
        <v>4</v>
      </c>
      <c r="I71" t="s">
        <v>111</v>
      </c>
      <c r="J71" t="s">
        <v>6</v>
      </c>
      <c r="K71" t="s">
        <v>7</v>
      </c>
      <c r="L71" t="s">
        <v>112</v>
      </c>
      <c r="M71" t="s">
        <v>113</v>
      </c>
      <c r="N71" t="s">
        <v>10</v>
      </c>
      <c r="O71" t="s">
        <v>0</v>
      </c>
      <c r="P71" t="s">
        <v>102</v>
      </c>
      <c r="Q71" s="5">
        <v>5</v>
      </c>
      <c r="R71" s="4">
        <v>3427.5</v>
      </c>
      <c r="S71" s="5">
        <v>1</v>
      </c>
      <c r="T71" s="4">
        <v>17137.5</v>
      </c>
      <c r="U71" s="5">
        <v>0</v>
      </c>
      <c r="V71" s="4">
        <v>0</v>
      </c>
      <c r="W71" s="5">
        <v>0</v>
      </c>
      <c r="X71" s="4">
        <v>0</v>
      </c>
      <c r="Y71" s="4">
        <f t="shared" si="2"/>
        <v>17137.5</v>
      </c>
      <c r="Z71" t="s">
        <v>0</v>
      </c>
      <c r="AA71" t="s">
        <v>2</v>
      </c>
      <c r="AB71" t="s">
        <v>114</v>
      </c>
      <c r="AC71">
        <f>_xlfn.XLOOKUP(AB71,'[1]GST Codes'!$A:$A,'[1]GST Codes'!$C:$C,0,0)</f>
        <v>18</v>
      </c>
      <c r="AD71">
        <f t="shared" si="3"/>
        <v>20222.25</v>
      </c>
      <c r="AE71" t="s">
        <v>0</v>
      </c>
      <c r="AF71" t="s">
        <v>115</v>
      </c>
      <c r="AG71" t="s">
        <v>0</v>
      </c>
      <c r="AH71" t="s">
        <v>0</v>
      </c>
      <c r="AI71" t="s">
        <v>0</v>
      </c>
      <c r="AJ71" t="s">
        <v>17</v>
      </c>
      <c r="AK71" t="s">
        <v>18</v>
      </c>
      <c r="AL71" t="s">
        <v>116</v>
      </c>
      <c r="AM71" t="s">
        <v>111</v>
      </c>
      <c r="AN71" t="s">
        <v>0</v>
      </c>
      <c r="AO71" t="s">
        <v>0</v>
      </c>
      <c r="AP71" t="s">
        <v>0</v>
      </c>
      <c r="AQ71" s="5">
        <v>5</v>
      </c>
      <c r="AR71" t="s">
        <v>102</v>
      </c>
      <c r="AS71" t="s">
        <v>0</v>
      </c>
      <c r="AT71" t="s">
        <v>17</v>
      </c>
      <c r="AU71" s="4">
        <v>0</v>
      </c>
      <c r="AV71" s="4">
        <v>0</v>
      </c>
      <c r="AW71" s="4">
        <v>0</v>
      </c>
      <c r="AX71" s="4">
        <v>0</v>
      </c>
      <c r="AY71" s="5">
        <v>0</v>
      </c>
      <c r="AZ71" s="5">
        <v>0</v>
      </c>
      <c r="BA71" s="5">
        <v>0</v>
      </c>
      <c r="BB71" s="2"/>
      <c r="BC71" t="s">
        <v>0</v>
      </c>
      <c r="BD71" s="5">
        <v>1</v>
      </c>
      <c r="BE71" t="s">
        <v>0</v>
      </c>
      <c r="BF71" t="s">
        <v>0</v>
      </c>
      <c r="BG71" t="s">
        <v>17</v>
      </c>
      <c r="BH71" t="s">
        <v>0</v>
      </c>
      <c r="BI71" t="s">
        <v>102</v>
      </c>
      <c r="BJ71" t="s">
        <v>0</v>
      </c>
      <c r="BK71" t="s">
        <v>0</v>
      </c>
      <c r="BL71" s="5">
        <v>0</v>
      </c>
      <c r="BM71" t="s">
        <v>0</v>
      </c>
      <c r="BN71" t="s">
        <v>0</v>
      </c>
      <c r="BO71" t="s">
        <v>0</v>
      </c>
      <c r="BP71" t="s">
        <v>17</v>
      </c>
      <c r="BQ71" t="s">
        <v>0</v>
      </c>
      <c r="BR71" t="s">
        <v>17</v>
      </c>
      <c r="BS71" t="s">
        <v>17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</row>
    <row r="72" spans="1:80" x14ac:dyDescent="0.25">
      <c r="A72" t="s">
        <v>109</v>
      </c>
      <c r="B72" s="2">
        <v>44988</v>
      </c>
      <c r="C72" s="2">
        <v>45677</v>
      </c>
      <c r="D72" s="2">
        <v>45736</v>
      </c>
      <c r="E72" t="s">
        <v>2</v>
      </c>
      <c r="F72" t="s">
        <v>110</v>
      </c>
      <c r="G72" t="s">
        <v>98</v>
      </c>
      <c r="H72" t="s">
        <v>4</v>
      </c>
      <c r="I72" t="s">
        <v>111</v>
      </c>
      <c r="J72" t="s">
        <v>6</v>
      </c>
      <c r="K72" t="s">
        <v>22</v>
      </c>
      <c r="L72" t="s">
        <v>117</v>
      </c>
      <c r="M72" t="s">
        <v>118</v>
      </c>
      <c r="N72" t="s">
        <v>10</v>
      </c>
      <c r="O72" t="s">
        <v>0</v>
      </c>
      <c r="P72" t="s">
        <v>102</v>
      </c>
      <c r="Q72" s="5">
        <v>70</v>
      </c>
      <c r="R72" s="4">
        <v>3945</v>
      </c>
      <c r="S72" s="5">
        <v>1</v>
      </c>
      <c r="T72" s="4">
        <v>276150</v>
      </c>
      <c r="U72" s="5">
        <v>0</v>
      </c>
      <c r="V72" s="4">
        <v>0</v>
      </c>
      <c r="W72" s="5">
        <v>0</v>
      </c>
      <c r="X72" s="4">
        <v>0</v>
      </c>
      <c r="Y72" s="4">
        <f t="shared" si="2"/>
        <v>276150</v>
      </c>
      <c r="Z72" t="s">
        <v>0</v>
      </c>
      <c r="AA72" t="s">
        <v>2</v>
      </c>
      <c r="AB72" t="s">
        <v>114</v>
      </c>
      <c r="AC72">
        <f>_xlfn.XLOOKUP(AB72,'[1]GST Codes'!$A:$A,'[1]GST Codes'!$C:$C,0,0)</f>
        <v>18</v>
      </c>
      <c r="AD72">
        <f t="shared" si="3"/>
        <v>325857</v>
      </c>
      <c r="AE72" t="s">
        <v>0</v>
      </c>
      <c r="AF72" t="s">
        <v>115</v>
      </c>
      <c r="AG72" t="s">
        <v>0</v>
      </c>
      <c r="AH72" t="s">
        <v>0</v>
      </c>
      <c r="AI72" t="s">
        <v>0</v>
      </c>
      <c r="AJ72" t="s">
        <v>17</v>
      </c>
      <c r="AK72" t="s">
        <v>18</v>
      </c>
      <c r="AL72" t="s">
        <v>116</v>
      </c>
      <c r="AM72" t="s">
        <v>111</v>
      </c>
      <c r="AN72" t="s">
        <v>0</v>
      </c>
      <c r="AO72" t="s">
        <v>0</v>
      </c>
      <c r="AP72" t="s">
        <v>0</v>
      </c>
      <c r="AQ72" s="5">
        <v>70</v>
      </c>
      <c r="AR72" t="s">
        <v>102</v>
      </c>
      <c r="AS72" t="s">
        <v>0</v>
      </c>
      <c r="AT72" t="s">
        <v>17</v>
      </c>
      <c r="AU72" s="4">
        <v>0</v>
      </c>
      <c r="AV72" s="4">
        <v>0</v>
      </c>
      <c r="AW72" s="4">
        <v>0</v>
      </c>
      <c r="AX72" s="4">
        <v>0</v>
      </c>
      <c r="AY72" s="5">
        <v>0</v>
      </c>
      <c r="AZ72" s="5">
        <v>0</v>
      </c>
      <c r="BA72" s="5">
        <v>0</v>
      </c>
      <c r="BB72" s="2"/>
      <c r="BC72" t="s">
        <v>0</v>
      </c>
      <c r="BD72" s="5">
        <v>1</v>
      </c>
      <c r="BE72" t="s">
        <v>0</v>
      </c>
      <c r="BF72" t="s">
        <v>0</v>
      </c>
      <c r="BG72" t="s">
        <v>17</v>
      </c>
      <c r="BH72" t="s">
        <v>0</v>
      </c>
      <c r="BI72" t="s">
        <v>102</v>
      </c>
      <c r="BJ72" t="s">
        <v>0</v>
      </c>
      <c r="BK72" t="s">
        <v>0</v>
      </c>
      <c r="BL72" s="5">
        <v>0</v>
      </c>
      <c r="BM72" t="s">
        <v>0</v>
      </c>
      <c r="BN72" t="s">
        <v>0</v>
      </c>
      <c r="BO72" t="s">
        <v>0</v>
      </c>
      <c r="BP72" t="s">
        <v>17</v>
      </c>
      <c r="BQ72" t="s">
        <v>0</v>
      </c>
      <c r="BR72" t="s">
        <v>17</v>
      </c>
      <c r="BS72" t="s">
        <v>17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</row>
    <row r="73" spans="1:80" ht="13.95" customHeight="1" x14ac:dyDescent="0.25">
      <c r="A73" t="s">
        <v>119</v>
      </c>
      <c r="B73" s="2">
        <v>45248</v>
      </c>
      <c r="C73" s="2">
        <v>45677</v>
      </c>
      <c r="D73" s="2">
        <v>45736</v>
      </c>
      <c r="E73" t="s">
        <v>2</v>
      </c>
      <c r="F73" t="s">
        <v>82</v>
      </c>
      <c r="G73" t="s">
        <v>0</v>
      </c>
      <c r="H73" t="s">
        <v>4</v>
      </c>
      <c r="I73" t="s">
        <v>111</v>
      </c>
      <c r="J73" t="s">
        <v>6</v>
      </c>
      <c r="K73" t="s">
        <v>7</v>
      </c>
      <c r="L73" t="s">
        <v>120</v>
      </c>
      <c r="M73" t="s">
        <v>121</v>
      </c>
      <c r="N73" t="s">
        <v>10</v>
      </c>
      <c r="O73" t="s">
        <v>0</v>
      </c>
      <c r="P73" t="s">
        <v>102</v>
      </c>
      <c r="Q73" s="5">
        <v>100</v>
      </c>
      <c r="R73" s="4">
        <v>4205</v>
      </c>
      <c r="S73" s="5">
        <v>1</v>
      </c>
      <c r="T73" s="4">
        <v>420500</v>
      </c>
      <c r="U73" s="3">
        <v>57.5</v>
      </c>
      <c r="V73" s="4">
        <v>241787.5</v>
      </c>
      <c r="W73" s="3">
        <v>57.5</v>
      </c>
      <c r="X73" s="4">
        <v>241787.5</v>
      </c>
      <c r="Y73" s="4">
        <f t="shared" si="2"/>
        <v>178712.5</v>
      </c>
      <c r="Z73" s="6" t="s">
        <v>0</v>
      </c>
      <c r="AA73" t="s">
        <v>2</v>
      </c>
      <c r="AB73" t="s">
        <v>103</v>
      </c>
      <c r="AC73">
        <f>_xlfn.XLOOKUP(AB73,'[1]GST Codes'!$A:$A,'[1]GST Codes'!$C:$C,0,0)</f>
        <v>18</v>
      </c>
      <c r="AD73">
        <f t="shared" si="3"/>
        <v>210880.75</v>
      </c>
      <c r="AE73" t="s">
        <v>13</v>
      </c>
      <c r="AF73" t="s">
        <v>0</v>
      </c>
      <c r="AG73" t="s">
        <v>14</v>
      </c>
      <c r="AH73" t="s">
        <v>50</v>
      </c>
      <c r="AI73" t="s">
        <v>16</v>
      </c>
      <c r="AJ73" t="s">
        <v>17</v>
      </c>
      <c r="AK73" t="s">
        <v>18</v>
      </c>
      <c r="AL73" t="s">
        <v>104</v>
      </c>
      <c r="AM73" t="s">
        <v>111</v>
      </c>
      <c r="AN73" t="s">
        <v>0</v>
      </c>
      <c r="AO73" t="s">
        <v>20</v>
      </c>
      <c r="AP73" t="s">
        <v>0</v>
      </c>
      <c r="AQ73" s="5">
        <v>100</v>
      </c>
      <c r="AR73" t="s">
        <v>102</v>
      </c>
      <c r="AS73" t="s">
        <v>0</v>
      </c>
      <c r="AT73" t="s">
        <v>17</v>
      </c>
      <c r="AU73" s="4">
        <v>0</v>
      </c>
      <c r="AV73" s="4">
        <v>0</v>
      </c>
      <c r="AW73" s="4">
        <v>0</v>
      </c>
      <c r="AX73" s="4">
        <v>0</v>
      </c>
      <c r="AY73" s="5">
        <v>0</v>
      </c>
      <c r="AZ73" s="5">
        <v>0</v>
      </c>
      <c r="BA73" s="5">
        <v>0</v>
      </c>
      <c r="BB73" s="2"/>
      <c r="BC73" t="s">
        <v>0</v>
      </c>
      <c r="BD73" s="5">
        <v>1</v>
      </c>
      <c r="BE73" t="s">
        <v>0</v>
      </c>
      <c r="BF73" t="s">
        <v>122</v>
      </c>
      <c r="BG73" t="s">
        <v>17</v>
      </c>
      <c r="BH73" t="s">
        <v>0</v>
      </c>
      <c r="BI73" t="s">
        <v>102</v>
      </c>
      <c r="BJ73" t="s">
        <v>0</v>
      </c>
      <c r="BK73" t="s">
        <v>0</v>
      </c>
      <c r="BL73" s="5">
        <v>0</v>
      </c>
      <c r="BM73" t="s">
        <v>0</v>
      </c>
      <c r="BN73" t="s">
        <v>0</v>
      </c>
      <c r="BO73" t="s">
        <v>0</v>
      </c>
      <c r="BP73" t="s">
        <v>17</v>
      </c>
      <c r="BQ73" t="s">
        <v>0</v>
      </c>
      <c r="BR73" t="s">
        <v>17</v>
      </c>
      <c r="BS73" t="s">
        <v>17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</row>
    <row r="74" spans="1:80" x14ac:dyDescent="0.25">
      <c r="A74" t="s">
        <v>119</v>
      </c>
      <c r="B74" s="2">
        <v>45248</v>
      </c>
      <c r="C74" s="2">
        <v>45677</v>
      </c>
      <c r="D74" s="2">
        <v>45736</v>
      </c>
      <c r="E74" t="s">
        <v>2</v>
      </c>
      <c r="F74" t="s">
        <v>82</v>
      </c>
      <c r="G74" t="s">
        <v>0</v>
      </c>
      <c r="H74" t="s">
        <v>4</v>
      </c>
      <c r="I74" t="s">
        <v>111</v>
      </c>
      <c r="J74" t="s">
        <v>6</v>
      </c>
      <c r="K74" t="s">
        <v>22</v>
      </c>
      <c r="L74" t="s">
        <v>123</v>
      </c>
      <c r="M74" t="s">
        <v>124</v>
      </c>
      <c r="N74" t="s">
        <v>10</v>
      </c>
      <c r="O74" t="s">
        <v>0</v>
      </c>
      <c r="P74" t="s">
        <v>102</v>
      </c>
      <c r="Q74" s="5">
        <v>50</v>
      </c>
      <c r="R74" s="4">
        <v>3572.5</v>
      </c>
      <c r="S74" s="5">
        <v>1</v>
      </c>
      <c r="T74" s="4">
        <v>178625</v>
      </c>
      <c r="U74" s="5">
        <v>50</v>
      </c>
      <c r="V74" s="4">
        <v>178625</v>
      </c>
      <c r="W74" s="5">
        <v>50</v>
      </c>
      <c r="X74" s="4">
        <v>178625</v>
      </c>
      <c r="Y74" s="4">
        <f t="shared" si="2"/>
        <v>0</v>
      </c>
      <c r="Z74" t="s">
        <v>0</v>
      </c>
      <c r="AA74" t="s">
        <v>2</v>
      </c>
      <c r="AB74" t="s">
        <v>103</v>
      </c>
      <c r="AC74">
        <f>_xlfn.XLOOKUP(AB74,'[1]GST Codes'!$A:$A,'[1]GST Codes'!$C:$C,0,0)</f>
        <v>18</v>
      </c>
      <c r="AD74">
        <f t="shared" si="3"/>
        <v>0</v>
      </c>
      <c r="AE74" t="s">
        <v>13</v>
      </c>
      <c r="AF74" t="s">
        <v>0</v>
      </c>
      <c r="AG74" t="s">
        <v>14</v>
      </c>
      <c r="AH74" t="s">
        <v>50</v>
      </c>
      <c r="AI74" t="s">
        <v>16</v>
      </c>
      <c r="AJ74" t="s">
        <v>17</v>
      </c>
      <c r="AK74" t="s">
        <v>18</v>
      </c>
      <c r="AL74" t="s">
        <v>104</v>
      </c>
      <c r="AM74" t="s">
        <v>111</v>
      </c>
      <c r="AN74" t="s">
        <v>0</v>
      </c>
      <c r="AO74" t="s">
        <v>125</v>
      </c>
      <c r="AP74" t="s">
        <v>0</v>
      </c>
      <c r="AQ74" s="5">
        <v>50</v>
      </c>
      <c r="AR74" t="s">
        <v>102</v>
      </c>
      <c r="AS74" t="s">
        <v>0</v>
      </c>
      <c r="AT74" t="s">
        <v>17</v>
      </c>
      <c r="AU74" s="4">
        <v>0</v>
      </c>
      <c r="AV74" s="4">
        <v>0</v>
      </c>
      <c r="AW74" s="4">
        <v>0</v>
      </c>
      <c r="AX74" s="4">
        <v>0</v>
      </c>
      <c r="AY74" s="5">
        <v>0</v>
      </c>
      <c r="AZ74" s="5">
        <v>0</v>
      </c>
      <c r="BA74" s="5">
        <v>0</v>
      </c>
      <c r="BB74" s="2"/>
      <c r="BC74" t="s">
        <v>0</v>
      </c>
      <c r="BD74" s="5">
        <v>1</v>
      </c>
      <c r="BE74" t="s">
        <v>0</v>
      </c>
      <c r="BF74" t="s">
        <v>126</v>
      </c>
      <c r="BG74" t="s">
        <v>17</v>
      </c>
      <c r="BH74" t="s">
        <v>0</v>
      </c>
      <c r="BI74" t="s">
        <v>102</v>
      </c>
      <c r="BJ74" t="s">
        <v>0</v>
      </c>
      <c r="BK74" t="s">
        <v>0</v>
      </c>
      <c r="BL74" s="5">
        <v>0</v>
      </c>
      <c r="BM74" t="s">
        <v>0</v>
      </c>
      <c r="BN74" t="s">
        <v>0</v>
      </c>
      <c r="BO74" t="s">
        <v>0</v>
      </c>
      <c r="BP74" t="s">
        <v>17</v>
      </c>
      <c r="BQ74" t="s">
        <v>0</v>
      </c>
      <c r="BR74" t="s">
        <v>17</v>
      </c>
      <c r="BS74" t="s">
        <v>17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</row>
    <row r="75" spans="1:80" ht="13.95" customHeight="1" x14ac:dyDescent="0.25">
      <c r="A75" t="s">
        <v>127</v>
      </c>
      <c r="B75" s="2">
        <v>45273</v>
      </c>
      <c r="C75" s="2">
        <v>45677</v>
      </c>
      <c r="D75" s="2">
        <v>45736</v>
      </c>
      <c r="E75" t="s">
        <v>2</v>
      </c>
      <c r="F75" t="s">
        <v>82</v>
      </c>
      <c r="G75" t="s">
        <v>0</v>
      </c>
      <c r="H75" t="s">
        <v>4</v>
      </c>
      <c r="I75" t="s">
        <v>111</v>
      </c>
      <c r="J75" t="s">
        <v>6</v>
      </c>
      <c r="K75" t="s">
        <v>7</v>
      </c>
      <c r="L75" t="s">
        <v>123</v>
      </c>
      <c r="M75" t="s">
        <v>128</v>
      </c>
      <c r="N75" t="s">
        <v>10</v>
      </c>
      <c r="O75" t="s">
        <v>0</v>
      </c>
      <c r="P75" t="s">
        <v>102</v>
      </c>
      <c r="Q75" s="5">
        <v>3</v>
      </c>
      <c r="R75" s="4">
        <v>3572.5</v>
      </c>
      <c r="S75" s="5">
        <v>1</v>
      </c>
      <c r="T75" s="4">
        <v>10717.5</v>
      </c>
      <c r="U75" s="5">
        <v>0</v>
      </c>
      <c r="V75" s="4">
        <v>0</v>
      </c>
      <c r="W75" s="5">
        <v>0</v>
      </c>
      <c r="X75" s="4">
        <v>0</v>
      </c>
      <c r="Y75" s="4">
        <f t="shared" si="2"/>
        <v>10717.5</v>
      </c>
      <c r="Z75" s="6" t="s">
        <v>0</v>
      </c>
      <c r="AA75" t="s">
        <v>2</v>
      </c>
      <c r="AB75" t="s">
        <v>103</v>
      </c>
      <c r="AC75">
        <f>_xlfn.XLOOKUP(AB75,'[1]GST Codes'!$A:$A,'[1]GST Codes'!$C:$C,0,0)</f>
        <v>18</v>
      </c>
      <c r="AD75">
        <f t="shared" si="3"/>
        <v>12646.65</v>
      </c>
      <c r="AE75" t="s">
        <v>13</v>
      </c>
      <c r="AF75" t="s">
        <v>129</v>
      </c>
      <c r="AG75" t="s">
        <v>14</v>
      </c>
      <c r="AH75" t="s">
        <v>50</v>
      </c>
      <c r="AI75" t="s">
        <v>16</v>
      </c>
      <c r="AJ75" t="s">
        <v>17</v>
      </c>
      <c r="AK75" t="s">
        <v>18</v>
      </c>
      <c r="AL75" t="s">
        <v>104</v>
      </c>
      <c r="AM75" t="s">
        <v>111</v>
      </c>
      <c r="AN75" t="s">
        <v>0</v>
      </c>
      <c r="AO75" t="s">
        <v>20</v>
      </c>
      <c r="AP75" t="s">
        <v>0</v>
      </c>
      <c r="AQ75" s="5">
        <v>3</v>
      </c>
      <c r="AR75" t="s">
        <v>102</v>
      </c>
      <c r="AS75" t="s">
        <v>0</v>
      </c>
      <c r="AT75" t="s">
        <v>17</v>
      </c>
      <c r="AU75" s="4">
        <v>0</v>
      </c>
      <c r="AV75" s="4">
        <v>0</v>
      </c>
      <c r="AW75" s="4">
        <v>0</v>
      </c>
      <c r="AX75" s="4">
        <v>0</v>
      </c>
      <c r="AY75" s="5">
        <v>0</v>
      </c>
      <c r="AZ75" s="5">
        <v>0</v>
      </c>
      <c r="BA75" s="5">
        <v>0</v>
      </c>
      <c r="BB75" s="2"/>
      <c r="BC75" t="s">
        <v>0</v>
      </c>
      <c r="BD75" s="5">
        <v>1</v>
      </c>
      <c r="BE75" t="s">
        <v>0</v>
      </c>
      <c r="BF75" t="s">
        <v>126</v>
      </c>
      <c r="BG75" t="s">
        <v>17</v>
      </c>
      <c r="BH75" t="s">
        <v>0</v>
      </c>
      <c r="BI75" t="s">
        <v>102</v>
      </c>
      <c r="BJ75" t="s">
        <v>0</v>
      </c>
      <c r="BK75" t="s">
        <v>0</v>
      </c>
      <c r="BL75" s="5">
        <v>0</v>
      </c>
      <c r="BM75" t="s">
        <v>0</v>
      </c>
      <c r="BN75" t="s">
        <v>0</v>
      </c>
      <c r="BO75" t="s">
        <v>0</v>
      </c>
      <c r="BP75" t="s">
        <v>17</v>
      </c>
      <c r="BQ75" t="s">
        <v>0</v>
      </c>
      <c r="BR75" t="s">
        <v>17</v>
      </c>
      <c r="BS75" t="s">
        <v>17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</row>
    <row r="76" spans="1:80" ht="13.95" customHeight="1" x14ac:dyDescent="0.25">
      <c r="A76" t="s">
        <v>127</v>
      </c>
      <c r="B76" s="2">
        <v>45273</v>
      </c>
      <c r="C76" s="2">
        <v>45677</v>
      </c>
      <c r="D76" s="2">
        <v>45736</v>
      </c>
      <c r="E76" t="s">
        <v>2</v>
      </c>
      <c r="F76" t="s">
        <v>82</v>
      </c>
      <c r="G76" t="s">
        <v>0</v>
      </c>
      <c r="H76" t="s">
        <v>4</v>
      </c>
      <c r="I76" t="s">
        <v>111</v>
      </c>
      <c r="J76" t="s">
        <v>6</v>
      </c>
      <c r="K76" t="s">
        <v>22</v>
      </c>
      <c r="L76" t="s">
        <v>100</v>
      </c>
      <c r="M76" t="s">
        <v>130</v>
      </c>
      <c r="N76" t="s">
        <v>10</v>
      </c>
      <c r="O76" t="s">
        <v>0</v>
      </c>
      <c r="P76" t="s">
        <v>102</v>
      </c>
      <c r="Q76" s="3">
        <v>282.56</v>
      </c>
      <c r="R76" s="4">
        <v>3743</v>
      </c>
      <c r="S76" s="5">
        <v>1</v>
      </c>
      <c r="T76" s="4">
        <v>1057622.08</v>
      </c>
      <c r="U76" s="5">
        <v>0</v>
      </c>
      <c r="V76" s="4">
        <v>0</v>
      </c>
      <c r="W76" s="5">
        <v>0</v>
      </c>
      <c r="X76" s="4">
        <v>0</v>
      </c>
      <c r="Y76" s="4">
        <f t="shared" si="2"/>
        <v>1057622.08</v>
      </c>
      <c r="Z76" s="6" t="s">
        <v>0</v>
      </c>
      <c r="AA76" t="s">
        <v>2</v>
      </c>
      <c r="AB76" t="s">
        <v>103</v>
      </c>
      <c r="AC76">
        <f>_xlfn.XLOOKUP(AB76,'[1]GST Codes'!$A:$A,'[1]GST Codes'!$C:$C,0,0)</f>
        <v>18</v>
      </c>
      <c r="AD76">
        <f t="shared" si="3"/>
        <v>1247994.0544</v>
      </c>
      <c r="AE76" t="s">
        <v>13</v>
      </c>
      <c r="AF76" t="s">
        <v>129</v>
      </c>
      <c r="AG76" t="s">
        <v>14</v>
      </c>
      <c r="AH76" t="s">
        <v>50</v>
      </c>
      <c r="AI76" t="s">
        <v>16</v>
      </c>
      <c r="AJ76" t="s">
        <v>17</v>
      </c>
      <c r="AK76" t="s">
        <v>18</v>
      </c>
      <c r="AL76" t="s">
        <v>104</v>
      </c>
      <c r="AM76" t="s">
        <v>111</v>
      </c>
      <c r="AN76" t="s">
        <v>0</v>
      </c>
      <c r="AO76" t="s">
        <v>20</v>
      </c>
      <c r="AP76" t="s">
        <v>0</v>
      </c>
      <c r="AQ76" s="3">
        <v>282.56</v>
      </c>
      <c r="AR76" t="s">
        <v>102</v>
      </c>
      <c r="AS76" t="s">
        <v>0</v>
      </c>
      <c r="AT76" t="s">
        <v>17</v>
      </c>
      <c r="AU76" s="4">
        <v>0</v>
      </c>
      <c r="AV76" s="4">
        <v>0</v>
      </c>
      <c r="AW76" s="4">
        <v>0</v>
      </c>
      <c r="AX76" s="4">
        <v>0</v>
      </c>
      <c r="AY76" s="5">
        <v>0</v>
      </c>
      <c r="AZ76" s="5">
        <v>0</v>
      </c>
      <c r="BA76" s="5">
        <v>0</v>
      </c>
      <c r="BB76" s="2"/>
      <c r="BC76" t="s">
        <v>0</v>
      </c>
      <c r="BD76" s="5">
        <v>1</v>
      </c>
      <c r="BE76" t="s">
        <v>0</v>
      </c>
      <c r="BF76" t="s">
        <v>131</v>
      </c>
      <c r="BG76" t="s">
        <v>17</v>
      </c>
      <c r="BH76" t="s">
        <v>0</v>
      </c>
      <c r="BI76" t="s">
        <v>102</v>
      </c>
      <c r="BJ76" t="s">
        <v>0</v>
      </c>
      <c r="BK76" t="s">
        <v>0</v>
      </c>
      <c r="BL76" s="5">
        <v>0</v>
      </c>
      <c r="BM76" t="s">
        <v>0</v>
      </c>
      <c r="BN76" t="s">
        <v>0</v>
      </c>
      <c r="BO76" t="s">
        <v>0</v>
      </c>
      <c r="BP76" t="s">
        <v>17</v>
      </c>
      <c r="BQ76" t="s">
        <v>0</v>
      </c>
      <c r="BR76" t="s">
        <v>17</v>
      </c>
      <c r="BS76" t="s">
        <v>17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</row>
    <row r="77" spans="1:80" ht="13.95" customHeight="1" x14ac:dyDescent="0.25">
      <c r="A77" t="s">
        <v>127</v>
      </c>
      <c r="B77" s="2">
        <v>45273</v>
      </c>
      <c r="C77" s="2">
        <v>45677</v>
      </c>
      <c r="D77" s="2">
        <v>45736</v>
      </c>
      <c r="E77" t="s">
        <v>2</v>
      </c>
      <c r="F77" t="s">
        <v>82</v>
      </c>
      <c r="G77" t="s">
        <v>0</v>
      </c>
      <c r="H77" t="s">
        <v>4</v>
      </c>
      <c r="I77" t="s">
        <v>111</v>
      </c>
      <c r="J77" t="s">
        <v>6</v>
      </c>
      <c r="K77" t="s">
        <v>26</v>
      </c>
      <c r="L77" t="s">
        <v>132</v>
      </c>
      <c r="M77" t="s">
        <v>133</v>
      </c>
      <c r="N77" t="s">
        <v>10</v>
      </c>
      <c r="O77" t="s">
        <v>0</v>
      </c>
      <c r="P77" t="s">
        <v>102</v>
      </c>
      <c r="Q77" s="3">
        <v>43.9</v>
      </c>
      <c r="R77" s="4">
        <v>4205</v>
      </c>
      <c r="S77" s="5">
        <v>1</v>
      </c>
      <c r="T77" s="4">
        <v>184599.5</v>
      </c>
      <c r="U77" s="5">
        <v>0</v>
      </c>
      <c r="V77" s="4">
        <v>0</v>
      </c>
      <c r="W77" s="5">
        <v>0</v>
      </c>
      <c r="X77" s="4">
        <v>0</v>
      </c>
      <c r="Y77" s="4">
        <f t="shared" si="2"/>
        <v>184599.5</v>
      </c>
      <c r="Z77" s="6" t="s">
        <v>0</v>
      </c>
      <c r="AA77" t="s">
        <v>2</v>
      </c>
      <c r="AB77" t="s">
        <v>103</v>
      </c>
      <c r="AC77">
        <f>_xlfn.XLOOKUP(AB77,'[1]GST Codes'!$A:$A,'[1]GST Codes'!$C:$C,0,0)</f>
        <v>18</v>
      </c>
      <c r="AD77">
        <f t="shared" si="3"/>
        <v>217827.41</v>
      </c>
      <c r="AE77" t="s">
        <v>13</v>
      </c>
      <c r="AF77" t="s">
        <v>129</v>
      </c>
      <c r="AG77" t="s">
        <v>14</v>
      </c>
      <c r="AH77" t="s">
        <v>50</v>
      </c>
      <c r="AI77" t="s">
        <v>16</v>
      </c>
      <c r="AJ77" t="s">
        <v>17</v>
      </c>
      <c r="AK77" t="s">
        <v>18</v>
      </c>
      <c r="AL77" t="s">
        <v>104</v>
      </c>
      <c r="AM77" t="s">
        <v>111</v>
      </c>
      <c r="AN77" t="s">
        <v>0</v>
      </c>
      <c r="AO77" t="s">
        <v>134</v>
      </c>
      <c r="AP77" t="s">
        <v>0</v>
      </c>
      <c r="AQ77" s="3">
        <v>43.9</v>
      </c>
      <c r="AR77" t="s">
        <v>102</v>
      </c>
      <c r="AS77" t="s">
        <v>0</v>
      </c>
      <c r="AT77" t="s">
        <v>17</v>
      </c>
      <c r="AU77" s="4">
        <v>0</v>
      </c>
      <c r="AV77" s="4">
        <v>0</v>
      </c>
      <c r="AW77" s="4">
        <v>0</v>
      </c>
      <c r="AX77" s="4">
        <v>0</v>
      </c>
      <c r="AY77" s="5">
        <v>0</v>
      </c>
      <c r="AZ77" s="5">
        <v>0</v>
      </c>
      <c r="BA77" s="5">
        <v>0</v>
      </c>
      <c r="BB77" s="2"/>
      <c r="BC77" t="s">
        <v>0</v>
      </c>
      <c r="BD77" s="5">
        <v>1</v>
      </c>
      <c r="BE77" t="s">
        <v>0</v>
      </c>
      <c r="BF77" t="s">
        <v>135</v>
      </c>
      <c r="BG77" t="s">
        <v>17</v>
      </c>
      <c r="BH77" t="s">
        <v>0</v>
      </c>
      <c r="BI77" t="s">
        <v>102</v>
      </c>
      <c r="BJ77" t="s">
        <v>0</v>
      </c>
      <c r="BK77" t="s">
        <v>0</v>
      </c>
      <c r="BL77" s="5">
        <v>0</v>
      </c>
      <c r="BM77" t="s">
        <v>0</v>
      </c>
      <c r="BN77" t="s">
        <v>0</v>
      </c>
      <c r="BO77" t="s">
        <v>0</v>
      </c>
      <c r="BP77" t="s">
        <v>17</v>
      </c>
      <c r="BQ77" t="s">
        <v>0</v>
      </c>
      <c r="BR77" t="s">
        <v>17</v>
      </c>
      <c r="BS77" t="s">
        <v>17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</row>
    <row r="78" spans="1:80" ht="13.95" customHeight="1" x14ac:dyDescent="0.25">
      <c r="A78" t="s">
        <v>127</v>
      </c>
      <c r="B78" s="2">
        <v>45273</v>
      </c>
      <c r="C78" s="2">
        <v>45677</v>
      </c>
      <c r="D78" s="2">
        <v>45736</v>
      </c>
      <c r="E78" t="s">
        <v>2</v>
      </c>
      <c r="F78" t="s">
        <v>82</v>
      </c>
      <c r="G78" t="s">
        <v>0</v>
      </c>
      <c r="H78" t="s">
        <v>4</v>
      </c>
      <c r="I78" t="s">
        <v>111</v>
      </c>
      <c r="J78" t="s">
        <v>6</v>
      </c>
      <c r="K78" t="s">
        <v>30</v>
      </c>
      <c r="L78" t="s">
        <v>106</v>
      </c>
      <c r="M78" t="s">
        <v>136</v>
      </c>
      <c r="N78" t="s">
        <v>10</v>
      </c>
      <c r="O78" t="s">
        <v>0</v>
      </c>
      <c r="P78" t="s">
        <v>102</v>
      </c>
      <c r="Q78" s="3">
        <v>3399.71</v>
      </c>
      <c r="R78" s="4">
        <v>4617.5</v>
      </c>
      <c r="S78" s="5">
        <v>1</v>
      </c>
      <c r="T78" s="4">
        <v>15698160.93</v>
      </c>
      <c r="U78" s="5">
        <v>0</v>
      </c>
      <c r="V78" s="4">
        <v>0</v>
      </c>
      <c r="W78" s="5">
        <v>0</v>
      </c>
      <c r="X78" s="4">
        <v>0</v>
      </c>
      <c r="Y78" s="4">
        <f t="shared" si="2"/>
        <v>15698160.93</v>
      </c>
      <c r="Z78" s="6" t="s">
        <v>0</v>
      </c>
      <c r="AA78" t="s">
        <v>2</v>
      </c>
      <c r="AB78" t="s">
        <v>103</v>
      </c>
      <c r="AC78">
        <f>_xlfn.XLOOKUP(AB78,'[1]GST Codes'!$A:$A,'[1]GST Codes'!$C:$C,0,0)</f>
        <v>18</v>
      </c>
      <c r="AD78">
        <f t="shared" si="3"/>
        <v>18523829.897399999</v>
      </c>
      <c r="AE78" t="s">
        <v>13</v>
      </c>
      <c r="AF78" t="s">
        <v>129</v>
      </c>
      <c r="AG78" t="s">
        <v>14</v>
      </c>
      <c r="AH78" t="s">
        <v>50</v>
      </c>
      <c r="AI78" t="s">
        <v>16</v>
      </c>
      <c r="AJ78" t="s">
        <v>17</v>
      </c>
      <c r="AK78" t="s">
        <v>18</v>
      </c>
      <c r="AL78" t="s">
        <v>104</v>
      </c>
      <c r="AM78" t="s">
        <v>111</v>
      </c>
      <c r="AN78" t="s">
        <v>0</v>
      </c>
      <c r="AO78" t="s">
        <v>20</v>
      </c>
      <c r="AP78" t="s">
        <v>0</v>
      </c>
      <c r="AQ78" s="3">
        <v>3399.71</v>
      </c>
      <c r="AR78" t="s">
        <v>102</v>
      </c>
      <c r="AS78" t="s">
        <v>0</v>
      </c>
      <c r="AT78" t="s">
        <v>17</v>
      </c>
      <c r="AU78" s="4">
        <v>0</v>
      </c>
      <c r="AV78" s="4">
        <v>0</v>
      </c>
      <c r="AW78" s="4">
        <v>0</v>
      </c>
      <c r="AX78" s="4">
        <v>0</v>
      </c>
      <c r="AY78" s="5">
        <v>0</v>
      </c>
      <c r="AZ78" s="5">
        <v>0</v>
      </c>
      <c r="BA78" s="5">
        <v>0</v>
      </c>
      <c r="BB78" s="2"/>
      <c r="BC78" t="s">
        <v>0</v>
      </c>
      <c r="BD78" s="5">
        <v>1</v>
      </c>
      <c r="BE78" t="s">
        <v>0</v>
      </c>
      <c r="BF78" t="s">
        <v>137</v>
      </c>
      <c r="BG78" t="s">
        <v>17</v>
      </c>
      <c r="BH78" t="s">
        <v>0</v>
      </c>
      <c r="BI78" t="s">
        <v>102</v>
      </c>
      <c r="BJ78" t="s">
        <v>0</v>
      </c>
      <c r="BK78" t="s">
        <v>0</v>
      </c>
      <c r="BL78" s="5">
        <v>0</v>
      </c>
      <c r="BM78" t="s">
        <v>0</v>
      </c>
      <c r="BN78" t="s">
        <v>0</v>
      </c>
      <c r="BO78" t="s">
        <v>0</v>
      </c>
      <c r="BP78" t="s">
        <v>17</v>
      </c>
      <c r="BQ78" t="s">
        <v>0</v>
      </c>
      <c r="BR78" t="s">
        <v>17</v>
      </c>
      <c r="BS78" t="s">
        <v>17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</row>
    <row r="79" spans="1:80" x14ac:dyDescent="0.25">
      <c r="A79" t="s">
        <v>127</v>
      </c>
      <c r="B79" s="2">
        <v>45273</v>
      </c>
      <c r="C79" s="2">
        <v>45677</v>
      </c>
      <c r="D79" s="2">
        <v>45736</v>
      </c>
      <c r="E79" t="s">
        <v>2</v>
      </c>
      <c r="F79" t="s">
        <v>82</v>
      </c>
      <c r="G79" t="s">
        <v>0</v>
      </c>
      <c r="H79" t="s">
        <v>4</v>
      </c>
      <c r="I79" t="s">
        <v>111</v>
      </c>
      <c r="J79" t="s">
        <v>6</v>
      </c>
      <c r="K79" t="s">
        <v>34</v>
      </c>
      <c r="L79" t="s">
        <v>123</v>
      </c>
      <c r="M79" t="s">
        <v>128</v>
      </c>
      <c r="N79" t="s">
        <v>10</v>
      </c>
      <c r="O79" t="s">
        <v>0</v>
      </c>
      <c r="P79" t="s">
        <v>102</v>
      </c>
      <c r="Q79" s="5">
        <v>40</v>
      </c>
      <c r="R79" s="4">
        <v>3572.5</v>
      </c>
      <c r="S79" s="5">
        <v>1</v>
      </c>
      <c r="T79" s="4">
        <v>142900</v>
      </c>
      <c r="U79" s="5">
        <v>40</v>
      </c>
      <c r="V79" s="4">
        <v>142900</v>
      </c>
      <c r="W79" s="5">
        <v>40</v>
      </c>
      <c r="X79" s="4">
        <v>142900</v>
      </c>
      <c r="Y79" s="4">
        <f t="shared" si="2"/>
        <v>0</v>
      </c>
      <c r="Z79" t="s">
        <v>0</v>
      </c>
      <c r="AA79" t="s">
        <v>2</v>
      </c>
      <c r="AB79" t="s">
        <v>103</v>
      </c>
      <c r="AC79">
        <f>_xlfn.XLOOKUP(AB79,'[1]GST Codes'!$A:$A,'[1]GST Codes'!$C:$C,0,0)</f>
        <v>18</v>
      </c>
      <c r="AD79">
        <f t="shared" si="3"/>
        <v>0</v>
      </c>
      <c r="AE79" t="s">
        <v>13</v>
      </c>
      <c r="AF79" t="s">
        <v>129</v>
      </c>
      <c r="AG79" t="s">
        <v>14</v>
      </c>
      <c r="AH79" t="s">
        <v>50</v>
      </c>
      <c r="AI79" t="s">
        <v>16</v>
      </c>
      <c r="AJ79" t="s">
        <v>17</v>
      </c>
      <c r="AK79" t="s">
        <v>18</v>
      </c>
      <c r="AL79" t="s">
        <v>104</v>
      </c>
      <c r="AM79" t="s">
        <v>111</v>
      </c>
      <c r="AN79" t="s">
        <v>0</v>
      </c>
      <c r="AO79" t="s">
        <v>0</v>
      </c>
      <c r="AP79" t="s">
        <v>0</v>
      </c>
      <c r="AQ79" s="5">
        <v>40</v>
      </c>
      <c r="AR79" t="s">
        <v>102</v>
      </c>
      <c r="AS79" t="s">
        <v>0</v>
      </c>
      <c r="AT79" t="s">
        <v>17</v>
      </c>
      <c r="AU79" s="4">
        <v>0</v>
      </c>
      <c r="AV79" s="4">
        <v>0</v>
      </c>
      <c r="AW79" s="4">
        <v>0</v>
      </c>
      <c r="AX79" s="4">
        <v>0</v>
      </c>
      <c r="AY79" s="5">
        <v>0</v>
      </c>
      <c r="AZ79" s="5">
        <v>0</v>
      </c>
      <c r="BA79" s="5">
        <v>0</v>
      </c>
      <c r="BB79" s="2"/>
      <c r="BC79" t="s">
        <v>0</v>
      </c>
      <c r="BD79" s="5">
        <v>1</v>
      </c>
      <c r="BE79" t="s">
        <v>0</v>
      </c>
      <c r="BF79" t="s">
        <v>126</v>
      </c>
      <c r="BG79" t="s">
        <v>17</v>
      </c>
      <c r="BH79" t="s">
        <v>0</v>
      </c>
      <c r="BI79" t="s">
        <v>102</v>
      </c>
      <c r="BJ79" t="s">
        <v>0</v>
      </c>
      <c r="BK79" t="s">
        <v>0</v>
      </c>
      <c r="BL79" s="5">
        <v>0</v>
      </c>
      <c r="BM79" t="s">
        <v>0</v>
      </c>
      <c r="BN79" t="s">
        <v>0</v>
      </c>
      <c r="BO79" t="s">
        <v>0</v>
      </c>
      <c r="BP79" t="s">
        <v>17</v>
      </c>
      <c r="BQ79" t="s">
        <v>0</v>
      </c>
      <c r="BR79" t="s">
        <v>17</v>
      </c>
      <c r="BS79" t="s">
        <v>17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</row>
    <row r="80" spans="1:80" x14ac:dyDescent="0.25">
      <c r="A80" t="s">
        <v>127</v>
      </c>
      <c r="B80" s="2">
        <v>45273</v>
      </c>
      <c r="C80" s="2">
        <v>45677</v>
      </c>
      <c r="D80" s="2">
        <v>45736</v>
      </c>
      <c r="E80" t="s">
        <v>2</v>
      </c>
      <c r="F80" t="s">
        <v>82</v>
      </c>
      <c r="G80" t="s">
        <v>0</v>
      </c>
      <c r="H80" t="s">
        <v>4</v>
      </c>
      <c r="I80" t="s">
        <v>111</v>
      </c>
      <c r="J80" t="s">
        <v>6</v>
      </c>
      <c r="K80" t="s">
        <v>38</v>
      </c>
      <c r="L80" t="s">
        <v>100</v>
      </c>
      <c r="M80" t="s">
        <v>130</v>
      </c>
      <c r="N80" t="s">
        <v>10</v>
      </c>
      <c r="O80" t="s">
        <v>0</v>
      </c>
      <c r="P80" t="s">
        <v>102</v>
      </c>
      <c r="Q80" s="3">
        <v>403.44</v>
      </c>
      <c r="R80" s="4">
        <v>3743</v>
      </c>
      <c r="S80" s="5">
        <v>1</v>
      </c>
      <c r="T80" s="4">
        <v>1510075.92</v>
      </c>
      <c r="U80" s="3">
        <v>403.44</v>
      </c>
      <c r="V80" s="4">
        <v>1510075.92</v>
      </c>
      <c r="W80" s="3">
        <v>403.44</v>
      </c>
      <c r="X80" s="4">
        <v>1510075.92</v>
      </c>
      <c r="Y80" s="4">
        <f t="shared" si="2"/>
        <v>0</v>
      </c>
      <c r="Z80" t="s">
        <v>0</v>
      </c>
      <c r="AA80" t="s">
        <v>2</v>
      </c>
      <c r="AB80" t="s">
        <v>103</v>
      </c>
      <c r="AC80">
        <f>_xlfn.XLOOKUP(AB80,'[1]GST Codes'!$A:$A,'[1]GST Codes'!$C:$C,0,0)</f>
        <v>18</v>
      </c>
      <c r="AD80">
        <f t="shared" si="3"/>
        <v>0</v>
      </c>
      <c r="AE80" t="s">
        <v>13</v>
      </c>
      <c r="AF80" t="s">
        <v>129</v>
      </c>
      <c r="AG80" t="s">
        <v>14</v>
      </c>
      <c r="AH80" t="s">
        <v>50</v>
      </c>
      <c r="AI80" t="s">
        <v>16</v>
      </c>
      <c r="AJ80" t="s">
        <v>17</v>
      </c>
      <c r="AK80" t="s">
        <v>18</v>
      </c>
      <c r="AL80" t="s">
        <v>104</v>
      </c>
      <c r="AM80" t="s">
        <v>111</v>
      </c>
      <c r="AN80" t="s">
        <v>0</v>
      </c>
      <c r="AO80" t="s">
        <v>0</v>
      </c>
      <c r="AP80" t="s">
        <v>0</v>
      </c>
      <c r="AQ80" s="3">
        <v>403.44</v>
      </c>
      <c r="AR80" t="s">
        <v>102</v>
      </c>
      <c r="AS80" t="s">
        <v>0</v>
      </c>
      <c r="AT80" t="s">
        <v>17</v>
      </c>
      <c r="AU80" s="4">
        <v>0</v>
      </c>
      <c r="AV80" s="4">
        <v>0</v>
      </c>
      <c r="AW80" s="4">
        <v>0</v>
      </c>
      <c r="AX80" s="4">
        <v>0</v>
      </c>
      <c r="AY80" s="5">
        <v>0</v>
      </c>
      <c r="AZ80" s="5">
        <v>0</v>
      </c>
      <c r="BA80" s="5">
        <v>0</v>
      </c>
      <c r="BB80" s="2"/>
      <c r="BC80" t="s">
        <v>0</v>
      </c>
      <c r="BD80" s="5">
        <v>1</v>
      </c>
      <c r="BE80" t="s">
        <v>0</v>
      </c>
      <c r="BF80" t="s">
        <v>131</v>
      </c>
      <c r="BG80" t="s">
        <v>17</v>
      </c>
      <c r="BH80" t="s">
        <v>0</v>
      </c>
      <c r="BI80" t="s">
        <v>102</v>
      </c>
      <c r="BJ80" t="s">
        <v>0</v>
      </c>
      <c r="BK80" t="s">
        <v>0</v>
      </c>
      <c r="BL80" s="5">
        <v>0</v>
      </c>
      <c r="BM80" t="s">
        <v>0</v>
      </c>
      <c r="BN80" t="s">
        <v>0</v>
      </c>
      <c r="BO80" t="s">
        <v>0</v>
      </c>
      <c r="BP80" t="s">
        <v>17</v>
      </c>
      <c r="BQ80" t="s">
        <v>0</v>
      </c>
      <c r="BR80" t="s">
        <v>17</v>
      </c>
      <c r="BS80" t="s">
        <v>17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</row>
    <row r="81" spans="1:80" ht="13.95" customHeight="1" x14ac:dyDescent="0.25">
      <c r="A81" t="s">
        <v>127</v>
      </c>
      <c r="B81" s="2">
        <v>45273</v>
      </c>
      <c r="C81" s="2">
        <v>45677</v>
      </c>
      <c r="D81" s="2">
        <v>45736</v>
      </c>
      <c r="E81" t="s">
        <v>2</v>
      </c>
      <c r="F81" t="s">
        <v>82</v>
      </c>
      <c r="G81" t="s">
        <v>0</v>
      </c>
      <c r="H81" t="s">
        <v>4</v>
      </c>
      <c r="I81" t="s">
        <v>111</v>
      </c>
      <c r="J81" t="s">
        <v>6</v>
      </c>
      <c r="K81" t="s">
        <v>42</v>
      </c>
      <c r="L81" t="s">
        <v>132</v>
      </c>
      <c r="M81" t="s">
        <v>133</v>
      </c>
      <c r="N81" t="s">
        <v>10</v>
      </c>
      <c r="O81" t="s">
        <v>0</v>
      </c>
      <c r="P81" t="s">
        <v>102</v>
      </c>
      <c r="Q81" s="3">
        <v>51.1</v>
      </c>
      <c r="R81" s="4">
        <v>4205</v>
      </c>
      <c r="S81" s="5">
        <v>1</v>
      </c>
      <c r="T81" s="4">
        <v>214875.5</v>
      </c>
      <c r="U81" s="3">
        <v>46.1</v>
      </c>
      <c r="V81" s="4">
        <v>193850.5</v>
      </c>
      <c r="W81" s="3">
        <v>46.1</v>
      </c>
      <c r="X81" s="4">
        <v>193850.5</v>
      </c>
      <c r="Y81" s="4">
        <f t="shared" si="2"/>
        <v>21025</v>
      </c>
      <c r="Z81" s="6" t="s">
        <v>0</v>
      </c>
      <c r="AA81" t="s">
        <v>2</v>
      </c>
      <c r="AB81" t="s">
        <v>103</v>
      </c>
      <c r="AC81">
        <f>_xlfn.XLOOKUP(AB81,'[1]GST Codes'!$A:$A,'[1]GST Codes'!$C:$C,0,0)</f>
        <v>18</v>
      </c>
      <c r="AD81">
        <f t="shared" si="3"/>
        <v>24809.5</v>
      </c>
      <c r="AE81" t="s">
        <v>13</v>
      </c>
      <c r="AF81" t="s">
        <v>129</v>
      </c>
      <c r="AG81" t="s">
        <v>14</v>
      </c>
      <c r="AH81" t="s">
        <v>50</v>
      </c>
      <c r="AI81" t="s">
        <v>16</v>
      </c>
      <c r="AJ81" t="s">
        <v>17</v>
      </c>
      <c r="AK81" t="s">
        <v>18</v>
      </c>
      <c r="AL81" t="s">
        <v>104</v>
      </c>
      <c r="AM81" t="s">
        <v>111</v>
      </c>
      <c r="AN81" t="s">
        <v>0</v>
      </c>
      <c r="AO81" t="s">
        <v>0</v>
      </c>
      <c r="AP81" t="s">
        <v>0</v>
      </c>
      <c r="AQ81" s="3">
        <v>51.1</v>
      </c>
      <c r="AR81" t="s">
        <v>102</v>
      </c>
      <c r="AS81" t="s">
        <v>0</v>
      </c>
      <c r="AT81" t="s">
        <v>17</v>
      </c>
      <c r="AU81" s="4">
        <v>0</v>
      </c>
      <c r="AV81" s="4">
        <v>0</v>
      </c>
      <c r="AW81" s="4">
        <v>0</v>
      </c>
      <c r="AX81" s="4">
        <v>0</v>
      </c>
      <c r="AY81" s="5">
        <v>0</v>
      </c>
      <c r="AZ81" s="5">
        <v>0</v>
      </c>
      <c r="BA81" s="5">
        <v>0</v>
      </c>
      <c r="BB81" s="2"/>
      <c r="BC81" t="s">
        <v>0</v>
      </c>
      <c r="BD81" s="5">
        <v>1</v>
      </c>
      <c r="BE81" t="s">
        <v>0</v>
      </c>
      <c r="BF81" t="s">
        <v>135</v>
      </c>
      <c r="BG81" t="s">
        <v>17</v>
      </c>
      <c r="BH81" t="s">
        <v>0</v>
      </c>
      <c r="BI81" t="s">
        <v>102</v>
      </c>
      <c r="BJ81" t="s">
        <v>0</v>
      </c>
      <c r="BK81" t="s">
        <v>0</v>
      </c>
      <c r="BL81" s="5">
        <v>0</v>
      </c>
      <c r="BM81" t="s">
        <v>0</v>
      </c>
      <c r="BN81" t="s">
        <v>0</v>
      </c>
      <c r="BO81" t="s">
        <v>0</v>
      </c>
      <c r="BP81" t="s">
        <v>17</v>
      </c>
      <c r="BQ81" t="s">
        <v>0</v>
      </c>
      <c r="BR81" t="s">
        <v>17</v>
      </c>
      <c r="BS81" t="s">
        <v>17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</row>
    <row r="82" spans="1:80" ht="13.95" customHeight="1" x14ac:dyDescent="0.25">
      <c r="A82" t="s">
        <v>127</v>
      </c>
      <c r="B82" s="2">
        <v>45273</v>
      </c>
      <c r="C82" s="2">
        <v>45677</v>
      </c>
      <c r="D82" s="2">
        <v>45736</v>
      </c>
      <c r="E82" t="s">
        <v>2</v>
      </c>
      <c r="F82" t="s">
        <v>82</v>
      </c>
      <c r="G82" t="s">
        <v>0</v>
      </c>
      <c r="H82" t="s">
        <v>4</v>
      </c>
      <c r="I82" t="s">
        <v>111</v>
      </c>
      <c r="J82" t="s">
        <v>6</v>
      </c>
      <c r="K82" t="s">
        <v>86</v>
      </c>
      <c r="L82" t="s">
        <v>106</v>
      </c>
      <c r="M82" t="s">
        <v>136</v>
      </c>
      <c r="N82" t="s">
        <v>10</v>
      </c>
      <c r="O82" t="s">
        <v>0</v>
      </c>
      <c r="P82" t="s">
        <v>102</v>
      </c>
      <c r="Q82" s="3">
        <v>2817.29</v>
      </c>
      <c r="R82" s="4">
        <v>4617.5</v>
      </c>
      <c r="S82" s="5">
        <v>1</v>
      </c>
      <c r="T82" s="4">
        <v>13008836.58</v>
      </c>
      <c r="U82" s="3">
        <v>2802.29</v>
      </c>
      <c r="V82" s="4">
        <v>12939574.08</v>
      </c>
      <c r="W82" s="3">
        <v>2802.29</v>
      </c>
      <c r="X82" s="4">
        <v>12939574.08</v>
      </c>
      <c r="Y82" s="4">
        <f t="shared" si="2"/>
        <v>69262.5</v>
      </c>
      <c r="Z82" s="6" t="s">
        <v>0</v>
      </c>
      <c r="AA82" t="s">
        <v>2</v>
      </c>
      <c r="AB82" t="s">
        <v>103</v>
      </c>
      <c r="AC82">
        <f>_xlfn.XLOOKUP(AB82,'[1]GST Codes'!$A:$A,'[1]GST Codes'!$C:$C,0,0)</f>
        <v>18</v>
      </c>
      <c r="AD82">
        <f t="shared" si="3"/>
        <v>81729.75</v>
      </c>
      <c r="AE82" t="s">
        <v>13</v>
      </c>
      <c r="AF82" t="s">
        <v>129</v>
      </c>
      <c r="AG82" t="s">
        <v>14</v>
      </c>
      <c r="AH82" t="s">
        <v>50</v>
      </c>
      <c r="AI82" t="s">
        <v>16</v>
      </c>
      <c r="AJ82" t="s">
        <v>17</v>
      </c>
      <c r="AK82" t="s">
        <v>18</v>
      </c>
      <c r="AL82" t="s">
        <v>104</v>
      </c>
      <c r="AM82" t="s">
        <v>111</v>
      </c>
      <c r="AN82" t="s">
        <v>0</v>
      </c>
      <c r="AO82" t="s">
        <v>0</v>
      </c>
      <c r="AP82" t="s">
        <v>0</v>
      </c>
      <c r="AQ82" s="3">
        <v>2817.29</v>
      </c>
      <c r="AR82" t="s">
        <v>102</v>
      </c>
      <c r="AS82" t="s">
        <v>0</v>
      </c>
      <c r="AT82" t="s">
        <v>17</v>
      </c>
      <c r="AU82" s="4">
        <v>0</v>
      </c>
      <c r="AV82" s="4">
        <v>0</v>
      </c>
      <c r="AW82" s="4">
        <v>0</v>
      </c>
      <c r="AX82" s="4">
        <v>0</v>
      </c>
      <c r="AY82" s="5">
        <v>0</v>
      </c>
      <c r="AZ82" s="5">
        <v>0</v>
      </c>
      <c r="BA82" s="5">
        <v>0</v>
      </c>
      <c r="BB82" s="2"/>
      <c r="BC82" t="s">
        <v>0</v>
      </c>
      <c r="BD82" s="5">
        <v>1</v>
      </c>
      <c r="BE82" t="s">
        <v>0</v>
      </c>
      <c r="BF82" t="s">
        <v>137</v>
      </c>
      <c r="BG82" t="s">
        <v>17</v>
      </c>
      <c r="BH82" t="s">
        <v>0</v>
      </c>
      <c r="BI82" t="s">
        <v>102</v>
      </c>
      <c r="BJ82" t="s">
        <v>0</v>
      </c>
      <c r="BK82" t="s">
        <v>0</v>
      </c>
      <c r="BL82" s="5">
        <v>0</v>
      </c>
      <c r="BM82" t="s">
        <v>0</v>
      </c>
      <c r="BN82" t="s">
        <v>0</v>
      </c>
      <c r="BO82" t="s">
        <v>0</v>
      </c>
      <c r="BP82" t="s">
        <v>17</v>
      </c>
      <c r="BQ82" t="s">
        <v>0</v>
      </c>
      <c r="BR82" t="s">
        <v>17</v>
      </c>
      <c r="BS82" t="s">
        <v>17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</row>
    <row r="83" spans="1:80" x14ac:dyDescent="0.25">
      <c r="A83" t="s">
        <v>138</v>
      </c>
      <c r="B83" s="2">
        <v>45425</v>
      </c>
      <c r="C83" s="2">
        <v>45677</v>
      </c>
      <c r="D83" s="2">
        <v>45736</v>
      </c>
      <c r="E83" t="s">
        <v>2</v>
      </c>
      <c r="F83" t="s">
        <v>82</v>
      </c>
      <c r="G83" t="s">
        <v>0</v>
      </c>
      <c r="H83" t="s">
        <v>4</v>
      </c>
      <c r="I83" t="s">
        <v>111</v>
      </c>
      <c r="J83" t="s">
        <v>6</v>
      </c>
      <c r="K83" t="s">
        <v>7</v>
      </c>
      <c r="L83" t="s">
        <v>139</v>
      </c>
      <c r="M83" t="s">
        <v>140</v>
      </c>
      <c r="N83" t="s">
        <v>10</v>
      </c>
      <c r="O83" t="s">
        <v>0</v>
      </c>
      <c r="P83" t="s">
        <v>102</v>
      </c>
      <c r="Q83" s="5">
        <v>30</v>
      </c>
      <c r="R83" s="4">
        <v>200</v>
      </c>
      <c r="S83" s="5">
        <v>1</v>
      </c>
      <c r="T83" s="4">
        <v>6000</v>
      </c>
      <c r="U83" s="5">
        <v>30</v>
      </c>
      <c r="V83" s="4">
        <v>6000</v>
      </c>
      <c r="W83" s="5">
        <v>30</v>
      </c>
      <c r="X83" s="4">
        <v>6000</v>
      </c>
      <c r="Y83" s="4">
        <f t="shared" si="2"/>
        <v>0</v>
      </c>
      <c r="Z83" t="s">
        <v>0</v>
      </c>
      <c r="AA83" t="s">
        <v>2</v>
      </c>
      <c r="AB83" t="s">
        <v>103</v>
      </c>
      <c r="AC83">
        <f>_xlfn.XLOOKUP(AB83,'[1]GST Codes'!$A:$A,'[1]GST Codes'!$C:$C,0,0)</f>
        <v>18</v>
      </c>
      <c r="AD83">
        <f t="shared" si="3"/>
        <v>0</v>
      </c>
      <c r="AE83" t="s">
        <v>13</v>
      </c>
      <c r="AF83" t="s">
        <v>141</v>
      </c>
      <c r="AG83" t="s">
        <v>14</v>
      </c>
      <c r="AH83" t="s">
        <v>15</v>
      </c>
      <c r="AI83" t="s">
        <v>16</v>
      </c>
      <c r="AJ83" t="s">
        <v>17</v>
      </c>
      <c r="AK83" t="s">
        <v>18</v>
      </c>
      <c r="AL83" t="s">
        <v>104</v>
      </c>
      <c r="AM83" t="s">
        <v>111</v>
      </c>
      <c r="AN83" t="s">
        <v>0</v>
      </c>
      <c r="AO83" t="s">
        <v>20</v>
      </c>
      <c r="AP83" t="s">
        <v>0</v>
      </c>
      <c r="AQ83" s="5">
        <v>30</v>
      </c>
      <c r="AR83" t="s">
        <v>102</v>
      </c>
      <c r="AS83" t="s">
        <v>0</v>
      </c>
      <c r="AT83" t="s">
        <v>17</v>
      </c>
      <c r="AU83" s="4">
        <v>0</v>
      </c>
      <c r="AV83" s="4">
        <v>0</v>
      </c>
      <c r="AW83" s="4">
        <v>0</v>
      </c>
      <c r="AX83" s="4">
        <v>0</v>
      </c>
      <c r="AY83" s="5">
        <v>0</v>
      </c>
      <c r="AZ83" s="5">
        <v>0</v>
      </c>
      <c r="BA83" s="5">
        <v>0</v>
      </c>
      <c r="BB83" s="2"/>
      <c r="BC83" t="s">
        <v>0</v>
      </c>
      <c r="BD83" s="5">
        <v>1</v>
      </c>
      <c r="BE83" t="s">
        <v>0</v>
      </c>
      <c r="BF83" t="s">
        <v>142</v>
      </c>
      <c r="BG83" t="s">
        <v>17</v>
      </c>
      <c r="BH83" t="s">
        <v>0</v>
      </c>
      <c r="BI83" t="s">
        <v>102</v>
      </c>
      <c r="BJ83" t="s">
        <v>0</v>
      </c>
      <c r="BK83" t="s">
        <v>0</v>
      </c>
      <c r="BL83" s="5">
        <v>0</v>
      </c>
      <c r="BM83" t="s">
        <v>0</v>
      </c>
      <c r="BN83" t="s">
        <v>0</v>
      </c>
      <c r="BO83" t="s">
        <v>0</v>
      </c>
      <c r="BP83" t="s">
        <v>17</v>
      </c>
      <c r="BQ83" t="s">
        <v>0</v>
      </c>
      <c r="BR83" t="s">
        <v>17</v>
      </c>
      <c r="BS83" t="s">
        <v>17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</row>
    <row r="84" spans="1:80" x14ac:dyDescent="0.25">
      <c r="A84" t="s">
        <v>138</v>
      </c>
      <c r="B84" s="2">
        <v>45425</v>
      </c>
      <c r="C84" s="2">
        <v>45677</v>
      </c>
      <c r="D84" s="2">
        <v>45736</v>
      </c>
      <c r="E84" t="s">
        <v>2</v>
      </c>
      <c r="F84" t="s">
        <v>82</v>
      </c>
      <c r="G84" t="s">
        <v>0</v>
      </c>
      <c r="H84" t="s">
        <v>4</v>
      </c>
      <c r="I84" t="s">
        <v>111</v>
      </c>
      <c r="J84" t="s">
        <v>6</v>
      </c>
      <c r="K84" t="s">
        <v>22</v>
      </c>
      <c r="L84" t="s">
        <v>139</v>
      </c>
      <c r="M84" t="s">
        <v>140</v>
      </c>
      <c r="N84" t="s">
        <v>10</v>
      </c>
      <c r="O84" t="s">
        <v>0</v>
      </c>
      <c r="P84" t="s">
        <v>102</v>
      </c>
      <c r="Q84" s="5">
        <v>180</v>
      </c>
      <c r="R84" s="4">
        <v>200</v>
      </c>
      <c r="S84" s="5">
        <v>1</v>
      </c>
      <c r="T84" s="4">
        <v>36000</v>
      </c>
      <c r="U84" s="5">
        <v>180</v>
      </c>
      <c r="V84" s="4">
        <v>36000</v>
      </c>
      <c r="W84" s="5">
        <v>180</v>
      </c>
      <c r="X84" s="4">
        <v>36000</v>
      </c>
      <c r="Y84" s="4">
        <f t="shared" si="2"/>
        <v>0</v>
      </c>
      <c r="Z84" t="s">
        <v>0</v>
      </c>
      <c r="AA84" t="s">
        <v>2</v>
      </c>
      <c r="AB84" t="s">
        <v>103</v>
      </c>
      <c r="AC84">
        <f>_xlfn.XLOOKUP(AB84,'[1]GST Codes'!$A:$A,'[1]GST Codes'!$C:$C,0,0)</f>
        <v>18</v>
      </c>
      <c r="AD84">
        <f t="shared" si="3"/>
        <v>0</v>
      </c>
      <c r="AE84" t="s">
        <v>13</v>
      </c>
      <c r="AF84" t="s">
        <v>141</v>
      </c>
      <c r="AG84" t="s">
        <v>14</v>
      </c>
      <c r="AH84" t="s">
        <v>15</v>
      </c>
      <c r="AI84" t="s">
        <v>16</v>
      </c>
      <c r="AJ84" t="s">
        <v>17</v>
      </c>
      <c r="AK84" t="s">
        <v>18</v>
      </c>
      <c r="AL84" t="s">
        <v>104</v>
      </c>
      <c r="AM84" t="s">
        <v>111</v>
      </c>
      <c r="AN84" t="s">
        <v>0</v>
      </c>
      <c r="AO84" t="s">
        <v>20</v>
      </c>
      <c r="AP84" t="s">
        <v>0</v>
      </c>
      <c r="AQ84" s="5">
        <v>180</v>
      </c>
      <c r="AR84" t="s">
        <v>102</v>
      </c>
      <c r="AS84" t="s">
        <v>0</v>
      </c>
      <c r="AT84" t="s">
        <v>17</v>
      </c>
      <c r="AU84" s="4">
        <v>0</v>
      </c>
      <c r="AV84" s="4">
        <v>0</v>
      </c>
      <c r="AW84" s="4">
        <v>0</v>
      </c>
      <c r="AX84" s="4">
        <v>0</v>
      </c>
      <c r="AY84" s="5">
        <v>0</v>
      </c>
      <c r="AZ84" s="5">
        <v>0</v>
      </c>
      <c r="BA84" s="5">
        <v>0</v>
      </c>
      <c r="BB84" s="2"/>
      <c r="BC84" t="s">
        <v>0</v>
      </c>
      <c r="BD84" s="5">
        <v>1</v>
      </c>
      <c r="BE84" t="s">
        <v>0</v>
      </c>
      <c r="BF84" t="s">
        <v>142</v>
      </c>
      <c r="BG84" t="s">
        <v>17</v>
      </c>
      <c r="BH84" t="s">
        <v>0</v>
      </c>
      <c r="BI84" t="s">
        <v>102</v>
      </c>
      <c r="BJ84" t="s">
        <v>0</v>
      </c>
      <c r="BK84" t="s">
        <v>0</v>
      </c>
      <c r="BL84" s="5">
        <v>0</v>
      </c>
      <c r="BM84" t="s">
        <v>0</v>
      </c>
      <c r="BN84" t="s">
        <v>0</v>
      </c>
      <c r="BO84" t="s">
        <v>0</v>
      </c>
      <c r="BP84" t="s">
        <v>17</v>
      </c>
      <c r="BQ84" t="s">
        <v>0</v>
      </c>
      <c r="BR84" t="s">
        <v>17</v>
      </c>
      <c r="BS84" t="s">
        <v>17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</row>
    <row r="85" spans="1:80" x14ac:dyDescent="0.25">
      <c r="A85" t="s">
        <v>143</v>
      </c>
      <c r="B85" s="2">
        <v>46176</v>
      </c>
      <c r="C85" s="2"/>
      <c r="D85" s="2"/>
      <c r="E85" t="s">
        <v>2</v>
      </c>
      <c r="F85" t="s">
        <v>89</v>
      </c>
      <c r="G85" t="s">
        <v>0</v>
      </c>
      <c r="H85" t="s">
        <v>4</v>
      </c>
      <c r="I85" t="s">
        <v>144</v>
      </c>
      <c r="J85" t="s">
        <v>6</v>
      </c>
      <c r="K85" t="s">
        <v>7</v>
      </c>
      <c r="L85" t="s">
        <v>145</v>
      </c>
      <c r="M85" t="s">
        <v>146</v>
      </c>
      <c r="N85" t="s">
        <v>10</v>
      </c>
      <c r="O85" t="s">
        <v>0</v>
      </c>
      <c r="P85" t="s">
        <v>147</v>
      </c>
      <c r="Q85" s="5">
        <v>5</v>
      </c>
      <c r="R85" s="4">
        <v>4000</v>
      </c>
      <c r="S85" s="5">
        <v>1</v>
      </c>
      <c r="T85" s="4">
        <v>20000</v>
      </c>
      <c r="U85" s="5">
        <v>5</v>
      </c>
      <c r="V85" s="4">
        <v>20000</v>
      </c>
      <c r="W85" s="5">
        <v>5</v>
      </c>
      <c r="X85" s="4">
        <v>20000</v>
      </c>
      <c r="Y85" s="4">
        <f t="shared" si="2"/>
        <v>0</v>
      </c>
      <c r="Z85" t="s">
        <v>0</v>
      </c>
      <c r="AA85" t="s">
        <v>2</v>
      </c>
      <c r="AB85" t="s">
        <v>12</v>
      </c>
      <c r="AC85">
        <f>_xlfn.XLOOKUP(AB85,'[1]GST Codes'!$A:$A,'[1]GST Codes'!$C:$C,0,0)</f>
        <v>18</v>
      </c>
      <c r="AD85">
        <f t="shared" si="3"/>
        <v>0</v>
      </c>
      <c r="AE85" t="s">
        <v>13</v>
      </c>
      <c r="AF85" t="s">
        <v>0</v>
      </c>
      <c r="AG85" t="s">
        <v>14</v>
      </c>
      <c r="AH85" t="s">
        <v>15</v>
      </c>
      <c r="AI85" t="s">
        <v>96</v>
      </c>
      <c r="AJ85" t="s">
        <v>17</v>
      </c>
      <c r="AK85" t="s">
        <v>18</v>
      </c>
      <c r="AL85" t="s">
        <v>148</v>
      </c>
      <c r="AM85" t="s">
        <v>149</v>
      </c>
      <c r="AN85" t="s">
        <v>0</v>
      </c>
      <c r="AO85" t="s">
        <v>0</v>
      </c>
      <c r="AP85" t="s">
        <v>0</v>
      </c>
      <c r="AQ85" s="5">
        <v>5</v>
      </c>
      <c r="AR85" t="s">
        <v>147</v>
      </c>
      <c r="AS85" t="s">
        <v>0</v>
      </c>
      <c r="AT85" t="s">
        <v>17</v>
      </c>
      <c r="AU85" s="4">
        <v>0</v>
      </c>
      <c r="AV85" s="4">
        <v>0</v>
      </c>
      <c r="AW85" s="4">
        <v>0</v>
      </c>
      <c r="AX85" s="4">
        <v>0</v>
      </c>
      <c r="AY85" s="5">
        <v>0</v>
      </c>
      <c r="AZ85" s="5">
        <v>0</v>
      </c>
      <c r="BA85" s="5">
        <v>0</v>
      </c>
      <c r="BB85" s="2"/>
      <c r="BC85" t="s">
        <v>0</v>
      </c>
      <c r="BD85" s="5">
        <v>1</v>
      </c>
      <c r="BE85" t="s">
        <v>0</v>
      </c>
      <c r="BF85" t="s">
        <v>150</v>
      </c>
      <c r="BG85" t="s">
        <v>17</v>
      </c>
      <c r="BH85" t="s">
        <v>0</v>
      </c>
      <c r="BI85" t="s">
        <v>147</v>
      </c>
      <c r="BJ85" t="s">
        <v>0</v>
      </c>
      <c r="BK85" t="s">
        <v>0</v>
      </c>
      <c r="BL85" s="5">
        <v>0</v>
      </c>
      <c r="BM85" t="s">
        <v>0</v>
      </c>
      <c r="BN85" t="s">
        <v>0</v>
      </c>
      <c r="BO85" t="s">
        <v>0</v>
      </c>
      <c r="BP85" t="s">
        <v>17</v>
      </c>
      <c r="BQ85" t="s">
        <v>0</v>
      </c>
      <c r="BR85" t="s">
        <v>17</v>
      </c>
      <c r="BS85" t="s">
        <v>17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</row>
    <row r="86" spans="1:80" x14ac:dyDescent="0.25">
      <c r="A86" t="s">
        <v>143</v>
      </c>
      <c r="B86" s="2">
        <v>46176</v>
      </c>
      <c r="C86" s="2"/>
      <c r="D86" s="2"/>
      <c r="E86" t="s">
        <v>2</v>
      </c>
      <c r="F86" t="s">
        <v>89</v>
      </c>
      <c r="G86" t="s">
        <v>0</v>
      </c>
      <c r="H86" t="s">
        <v>4</v>
      </c>
      <c r="I86" t="s">
        <v>144</v>
      </c>
      <c r="J86" t="s">
        <v>6</v>
      </c>
      <c r="K86" t="s">
        <v>22</v>
      </c>
      <c r="L86" t="s">
        <v>145</v>
      </c>
      <c r="M86" t="s">
        <v>151</v>
      </c>
      <c r="N86" t="s">
        <v>10</v>
      </c>
      <c r="O86" t="s">
        <v>0</v>
      </c>
      <c r="P86" t="s">
        <v>147</v>
      </c>
      <c r="Q86" s="5">
        <v>1</v>
      </c>
      <c r="R86" s="4">
        <v>4200</v>
      </c>
      <c r="S86" s="5">
        <v>1</v>
      </c>
      <c r="T86" s="4">
        <v>4200</v>
      </c>
      <c r="U86" s="5">
        <v>1</v>
      </c>
      <c r="V86" s="4">
        <v>4200</v>
      </c>
      <c r="W86" s="5">
        <v>1</v>
      </c>
      <c r="X86" s="4">
        <v>4200</v>
      </c>
      <c r="Y86" s="4">
        <f t="shared" si="2"/>
        <v>0</v>
      </c>
      <c r="Z86" t="s">
        <v>0</v>
      </c>
      <c r="AA86" t="s">
        <v>2</v>
      </c>
      <c r="AB86" t="s">
        <v>12</v>
      </c>
      <c r="AC86">
        <f>_xlfn.XLOOKUP(AB86,'[1]GST Codes'!$A:$A,'[1]GST Codes'!$C:$C,0,0)</f>
        <v>18</v>
      </c>
      <c r="AD86">
        <f t="shared" si="3"/>
        <v>0</v>
      </c>
      <c r="AE86" t="s">
        <v>13</v>
      </c>
      <c r="AF86" t="s">
        <v>0</v>
      </c>
      <c r="AG86" t="s">
        <v>14</v>
      </c>
      <c r="AH86" t="s">
        <v>15</v>
      </c>
      <c r="AI86" t="s">
        <v>96</v>
      </c>
      <c r="AJ86" t="s">
        <v>17</v>
      </c>
      <c r="AK86" t="s">
        <v>18</v>
      </c>
      <c r="AL86" t="s">
        <v>148</v>
      </c>
      <c r="AM86" t="s">
        <v>149</v>
      </c>
      <c r="AN86" t="s">
        <v>0</v>
      </c>
      <c r="AO86" t="s">
        <v>0</v>
      </c>
      <c r="AP86" t="s">
        <v>0</v>
      </c>
      <c r="AQ86" s="5">
        <v>1</v>
      </c>
      <c r="AR86" t="s">
        <v>147</v>
      </c>
      <c r="AS86" t="s">
        <v>0</v>
      </c>
      <c r="AT86" t="s">
        <v>17</v>
      </c>
      <c r="AU86" s="4">
        <v>0</v>
      </c>
      <c r="AV86" s="4">
        <v>0</v>
      </c>
      <c r="AW86" s="4">
        <v>0</v>
      </c>
      <c r="AX86" s="4">
        <v>0</v>
      </c>
      <c r="AY86" s="5">
        <v>0</v>
      </c>
      <c r="AZ86" s="5">
        <v>0</v>
      </c>
      <c r="BA86" s="5">
        <v>0</v>
      </c>
      <c r="BB86" s="2"/>
      <c r="BC86" t="s">
        <v>0</v>
      </c>
      <c r="BD86" s="5">
        <v>1</v>
      </c>
      <c r="BE86" t="s">
        <v>0</v>
      </c>
      <c r="BF86" t="s">
        <v>150</v>
      </c>
      <c r="BG86" t="s">
        <v>17</v>
      </c>
      <c r="BH86" t="s">
        <v>0</v>
      </c>
      <c r="BI86" t="s">
        <v>147</v>
      </c>
      <c r="BJ86" t="s">
        <v>0</v>
      </c>
      <c r="BK86" t="s">
        <v>0</v>
      </c>
      <c r="BL86" s="5">
        <v>0</v>
      </c>
      <c r="BM86" t="s">
        <v>0</v>
      </c>
      <c r="BN86" t="s">
        <v>0</v>
      </c>
      <c r="BO86" t="s">
        <v>0</v>
      </c>
      <c r="BP86" t="s">
        <v>17</v>
      </c>
      <c r="BQ86" t="s">
        <v>0</v>
      </c>
      <c r="BR86" t="s">
        <v>17</v>
      </c>
      <c r="BS86" t="s">
        <v>17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</row>
    <row r="87" spans="1:80" x14ac:dyDescent="0.25">
      <c r="A87" t="s">
        <v>143</v>
      </c>
      <c r="B87" s="2">
        <v>46176</v>
      </c>
      <c r="C87" s="2"/>
      <c r="D87" s="2"/>
      <c r="E87" t="s">
        <v>2</v>
      </c>
      <c r="F87" t="s">
        <v>89</v>
      </c>
      <c r="G87" t="s">
        <v>0</v>
      </c>
      <c r="H87" t="s">
        <v>4</v>
      </c>
      <c r="I87" t="s">
        <v>144</v>
      </c>
      <c r="J87" t="s">
        <v>6</v>
      </c>
      <c r="K87" t="s">
        <v>26</v>
      </c>
      <c r="L87" t="s">
        <v>152</v>
      </c>
      <c r="M87" t="s">
        <v>153</v>
      </c>
      <c r="N87" t="s">
        <v>10</v>
      </c>
      <c r="O87" t="s">
        <v>0</v>
      </c>
      <c r="P87" t="s">
        <v>147</v>
      </c>
      <c r="Q87" s="5">
        <v>1</v>
      </c>
      <c r="R87" s="4">
        <v>3800</v>
      </c>
      <c r="S87" s="5">
        <v>1</v>
      </c>
      <c r="T87" s="4">
        <v>3800</v>
      </c>
      <c r="U87" s="5">
        <v>1</v>
      </c>
      <c r="V87" s="4">
        <v>3800</v>
      </c>
      <c r="W87" s="5">
        <v>1</v>
      </c>
      <c r="X87" s="4">
        <v>3800</v>
      </c>
      <c r="Y87" s="4">
        <f t="shared" si="2"/>
        <v>0</v>
      </c>
      <c r="Z87" t="s">
        <v>0</v>
      </c>
      <c r="AA87" t="s">
        <v>2</v>
      </c>
      <c r="AB87" t="s">
        <v>12</v>
      </c>
      <c r="AC87">
        <f>_xlfn.XLOOKUP(AB87,'[1]GST Codes'!$A:$A,'[1]GST Codes'!$C:$C,0,0)</f>
        <v>18</v>
      </c>
      <c r="AD87">
        <f t="shared" si="3"/>
        <v>0</v>
      </c>
      <c r="AE87" t="s">
        <v>13</v>
      </c>
      <c r="AF87" t="s">
        <v>0</v>
      </c>
      <c r="AG87" t="s">
        <v>14</v>
      </c>
      <c r="AH87" t="s">
        <v>15</v>
      </c>
      <c r="AI87" t="s">
        <v>96</v>
      </c>
      <c r="AJ87" t="s">
        <v>17</v>
      </c>
      <c r="AK87" t="s">
        <v>18</v>
      </c>
      <c r="AL87" t="s">
        <v>148</v>
      </c>
      <c r="AM87" t="s">
        <v>149</v>
      </c>
      <c r="AN87" t="s">
        <v>0</v>
      </c>
      <c r="AO87" t="s">
        <v>0</v>
      </c>
      <c r="AP87" t="s">
        <v>0</v>
      </c>
      <c r="AQ87" s="5">
        <v>1</v>
      </c>
      <c r="AR87" t="s">
        <v>147</v>
      </c>
      <c r="AS87" t="s">
        <v>0</v>
      </c>
      <c r="AT87" t="s">
        <v>17</v>
      </c>
      <c r="AU87" s="4">
        <v>0</v>
      </c>
      <c r="AV87" s="4">
        <v>0</v>
      </c>
      <c r="AW87" s="4">
        <v>0</v>
      </c>
      <c r="AX87" s="4">
        <v>0</v>
      </c>
      <c r="AY87" s="5">
        <v>0</v>
      </c>
      <c r="AZ87" s="5">
        <v>0</v>
      </c>
      <c r="BA87" s="5">
        <v>0</v>
      </c>
      <c r="BB87" s="2"/>
      <c r="BC87" t="s">
        <v>0</v>
      </c>
      <c r="BD87" s="5">
        <v>1</v>
      </c>
      <c r="BE87" t="s">
        <v>0</v>
      </c>
      <c r="BF87" t="s">
        <v>154</v>
      </c>
      <c r="BG87" t="s">
        <v>17</v>
      </c>
      <c r="BH87" t="s">
        <v>0</v>
      </c>
      <c r="BI87" t="s">
        <v>147</v>
      </c>
      <c r="BJ87" t="s">
        <v>0</v>
      </c>
      <c r="BK87" t="s">
        <v>0</v>
      </c>
      <c r="BL87" s="5">
        <v>0</v>
      </c>
      <c r="BM87" t="s">
        <v>0</v>
      </c>
      <c r="BN87" t="s">
        <v>0</v>
      </c>
      <c r="BO87" t="s">
        <v>0</v>
      </c>
      <c r="BP87" t="s">
        <v>17</v>
      </c>
      <c r="BQ87" t="s">
        <v>0</v>
      </c>
      <c r="BR87" t="s">
        <v>17</v>
      </c>
      <c r="BS87" t="s">
        <v>17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</row>
    <row r="88" spans="1:80" x14ac:dyDescent="0.25">
      <c r="A88" t="s">
        <v>143</v>
      </c>
      <c r="B88" s="2">
        <v>46176</v>
      </c>
      <c r="C88" s="2"/>
      <c r="D88" s="2"/>
      <c r="E88" t="s">
        <v>2</v>
      </c>
      <c r="F88" t="s">
        <v>89</v>
      </c>
      <c r="G88" t="s">
        <v>0</v>
      </c>
      <c r="H88" t="s">
        <v>4</v>
      </c>
      <c r="I88" t="s">
        <v>144</v>
      </c>
      <c r="J88" t="s">
        <v>6</v>
      </c>
      <c r="K88" t="s">
        <v>30</v>
      </c>
      <c r="L88" t="s">
        <v>155</v>
      </c>
      <c r="M88" t="s">
        <v>156</v>
      </c>
      <c r="N88" t="s">
        <v>10</v>
      </c>
      <c r="O88" t="s">
        <v>0</v>
      </c>
      <c r="P88" t="s">
        <v>147</v>
      </c>
      <c r="Q88" s="5">
        <v>10</v>
      </c>
      <c r="R88" s="4">
        <v>3240</v>
      </c>
      <c r="S88" s="5">
        <v>1</v>
      </c>
      <c r="T88" s="4">
        <v>32400</v>
      </c>
      <c r="U88" s="5">
        <v>10</v>
      </c>
      <c r="V88" s="4">
        <v>32400</v>
      </c>
      <c r="W88" s="5">
        <v>10</v>
      </c>
      <c r="X88" s="4">
        <v>32400</v>
      </c>
      <c r="Y88" s="4">
        <f t="shared" si="2"/>
        <v>0</v>
      </c>
      <c r="Z88" t="s">
        <v>0</v>
      </c>
      <c r="AA88" t="s">
        <v>2</v>
      </c>
      <c r="AB88" t="s">
        <v>12</v>
      </c>
      <c r="AC88">
        <f>_xlfn.XLOOKUP(AB88,'[1]GST Codes'!$A:$A,'[1]GST Codes'!$C:$C,0,0)</f>
        <v>18</v>
      </c>
      <c r="AD88">
        <f t="shared" si="3"/>
        <v>0</v>
      </c>
      <c r="AE88" t="s">
        <v>13</v>
      </c>
      <c r="AF88" t="s">
        <v>0</v>
      </c>
      <c r="AG88" t="s">
        <v>14</v>
      </c>
      <c r="AH88" t="s">
        <v>15</v>
      </c>
      <c r="AI88" t="s">
        <v>96</v>
      </c>
      <c r="AJ88" t="s">
        <v>17</v>
      </c>
      <c r="AK88" t="s">
        <v>18</v>
      </c>
      <c r="AL88" t="s">
        <v>148</v>
      </c>
      <c r="AM88" t="s">
        <v>149</v>
      </c>
      <c r="AN88" t="s">
        <v>0</v>
      </c>
      <c r="AO88" t="s">
        <v>0</v>
      </c>
      <c r="AP88" t="s">
        <v>0</v>
      </c>
      <c r="AQ88" s="5">
        <v>10</v>
      </c>
      <c r="AR88" t="s">
        <v>147</v>
      </c>
      <c r="AS88" t="s">
        <v>0</v>
      </c>
      <c r="AT88" t="s">
        <v>17</v>
      </c>
      <c r="AU88" s="4">
        <v>0</v>
      </c>
      <c r="AV88" s="4">
        <v>0</v>
      </c>
      <c r="AW88" s="4">
        <v>0</v>
      </c>
      <c r="AX88" s="4">
        <v>0</v>
      </c>
      <c r="AY88" s="5">
        <v>0</v>
      </c>
      <c r="AZ88" s="5">
        <v>0</v>
      </c>
      <c r="BA88" s="5">
        <v>0</v>
      </c>
      <c r="BB88" s="2"/>
      <c r="BC88" t="s">
        <v>0</v>
      </c>
      <c r="BD88" s="5">
        <v>1</v>
      </c>
      <c r="BE88" t="s">
        <v>0</v>
      </c>
      <c r="BF88" t="s">
        <v>157</v>
      </c>
      <c r="BG88" t="s">
        <v>17</v>
      </c>
      <c r="BH88" t="s">
        <v>0</v>
      </c>
      <c r="BI88" t="s">
        <v>147</v>
      </c>
      <c r="BJ88" t="s">
        <v>0</v>
      </c>
      <c r="BK88" t="s">
        <v>0</v>
      </c>
      <c r="BL88" s="5">
        <v>0</v>
      </c>
      <c r="BM88" t="s">
        <v>0</v>
      </c>
      <c r="BN88" t="s">
        <v>0</v>
      </c>
      <c r="BO88" t="s">
        <v>0</v>
      </c>
      <c r="BP88" t="s">
        <v>17</v>
      </c>
      <c r="BQ88" t="s">
        <v>0</v>
      </c>
      <c r="BR88" t="s">
        <v>17</v>
      </c>
      <c r="BS88" t="s">
        <v>17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</row>
    <row r="89" spans="1:80" x14ac:dyDescent="0.25">
      <c r="A89" t="s">
        <v>143</v>
      </c>
      <c r="B89" s="2">
        <v>46176</v>
      </c>
      <c r="C89" s="2"/>
      <c r="D89" s="2"/>
      <c r="E89" t="s">
        <v>2</v>
      </c>
      <c r="F89" t="s">
        <v>89</v>
      </c>
      <c r="G89" t="s">
        <v>0</v>
      </c>
      <c r="H89" t="s">
        <v>4</v>
      </c>
      <c r="I89" t="s">
        <v>144</v>
      </c>
      <c r="J89" t="s">
        <v>6</v>
      </c>
      <c r="K89" t="s">
        <v>34</v>
      </c>
      <c r="L89" t="s">
        <v>152</v>
      </c>
      <c r="M89" t="s">
        <v>158</v>
      </c>
      <c r="N89" t="s">
        <v>10</v>
      </c>
      <c r="O89" t="s">
        <v>0</v>
      </c>
      <c r="P89" t="s">
        <v>147</v>
      </c>
      <c r="Q89" s="5">
        <v>4</v>
      </c>
      <c r="R89" s="4">
        <v>3500</v>
      </c>
      <c r="S89" s="5">
        <v>1</v>
      </c>
      <c r="T89" s="4">
        <v>14000</v>
      </c>
      <c r="U89" s="5">
        <v>4</v>
      </c>
      <c r="V89" s="4">
        <v>14000</v>
      </c>
      <c r="W89" s="5">
        <v>4</v>
      </c>
      <c r="X89" s="4">
        <v>14000</v>
      </c>
      <c r="Y89" s="4">
        <f t="shared" si="2"/>
        <v>0</v>
      </c>
      <c r="Z89" t="s">
        <v>0</v>
      </c>
      <c r="AA89" t="s">
        <v>2</v>
      </c>
      <c r="AB89" t="s">
        <v>12</v>
      </c>
      <c r="AC89">
        <f>_xlfn.XLOOKUP(AB89,'[1]GST Codes'!$A:$A,'[1]GST Codes'!$C:$C,0,0)</f>
        <v>18</v>
      </c>
      <c r="AD89">
        <f t="shared" si="3"/>
        <v>0</v>
      </c>
      <c r="AE89" t="s">
        <v>13</v>
      </c>
      <c r="AF89" t="s">
        <v>0</v>
      </c>
      <c r="AG89" t="s">
        <v>14</v>
      </c>
      <c r="AH89" t="s">
        <v>15</v>
      </c>
      <c r="AI89" t="s">
        <v>96</v>
      </c>
      <c r="AJ89" t="s">
        <v>17</v>
      </c>
      <c r="AK89" t="s">
        <v>18</v>
      </c>
      <c r="AL89" t="s">
        <v>148</v>
      </c>
      <c r="AM89" t="s">
        <v>149</v>
      </c>
      <c r="AN89" t="s">
        <v>0</v>
      </c>
      <c r="AO89" t="s">
        <v>0</v>
      </c>
      <c r="AP89" t="s">
        <v>0</v>
      </c>
      <c r="AQ89" s="5">
        <v>4</v>
      </c>
      <c r="AR89" t="s">
        <v>147</v>
      </c>
      <c r="AS89" t="s">
        <v>0</v>
      </c>
      <c r="AT89" t="s">
        <v>17</v>
      </c>
      <c r="AU89" s="4">
        <v>0</v>
      </c>
      <c r="AV89" s="4">
        <v>0</v>
      </c>
      <c r="AW89" s="4">
        <v>0</v>
      </c>
      <c r="AX89" s="4">
        <v>0</v>
      </c>
      <c r="AY89" s="5">
        <v>0</v>
      </c>
      <c r="AZ89" s="5">
        <v>0</v>
      </c>
      <c r="BA89" s="5">
        <v>0</v>
      </c>
      <c r="BB89" s="2"/>
      <c r="BC89" t="s">
        <v>0</v>
      </c>
      <c r="BD89" s="5">
        <v>1</v>
      </c>
      <c r="BE89" t="s">
        <v>0</v>
      </c>
      <c r="BF89" t="s">
        <v>154</v>
      </c>
      <c r="BG89" t="s">
        <v>17</v>
      </c>
      <c r="BH89" t="s">
        <v>0</v>
      </c>
      <c r="BI89" t="s">
        <v>147</v>
      </c>
      <c r="BJ89" t="s">
        <v>0</v>
      </c>
      <c r="BK89" t="s">
        <v>0</v>
      </c>
      <c r="BL89" s="5">
        <v>0</v>
      </c>
      <c r="BM89" t="s">
        <v>0</v>
      </c>
      <c r="BN89" t="s">
        <v>0</v>
      </c>
      <c r="BO89" t="s">
        <v>0</v>
      </c>
      <c r="BP89" t="s">
        <v>17</v>
      </c>
      <c r="BQ89" t="s">
        <v>0</v>
      </c>
      <c r="BR89" t="s">
        <v>17</v>
      </c>
      <c r="BS89" t="s">
        <v>17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</row>
    <row r="90" spans="1:80" x14ac:dyDescent="0.25">
      <c r="A90" t="s">
        <v>143</v>
      </c>
      <c r="B90" s="2">
        <v>46176</v>
      </c>
      <c r="C90" s="2"/>
      <c r="D90" s="2"/>
      <c r="E90" t="s">
        <v>2</v>
      </c>
      <c r="F90" t="s">
        <v>89</v>
      </c>
      <c r="G90" t="s">
        <v>0</v>
      </c>
      <c r="H90" t="s">
        <v>4</v>
      </c>
      <c r="I90" t="s">
        <v>144</v>
      </c>
      <c r="J90" t="s">
        <v>6</v>
      </c>
      <c r="K90" t="s">
        <v>38</v>
      </c>
      <c r="L90" t="s">
        <v>152</v>
      </c>
      <c r="M90" t="s">
        <v>153</v>
      </c>
      <c r="N90" t="s">
        <v>10</v>
      </c>
      <c r="O90" t="s">
        <v>0</v>
      </c>
      <c r="P90" t="s">
        <v>147</v>
      </c>
      <c r="Q90" s="5">
        <v>1</v>
      </c>
      <c r="R90" s="4">
        <v>3800</v>
      </c>
      <c r="S90" s="5">
        <v>1</v>
      </c>
      <c r="T90" s="4">
        <v>3800</v>
      </c>
      <c r="U90" s="5">
        <v>1</v>
      </c>
      <c r="V90" s="4">
        <v>3800</v>
      </c>
      <c r="W90" s="5">
        <v>1</v>
      </c>
      <c r="X90" s="4">
        <v>3800</v>
      </c>
      <c r="Y90" s="4">
        <f t="shared" si="2"/>
        <v>0</v>
      </c>
      <c r="Z90" t="s">
        <v>0</v>
      </c>
      <c r="AA90" t="s">
        <v>2</v>
      </c>
      <c r="AB90" t="s">
        <v>12</v>
      </c>
      <c r="AC90">
        <f>_xlfn.XLOOKUP(AB90,'[1]GST Codes'!$A:$A,'[1]GST Codes'!$C:$C,0,0)</f>
        <v>18</v>
      </c>
      <c r="AD90">
        <f t="shared" si="3"/>
        <v>0</v>
      </c>
      <c r="AE90" t="s">
        <v>13</v>
      </c>
      <c r="AF90" t="s">
        <v>0</v>
      </c>
      <c r="AG90" t="s">
        <v>14</v>
      </c>
      <c r="AH90" t="s">
        <v>15</v>
      </c>
      <c r="AI90" t="s">
        <v>96</v>
      </c>
      <c r="AJ90" t="s">
        <v>17</v>
      </c>
      <c r="AK90" t="s">
        <v>18</v>
      </c>
      <c r="AL90" t="s">
        <v>148</v>
      </c>
      <c r="AM90" t="s">
        <v>149</v>
      </c>
      <c r="AN90" t="s">
        <v>0</v>
      </c>
      <c r="AO90" t="s">
        <v>0</v>
      </c>
      <c r="AP90" t="s">
        <v>0</v>
      </c>
      <c r="AQ90" s="5">
        <v>1</v>
      </c>
      <c r="AR90" t="s">
        <v>147</v>
      </c>
      <c r="AS90" t="s">
        <v>0</v>
      </c>
      <c r="AT90" t="s">
        <v>17</v>
      </c>
      <c r="AU90" s="4">
        <v>0</v>
      </c>
      <c r="AV90" s="4">
        <v>0</v>
      </c>
      <c r="AW90" s="4">
        <v>0</v>
      </c>
      <c r="AX90" s="4">
        <v>0</v>
      </c>
      <c r="AY90" s="5">
        <v>0</v>
      </c>
      <c r="AZ90" s="5">
        <v>0</v>
      </c>
      <c r="BA90" s="5">
        <v>0</v>
      </c>
      <c r="BB90" s="2"/>
      <c r="BC90" t="s">
        <v>0</v>
      </c>
      <c r="BD90" s="5">
        <v>1</v>
      </c>
      <c r="BE90" t="s">
        <v>0</v>
      </c>
      <c r="BF90" t="s">
        <v>154</v>
      </c>
      <c r="BG90" t="s">
        <v>17</v>
      </c>
      <c r="BH90" t="s">
        <v>0</v>
      </c>
      <c r="BI90" t="s">
        <v>147</v>
      </c>
      <c r="BJ90" t="s">
        <v>0</v>
      </c>
      <c r="BK90" t="s">
        <v>0</v>
      </c>
      <c r="BL90" s="5">
        <v>0</v>
      </c>
      <c r="BM90" t="s">
        <v>0</v>
      </c>
      <c r="BN90" t="s">
        <v>0</v>
      </c>
      <c r="BO90" t="s">
        <v>0</v>
      </c>
      <c r="BP90" t="s">
        <v>17</v>
      </c>
      <c r="BQ90" t="s">
        <v>0</v>
      </c>
      <c r="BR90" t="s">
        <v>17</v>
      </c>
      <c r="BS90" t="s">
        <v>17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</row>
    <row r="91" spans="1:80" x14ac:dyDescent="0.25">
      <c r="A91" t="s">
        <v>143</v>
      </c>
      <c r="B91" s="2">
        <v>46176</v>
      </c>
      <c r="C91" s="2"/>
      <c r="D91" s="2"/>
      <c r="E91" t="s">
        <v>2</v>
      </c>
      <c r="F91" t="s">
        <v>89</v>
      </c>
      <c r="G91" t="s">
        <v>0</v>
      </c>
      <c r="H91" t="s">
        <v>4</v>
      </c>
      <c r="I91" t="s">
        <v>144</v>
      </c>
      <c r="J91" t="s">
        <v>6</v>
      </c>
      <c r="K91" t="s">
        <v>42</v>
      </c>
      <c r="L91" t="s">
        <v>159</v>
      </c>
      <c r="M91" t="s">
        <v>160</v>
      </c>
      <c r="N91" t="s">
        <v>10</v>
      </c>
      <c r="O91" t="s">
        <v>0</v>
      </c>
      <c r="P91" t="s">
        <v>147</v>
      </c>
      <c r="Q91" s="5">
        <v>12</v>
      </c>
      <c r="R91" s="4">
        <v>57.4</v>
      </c>
      <c r="S91" s="5">
        <v>1</v>
      </c>
      <c r="T91" s="4">
        <v>688.8</v>
      </c>
      <c r="U91" s="5">
        <v>12</v>
      </c>
      <c r="V91" s="4">
        <v>688.8</v>
      </c>
      <c r="W91" s="5">
        <v>12</v>
      </c>
      <c r="X91" s="4">
        <v>688.8</v>
      </c>
      <c r="Y91" s="4">
        <f t="shared" si="2"/>
        <v>0</v>
      </c>
      <c r="Z91" t="s">
        <v>0</v>
      </c>
      <c r="AA91" t="s">
        <v>2</v>
      </c>
      <c r="AB91" t="s">
        <v>12</v>
      </c>
      <c r="AC91">
        <f>_xlfn.XLOOKUP(AB91,'[1]GST Codes'!$A:$A,'[1]GST Codes'!$C:$C,0,0)</f>
        <v>18</v>
      </c>
      <c r="AD91">
        <f t="shared" si="3"/>
        <v>0</v>
      </c>
      <c r="AE91" t="s">
        <v>13</v>
      </c>
      <c r="AF91" t="s">
        <v>0</v>
      </c>
      <c r="AG91" t="s">
        <v>14</v>
      </c>
      <c r="AH91" t="s">
        <v>15</v>
      </c>
      <c r="AI91" t="s">
        <v>96</v>
      </c>
      <c r="AJ91" t="s">
        <v>17</v>
      </c>
      <c r="AK91" t="s">
        <v>18</v>
      </c>
      <c r="AL91" t="s">
        <v>148</v>
      </c>
      <c r="AM91" t="s">
        <v>149</v>
      </c>
      <c r="AN91" t="s">
        <v>0</v>
      </c>
      <c r="AO91" t="s">
        <v>0</v>
      </c>
      <c r="AP91" t="s">
        <v>0</v>
      </c>
      <c r="AQ91" s="5">
        <v>12</v>
      </c>
      <c r="AR91" t="s">
        <v>147</v>
      </c>
      <c r="AS91" t="s">
        <v>0</v>
      </c>
      <c r="AT91" t="s">
        <v>17</v>
      </c>
      <c r="AU91" s="4">
        <v>0</v>
      </c>
      <c r="AV91" s="4">
        <v>0</v>
      </c>
      <c r="AW91" s="4">
        <v>0</v>
      </c>
      <c r="AX91" s="4">
        <v>0</v>
      </c>
      <c r="AY91" s="5">
        <v>0</v>
      </c>
      <c r="AZ91" s="5">
        <v>0</v>
      </c>
      <c r="BA91" s="5">
        <v>0</v>
      </c>
      <c r="BB91" s="2"/>
      <c r="BC91" t="s">
        <v>0</v>
      </c>
      <c r="BD91" s="5">
        <v>1</v>
      </c>
      <c r="BE91" t="s">
        <v>0</v>
      </c>
      <c r="BF91" t="s">
        <v>161</v>
      </c>
      <c r="BG91" t="s">
        <v>17</v>
      </c>
      <c r="BH91" t="s">
        <v>0</v>
      </c>
      <c r="BI91" t="s">
        <v>147</v>
      </c>
      <c r="BJ91" t="s">
        <v>0</v>
      </c>
      <c r="BK91" t="s">
        <v>0</v>
      </c>
      <c r="BL91" s="5">
        <v>0</v>
      </c>
      <c r="BM91" t="s">
        <v>0</v>
      </c>
      <c r="BN91" t="s">
        <v>0</v>
      </c>
      <c r="BO91" t="s">
        <v>0</v>
      </c>
      <c r="BP91" t="s">
        <v>17</v>
      </c>
      <c r="BQ91" t="s">
        <v>0</v>
      </c>
      <c r="BR91" t="s">
        <v>17</v>
      </c>
      <c r="BS91" t="s">
        <v>17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</row>
    <row r="92" spans="1:80" x14ac:dyDescent="0.25">
      <c r="A92" t="s">
        <v>143</v>
      </c>
      <c r="B92" s="2">
        <v>46176</v>
      </c>
      <c r="C92" s="2"/>
      <c r="D92" s="2"/>
      <c r="E92" t="s">
        <v>2</v>
      </c>
      <c r="F92" t="s">
        <v>89</v>
      </c>
      <c r="G92" t="s">
        <v>0</v>
      </c>
      <c r="H92" t="s">
        <v>4</v>
      </c>
      <c r="I92" t="s">
        <v>144</v>
      </c>
      <c r="J92" t="s">
        <v>6</v>
      </c>
      <c r="K92" t="s">
        <v>86</v>
      </c>
      <c r="L92" t="s">
        <v>162</v>
      </c>
      <c r="M92" t="s">
        <v>163</v>
      </c>
      <c r="N92" t="s">
        <v>10</v>
      </c>
      <c r="O92" t="s">
        <v>0</v>
      </c>
      <c r="P92" t="s">
        <v>147</v>
      </c>
      <c r="Q92" s="5">
        <v>6</v>
      </c>
      <c r="R92" s="4">
        <v>67.48</v>
      </c>
      <c r="S92" s="5">
        <v>1</v>
      </c>
      <c r="T92" s="4">
        <v>404.88</v>
      </c>
      <c r="U92" s="5">
        <v>6</v>
      </c>
      <c r="V92" s="4">
        <v>404.88</v>
      </c>
      <c r="W92" s="5">
        <v>6</v>
      </c>
      <c r="X92" s="4">
        <v>404.88</v>
      </c>
      <c r="Y92" s="4">
        <f t="shared" si="2"/>
        <v>0</v>
      </c>
      <c r="Z92" t="s">
        <v>0</v>
      </c>
      <c r="AA92" t="s">
        <v>2</v>
      </c>
      <c r="AB92" t="s">
        <v>12</v>
      </c>
      <c r="AC92">
        <f>_xlfn.XLOOKUP(AB92,'[1]GST Codes'!$A:$A,'[1]GST Codes'!$C:$C,0,0)</f>
        <v>18</v>
      </c>
      <c r="AD92">
        <f t="shared" si="3"/>
        <v>0</v>
      </c>
      <c r="AE92" t="s">
        <v>13</v>
      </c>
      <c r="AF92" t="s">
        <v>0</v>
      </c>
      <c r="AG92" t="s">
        <v>14</v>
      </c>
      <c r="AH92" t="s">
        <v>15</v>
      </c>
      <c r="AI92" t="s">
        <v>96</v>
      </c>
      <c r="AJ92" t="s">
        <v>17</v>
      </c>
      <c r="AK92" t="s">
        <v>18</v>
      </c>
      <c r="AL92" t="s">
        <v>148</v>
      </c>
      <c r="AM92" t="s">
        <v>149</v>
      </c>
      <c r="AN92" t="s">
        <v>0</v>
      </c>
      <c r="AO92" t="s">
        <v>0</v>
      </c>
      <c r="AP92" t="s">
        <v>0</v>
      </c>
      <c r="AQ92" s="5">
        <v>6</v>
      </c>
      <c r="AR92" t="s">
        <v>147</v>
      </c>
      <c r="AS92" t="s">
        <v>0</v>
      </c>
      <c r="AT92" t="s">
        <v>17</v>
      </c>
      <c r="AU92" s="4">
        <v>0</v>
      </c>
      <c r="AV92" s="4">
        <v>0</v>
      </c>
      <c r="AW92" s="4">
        <v>0</v>
      </c>
      <c r="AX92" s="4">
        <v>0</v>
      </c>
      <c r="AY92" s="5">
        <v>0</v>
      </c>
      <c r="AZ92" s="5">
        <v>0</v>
      </c>
      <c r="BA92" s="5">
        <v>0</v>
      </c>
      <c r="BB92" s="2"/>
      <c r="BC92" t="s">
        <v>0</v>
      </c>
      <c r="BD92" s="5">
        <v>1</v>
      </c>
      <c r="BE92" t="s">
        <v>0</v>
      </c>
      <c r="BF92" t="s">
        <v>164</v>
      </c>
      <c r="BG92" t="s">
        <v>17</v>
      </c>
      <c r="BH92" t="s">
        <v>0</v>
      </c>
      <c r="BI92" t="s">
        <v>147</v>
      </c>
      <c r="BJ92" t="s">
        <v>0</v>
      </c>
      <c r="BK92" t="s">
        <v>0</v>
      </c>
      <c r="BL92" s="5">
        <v>0</v>
      </c>
      <c r="BM92" t="s">
        <v>0</v>
      </c>
      <c r="BN92" t="s">
        <v>0</v>
      </c>
      <c r="BO92" t="s">
        <v>0</v>
      </c>
      <c r="BP92" t="s">
        <v>17</v>
      </c>
      <c r="BQ92" t="s">
        <v>0</v>
      </c>
      <c r="BR92" t="s">
        <v>17</v>
      </c>
      <c r="BS92" t="s">
        <v>17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</row>
    <row r="93" spans="1:80" x14ac:dyDescent="0.25">
      <c r="A93" t="s">
        <v>143</v>
      </c>
      <c r="B93" s="2">
        <v>46176</v>
      </c>
      <c r="C93" s="2"/>
      <c r="D93" s="2"/>
      <c r="E93" t="s">
        <v>2</v>
      </c>
      <c r="F93" t="s">
        <v>89</v>
      </c>
      <c r="G93" t="s">
        <v>0</v>
      </c>
      <c r="H93" t="s">
        <v>4</v>
      </c>
      <c r="I93" t="s">
        <v>144</v>
      </c>
      <c r="J93" t="s">
        <v>6</v>
      </c>
      <c r="K93" t="s">
        <v>87</v>
      </c>
      <c r="L93" t="s">
        <v>165</v>
      </c>
      <c r="M93" t="s">
        <v>166</v>
      </c>
      <c r="N93" t="s">
        <v>10</v>
      </c>
      <c r="O93" t="s">
        <v>0</v>
      </c>
      <c r="P93" t="s">
        <v>147</v>
      </c>
      <c r="Q93" s="5">
        <v>3</v>
      </c>
      <c r="R93" s="4">
        <v>83.72</v>
      </c>
      <c r="S93" s="5">
        <v>1</v>
      </c>
      <c r="T93" s="4">
        <v>251.16</v>
      </c>
      <c r="U93" s="5">
        <v>3</v>
      </c>
      <c r="V93" s="4">
        <v>251.16</v>
      </c>
      <c r="W93" s="5">
        <v>3</v>
      </c>
      <c r="X93" s="4">
        <v>251.16</v>
      </c>
      <c r="Y93" s="4">
        <f t="shared" si="2"/>
        <v>0</v>
      </c>
      <c r="Z93" t="s">
        <v>0</v>
      </c>
      <c r="AA93" t="s">
        <v>2</v>
      </c>
      <c r="AB93" t="s">
        <v>12</v>
      </c>
      <c r="AC93">
        <f>_xlfn.XLOOKUP(AB93,'[1]GST Codes'!$A:$A,'[1]GST Codes'!$C:$C,0,0)</f>
        <v>18</v>
      </c>
      <c r="AD93">
        <f t="shared" si="3"/>
        <v>0</v>
      </c>
      <c r="AE93" t="s">
        <v>13</v>
      </c>
      <c r="AF93" t="s">
        <v>0</v>
      </c>
      <c r="AG93" t="s">
        <v>14</v>
      </c>
      <c r="AH93" t="s">
        <v>15</v>
      </c>
      <c r="AI93" t="s">
        <v>96</v>
      </c>
      <c r="AJ93" t="s">
        <v>17</v>
      </c>
      <c r="AK93" t="s">
        <v>18</v>
      </c>
      <c r="AL93" t="s">
        <v>148</v>
      </c>
      <c r="AM93" t="s">
        <v>149</v>
      </c>
      <c r="AN93" t="s">
        <v>0</v>
      </c>
      <c r="AO93" t="s">
        <v>0</v>
      </c>
      <c r="AP93" t="s">
        <v>0</v>
      </c>
      <c r="AQ93" s="5">
        <v>3</v>
      </c>
      <c r="AR93" t="s">
        <v>147</v>
      </c>
      <c r="AS93" t="s">
        <v>0</v>
      </c>
      <c r="AT93" t="s">
        <v>17</v>
      </c>
      <c r="AU93" s="4">
        <v>0</v>
      </c>
      <c r="AV93" s="4">
        <v>0</v>
      </c>
      <c r="AW93" s="4">
        <v>0</v>
      </c>
      <c r="AX93" s="4">
        <v>0</v>
      </c>
      <c r="AY93" s="5">
        <v>0</v>
      </c>
      <c r="AZ93" s="5">
        <v>0</v>
      </c>
      <c r="BA93" s="5">
        <v>0</v>
      </c>
      <c r="BB93" s="2"/>
      <c r="BC93" t="s">
        <v>0</v>
      </c>
      <c r="BD93" s="5">
        <v>1</v>
      </c>
      <c r="BE93" t="s">
        <v>0</v>
      </c>
      <c r="BF93" t="s">
        <v>167</v>
      </c>
      <c r="BG93" t="s">
        <v>17</v>
      </c>
      <c r="BH93" t="s">
        <v>0</v>
      </c>
      <c r="BI93" t="s">
        <v>147</v>
      </c>
      <c r="BJ93" t="s">
        <v>0</v>
      </c>
      <c r="BK93" t="s">
        <v>0</v>
      </c>
      <c r="BL93" s="5">
        <v>0</v>
      </c>
      <c r="BM93" t="s">
        <v>0</v>
      </c>
      <c r="BN93" t="s">
        <v>0</v>
      </c>
      <c r="BO93" t="s">
        <v>0</v>
      </c>
      <c r="BP93" t="s">
        <v>17</v>
      </c>
      <c r="BQ93" t="s">
        <v>0</v>
      </c>
      <c r="BR93" t="s">
        <v>17</v>
      </c>
      <c r="BS93" t="s">
        <v>17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</row>
    <row r="94" spans="1:80" x14ac:dyDescent="0.25">
      <c r="A94" t="s">
        <v>143</v>
      </c>
      <c r="B94" s="2">
        <v>46176</v>
      </c>
      <c r="C94" s="2"/>
      <c r="D94" s="2"/>
      <c r="E94" t="s">
        <v>2</v>
      </c>
      <c r="F94" t="s">
        <v>89</v>
      </c>
      <c r="G94" t="s">
        <v>0</v>
      </c>
      <c r="H94" t="s">
        <v>4</v>
      </c>
      <c r="I94" t="s">
        <v>144</v>
      </c>
      <c r="J94" t="s">
        <v>6</v>
      </c>
      <c r="K94" t="s">
        <v>88</v>
      </c>
      <c r="L94" t="s">
        <v>168</v>
      </c>
      <c r="M94" t="s">
        <v>169</v>
      </c>
      <c r="N94" t="s">
        <v>10</v>
      </c>
      <c r="O94" t="s">
        <v>0</v>
      </c>
      <c r="P94" t="s">
        <v>147</v>
      </c>
      <c r="Q94" s="5">
        <v>2</v>
      </c>
      <c r="R94" s="4">
        <v>109.76</v>
      </c>
      <c r="S94" s="5">
        <v>1</v>
      </c>
      <c r="T94" s="4">
        <v>219.52</v>
      </c>
      <c r="U94" s="5">
        <v>2</v>
      </c>
      <c r="V94" s="4">
        <v>219.52</v>
      </c>
      <c r="W94" s="5">
        <v>2</v>
      </c>
      <c r="X94" s="4">
        <v>219.52</v>
      </c>
      <c r="Y94" s="4">
        <f t="shared" si="2"/>
        <v>0</v>
      </c>
      <c r="Z94" t="s">
        <v>0</v>
      </c>
      <c r="AA94" t="s">
        <v>2</v>
      </c>
      <c r="AB94" t="s">
        <v>12</v>
      </c>
      <c r="AC94">
        <f>_xlfn.XLOOKUP(AB94,'[1]GST Codes'!$A:$A,'[1]GST Codes'!$C:$C,0,0)</f>
        <v>18</v>
      </c>
      <c r="AD94">
        <f t="shared" si="3"/>
        <v>0</v>
      </c>
      <c r="AE94" t="s">
        <v>13</v>
      </c>
      <c r="AF94" t="s">
        <v>0</v>
      </c>
      <c r="AG94" t="s">
        <v>14</v>
      </c>
      <c r="AH94" t="s">
        <v>15</v>
      </c>
      <c r="AI94" t="s">
        <v>96</v>
      </c>
      <c r="AJ94" t="s">
        <v>17</v>
      </c>
      <c r="AK94" t="s">
        <v>18</v>
      </c>
      <c r="AL94" t="s">
        <v>148</v>
      </c>
      <c r="AM94" t="s">
        <v>149</v>
      </c>
      <c r="AN94" t="s">
        <v>0</v>
      </c>
      <c r="AO94" t="s">
        <v>0</v>
      </c>
      <c r="AP94" t="s">
        <v>0</v>
      </c>
      <c r="AQ94" s="5">
        <v>2</v>
      </c>
      <c r="AR94" t="s">
        <v>147</v>
      </c>
      <c r="AS94" t="s">
        <v>0</v>
      </c>
      <c r="AT94" t="s">
        <v>17</v>
      </c>
      <c r="AU94" s="4">
        <v>0</v>
      </c>
      <c r="AV94" s="4">
        <v>0</v>
      </c>
      <c r="AW94" s="4">
        <v>0</v>
      </c>
      <c r="AX94" s="4">
        <v>0</v>
      </c>
      <c r="AY94" s="5">
        <v>0</v>
      </c>
      <c r="AZ94" s="5">
        <v>0</v>
      </c>
      <c r="BA94" s="5">
        <v>0</v>
      </c>
      <c r="BB94" s="2"/>
      <c r="BC94" t="s">
        <v>0</v>
      </c>
      <c r="BD94" s="5">
        <v>1</v>
      </c>
      <c r="BE94" t="s">
        <v>0</v>
      </c>
      <c r="BF94" t="s">
        <v>170</v>
      </c>
      <c r="BG94" t="s">
        <v>17</v>
      </c>
      <c r="BH94" t="s">
        <v>0</v>
      </c>
      <c r="BI94" t="s">
        <v>147</v>
      </c>
      <c r="BJ94" t="s">
        <v>0</v>
      </c>
      <c r="BK94" t="s">
        <v>0</v>
      </c>
      <c r="BL94" s="5">
        <v>0</v>
      </c>
      <c r="BM94" t="s">
        <v>0</v>
      </c>
      <c r="BN94" t="s">
        <v>0</v>
      </c>
      <c r="BO94" t="s">
        <v>0</v>
      </c>
      <c r="BP94" t="s">
        <v>17</v>
      </c>
      <c r="BQ94" t="s">
        <v>0</v>
      </c>
      <c r="BR94" t="s">
        <v>17</v>
      </c>
      <c r="BS94" t="s">
        <v>17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</row>
    <row r="95" spans="1:80" x14ac:dyDescent="0.25">
      <c r="A95" t="s">
        <v>143</v>
      </c>
      <c r="B95" s="2">
        <v>46176</v>
      </c>
      <c r="C95" s="2"/>
      <c r="D95" s="2"/>
      <c r="E95" t="s">
        <v>2</v>
      </c>
      <c r="F95" t="s">
        <v>89</v>
      </c>
      <c r="G95" t="s">
        <v>0</v>
      </c>
      <c r="H95" t="s">
        <v>4</v>
      </c>
      <c r="I95" t="s">
        <v>144</v>
      </c>
      <c r="J95" t="s">
        <v>6</v>
      </c>
      <c r="K95" t="s">
        <v>89</v>
      </c>
      <c r="L95" t="s">
        <v>171</v>
      </c>
      <c r="M95" t="s">
        <v>172</v>
      </c>
      <c r="N95" t="s">
        <v>10</v>
      </c>
      <c r="O95" t="s">
        <v>0</v>
      </c>
      <c r="P95" t="s">
        <v>147</v>
      </c>
      <c r="Q95" s="5">
        <v>1</v>
      </c>
      <c r="R95" s="4">
        <v>137.76</v>
      </c>
      <c r="S95" s="5">
        <v>1</v>
      </c>
      <c r="T95" s="4">
        <v>137.76</v>
      </c>
      <c r="U95" s="5">
        <v>1</v>
      </c>
      <c r="V95" s="4">
        <v>137.76</v>
      </c>
      <c r="W95" s="5">
        <v>1</v>
      </c>
      <c r="X95" s="4">
        <v>137.76</v>
      </c>
      <c r="Y95" s="4">
        <f t="shared" si="2"/>
        <v>0</v>
      </c>
      <c r="Z95" t="s">
        <v>0</v>
      </c>
      <c r="AA95" t="s">
        <v>2</v>
      </c>
      <c r="AB95" t="s">
        <v>12</v>
      </c>
      <c r="AC95">
        <f>_xlfn.XLOOKUP(AB95,'[1]GST Codes'!$A:$A,'[1]GST Codes'!$C:$C,0,0)</f>
        <v>18</v>
      </c>
      <c r="AD95">
        <f t="shared" si="3"/>
        <v>0</v>
      </c>
      <c r="AE95" t="s">
        <v>13</v>
      </c>
      <c r="AF95" t="s">
        <v>0</v>
      </c>
      <c r="AG95" t="s">
        <v>14</v>
      </c>
      <c r="AH95" t="s">
        <v>15</v>
      </c>
      <c r="AI95" t="s">
        <v>96</v>
      </c>
      <c r="AJ95" t="s">
        <v>17</v>
      </c>
      <c r="AK95" t="s">
        <v>18</v>
      </c>
      <c r="AL95" t="s">
        <v>148</v>
      </c>
      <c r="AM95" t="s">
        <v>149</v>
      </c>
      <c r="AN95" t="s">
        <v>0</v>
      </c>
      <c r="AO95" t="s">
        <v>0</v>
      </c>
      <c r="AP95" t="s">
        <v>0</v>
      </c>
      <c r="AQ95" s="5">
        <v>1</v>
      </c>
      <c r="AR95" t="s">
        <v>147</v>
      </c>
      <c r="AS95" t="s">
        <v>0</v>
      </c>
      <c r="AT95" t="s">
        <v>17</v>
      </c>
      <c r="AU95" s="4">
        <v>0</v>
      </c>
      <c r="AV95" s="4">
        <v>0</v>
      </c>
      <c r="AW95" s="4">
        <v>0</v>
      </c>
      <c r="AX95" s="4">
        <v>0</v>
      </c>
      <c r="AY95" s="5">
        <v>0</v>
      </c>
      <c r="AZ95" s="5">
        <v>0</v>
      </c>
      <c r="BA95" s="5">
        <v>0</v>
      </c>
      <c r="BB95" s="2"/>
      <c r="BC95" t="s">
        <v>0</v>
      </c>
      <c r="BD95" s="5">
        <v>1</v>
      </c>
      <c r="BE95" t="s">
        <v>0</v>
      </c>
      <c r="BF95" t="s">
        <v>173</v>
      </c>
      <c r="BG95" t="s">
        <v>17</v>
      </c>
      <c r="BH95" t="s">
        <v>0</v>
      </c>
      <c r="BI95" t="s">
        <v>147</v>
      </c>
      <c r="BJ95" t="s">
        <v>0</v>
      </c>
      <c r="BK95" t="s">
        <v>0</v>
      </c>
      <c r="BL95" s="5">
        <v>0</v>
      </c>
      <c r="BM95" t="s">
        <v>0</v>
      </c>
      <c r="BN95" t="s">
        <v>0</v>
      </c>
      <c r="BO95" t="s">
        <v>0</v>
      </c>
      <c r="BP95" t="s">
        <v>17</v>
      </c>
      <c r="BQ95" t="s">
        <v>0</v>
      </c>
      <c r="BR95" t="s">
        <v>17</v>
      </c>
      <c r="BS95" t="s">
        <v>17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</row>
    <row r="96" spans="1:80" x14ac:dyDescent="0.25">
      <c r="A96" t="s">
        <v>143</v>
      </c>
      <c r="B96" s="2">
        <v>46176</v>
      </c>
      <c r="C96" s="2"/>
      <c r="D96" s="2"/>
      <c r="E96" t="s">
        <v>2</v>
      </c>
      <c r="F96" t="s">
        <v>89</v>
      </c>
      <c r="G96" t="s">
        <v>0</v>
      </c>
      <c r="H96" t="s">
        <v>4</v>
      </c>
      <c r="I96" t="s">
        <v>144</v>
      </c>
      <c r="J96" t="s">
        <v>6</v>
      </c>
      <c r="K96" t="s">
        <v>90</v>
      </c>
      <c r="L96" t="s">
        <v>174</v>
      </c>
      <c r="M96" t="s">
        <v>175</v>
      </c>
      <c r="N96" t="s">
        <v>10</v>
      </c>
      <c r="O96" t="s">
        <v>0</v>
      </c>
      <c r="P96" t="s">
        <v>147</v>
      </c>
      <c r="Q96" s="5">
        <v>21</v>
      </c>
      <c r="R96" s="4">
        <v>59.08</v>
      </c>
      <c r="S96" s="5">
        <v>1</v>
      </c>
      <c r="T96" s="4">
        <v>1240.68</v>
      </c>
      <c r="U96" s="5">
        <v>21</v>
      </c>
      <c r="V96" s="4">
        <v>1240.68</v>
      </c>
      <c r="W96" s="5">
        <v>21</v>
      </c>
      <c r="X96" s="4">
        <v>1240.68</v>
      </c>
      <c r="Y96" s="4">
        <f t="shared" si="2"/>
        <v>0</v>
      </c>
      <c r="Z96" t="s">
        <v>0</v>
      </c>
      <c r="AA96" t="s">
        <v>2</v>
      </c>
      <c r="AB96" t="s">
        <v>12</v>
      </c>
      <c r="AC96">
        <f>_xlfn.XLOOKUP(AB96,'[1]GST Codes'!$A:$A,'[1]GST Codes'!$C:$C,0,0)</f>
        <v>18</v>
      </c>
      <c r="AD96">
        <f t="shared" si="3"/>
        <v>0</v>
      </c>
      <c r="AE96" t="s">
        <v>13</v>
      </c>
      <c r="AF96" t="s">
        <v>0</v>
      </c>
      <c r="AG96" t="s">
        <v>14</v>
      </c>
      <c r="AH96" t="s">
        <v>15</v>
      </c>
      <c r="AI96" t="s">
        <v>96</v>
      </c>
      <c r="AJ96" t="s">
        <v>17</v>
      </c>
      <c r="AK96" t="s">
        <v>18</v>
      </c>
      <c r="AL96" t="s">
        <v>148</v>
      </c>
      <c r="AM96" t="s">
        <v>149</v>
      </c>
      <c r="AN96" t="s">
        <v>0</v>
      </c>
      <c r="AO96" t="s">
        <v>0</v>
      </c>
      <c r="AP96" t="s">
        <v>0</v>
      </c>
      <c r="AQ96" s="5">
        <v>21</v>
      </c>
      <c r="AR96" t="s">
        <v>147</v>
      </c>
      <c r="AS96" t="s">
        <v>0</v>
      </c>
      <c r="AT96" t="s">
        <v>17</v>
      </c>
      <c r="AU96" s="4">
        <v>0</v>
      </c>
      <c r="AV96" s="4">
        <v>0</v>
      </c>
      <c r="AW96" s="4">
        <v>0</v>
      </c>
      <c r="AX96" s="4">
        <v>0</v>
      </c>
      <c r="AY96" s="5">
        <v>0</v>
      </c>
      <c r="AZ96" s="5">
        <v>0</v>
      </c>
      <c r="BA96" s="5">
        <v>0</v>
      </c>
      <c r="BB96" s="2"/>
      <c r="BC96" t="s">
        <v>0</v>
      </c>
      <c r="BD96" s="5">
        <v>1</v>
      </c>
      <c r="BE96" t="s">
        <v>0</v>
      </c>
      <c r="BF96" t="s">
        <v>176</v>
      </c>
      <c r="BG96" t="s">
        <v>17</v>
      </c>
      <c r="BH96" t="s">
        <v>0</v>
      </c>
      <c r="BI96" t="s">
        <v>147</v>
      </c>
      <c r="BJ96" t="s">
        <v>0</v>
      </c>
      <c r="BK96" t="s">
        <v>0</v>
      </c>
      <c r="BL96" s="5">
        <v>0</v>
      </c>
      <c r="BM96" t="s">
        <v>0</v>
      </c>
      <c r="BN96" t="s">
        <v>0</v>
      </c>
      <c r="BO96" t="s">
        <v>0</v>
      </c>
      <c r="BP96" t="s">
        <v>17</v>
      </c>
      <c r="BQ96" t="s">
        <v>0</v>
      </c>
      <c r="BR96" t="s">
        <v>17</v>
      </c>
      <c r="BS96" t="s">
        <v>17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</row>
    <row r="97" spans="1:80" x14ac:dyDescent="0.25">
      <c r="A97" t="s">
        <v>143</v>
      </c>
      <c r="B97" s="2">
        <v>46176</v>
      </c>
      <c r="C97" s="2"/>
      <c r="D97" s="2"/>
      <c r="E97" t="s">
        <v>2</v>
      </c>
      <c r="F97" t="s">
        <v>89</v>
      </c>
      <c r="G97" t="s">
        <v>0</v>
      </c>
      <c r="H97" t="s">
        <v>4</v>
      </c>
      <c r="I97" t="s">
        <v>144</v>
      </c>
      <c r="J97" t="s">
        <v>6</v>
      </c>
      <c r="K97" t="s">
        <v>177</v>
      </c>
      <c r="L97" t="s">
        <v>178</v>
      </c>
      <c r="M97" t="s">
        <v>179</v>
      </c>
      <c r="N97" t="s">
        <v>10</v>
      </c>
      <c r="O97" t="s">
        <v>0</v>
      </c>
      <c r="P97" t="s">
        <v>147</v>
      </c>
      <c r="Q97" s="5">
        <v>8</v>
      </c>
      <c r="R97" s="4">
        <v>99.68</v>
      </c>
      <c r="S97" s="5">
        <v>1</v>
      </c>
      <c r="T97" s="4">
        <v>797.44</v>
      </c>
      <c r="U97" s="5">
        <v>8</v>
      </c>
      <c r="V97" s="4">
        <v>797.44</v>
      </c>
      <c r="W97" s="5">
        <v>8</v>
      </c>
      <c r="X97" s="4">
        <v>797.44</v>
      </c>
      <c r="Y97" s="4">
        <f t="shared" si="2"/>
        <v>0</v>
      </c>
      <c r="Z97" t="s">
        <v>0</v>
      </c>
      <c r="AA97" t="s">
        <v>2</v>
      </c>
      <c r="AB97" t="s">
        <v>12</v>
      </c>
      <c r="AC97">
        <f>_xlfn.XLOOKUP(AB97,'[1]GST Codes'!$A:$A,'[1]GST Codes'!$C:$C,0,0)</f>
        <v>18</v>
      </c>
      <c r="AD97">
        <f t="shared" si="3"/>
        <v>0</v>
      </c>
      <c r="AE97" t="s">
        <v>13</v>
      </c>
      <c r="AF97" t="s">
        <v>0</v>
      </c>
      <c r="AG97" t="s">
        <v>14</v>
      </c>
      <c r="AH97" t="s">
        <v>15</v>
      </c>
      <c r="AI97" t="s">
        <v>96</v>
      </c>
      <c r="AJ97" t="s">
        <v>17</v>
      </c>
      <c r="AK97" t="s">
        <v>18</v>
      </c>
      <c r="AL97" t="s">
        <v>148</v>
      </c>
      <c r="AM97" t="s">
        <v>149</v>
      </c>
      <c r="AN97" t="s">
        <v>0</v>
      </c>
      <c r="AO97" t="s">
        <v>0</v>
      </c>
      <c r="AP97" t="s">
        <v>0</v>
      </c>
      <c r="AQ97" s="5">
        <v>8</v>
      </c>
      <c r="AR97" t="s">
        <v>147</v>
      </c>
      <c r="AS97" t="s">
        <v>0</v>
      </c>
      <c r="AT97" t="s">
        <v>17</v>
      </c>
      <c r="AU97" s="4">
        <v>0</v>
      </c>
      <c r="AV97" s="4">
        <v>0</v>
      </c>
      <c r="AW97" s="4">
        <v>0</v>
      </c>
      <c r="AX97" s="4">
        <v>0</v>
      </c>
      <c r="AY97" s="5">
        <v>0</v>
      </c>
      <c r="AZ97" s="5">
        <v>0</v>
      </c>
      <c r="BA97" s="5">
        <v>0</v>
      </c>
      <c r="BB97" s="2"/>
      <c r="BC97" t="s">
        <v>0</v>
      </c>
      <c r="BD97" s="5">
        <v>1</v>
      </c>
      <c r="BE97" t="s">
        <v>0</v>
      </c>
      <c r="BF97" t="s">
        <v>180</v>
      </c>
      <c r="BG97" t="s">
        <v>17</v>
      </c>
      <c r="BH97" t="s">
        <v>0</v>
      </c>
      <c r="BI97" t="s">
        <v>147</v>
      </c>
      <c r="BJ97" t="s">
        <v>0</v>
      </c>
      <c r="BK97" t="s">
        <v>0</v>
      </c>
      <c r="BL97" s="5">
        <v>0</v>
      </c>
      <c r="BM97" t="s">
        <v>0</v>
      </c>
      <c r="BN97" t="s">
        <v>0</v>
      </c>
      <c r="BO97" t="s">
        <v>0</v>
      </c>
      <c r="BP97" t="s">
        <v>17</v>
      </c>
      <c r="BQ97" t="s">
        <v>0</v>
      </c>
      <c r="BR97" t="s">
        <v>17</v>
      </c>
      <c r="BS97" t="s">
        <v>17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</row>
    <row r="98" spans="1:80" x14ac:dyDescent="0.25">
      <c r="A98" t="s">
        <v>143</v>
      </c>
      <c r="B98" s="2">
        <v>46176</v>
      </c>
      <c r="C98" s="2"/>
      <c r="D98" s="2"/>
      <c r="E98" t="s">
        <v>2</v>
      </c>
      <c r="F98" t="s">
        <v>89</v>
      </c>
      <c r="G98" t="s">
        <v>0</v>
      </c>
      <c r="H98" t="s">
        <v>4</v>
      </c>
      <c r="I98" t="s">
        <v>144</v>
      </c>
      <c r="J98" t="s">
        <v>6</v>
      </c>
      <c r="K98" t="s">
        <v>181</v>
      </c>
      <c r="L98" t="s">
        <v>182</v>
      </c>
      <c r="M98" t="s">
        <v>183</v>
      </c>
      <c r="N98" t="s">
        <v>10</v>
      </c>
      <c r="O98" t="s">
        <v>0</v>
      </c>
      <c r="P98" t="s">
        <v>147</v>
      </c>
      <c r="Q98" s="5">
        <v>5</v>
      </c>
      <c r="R98" s="4">
        <v>92.12</v>
      </c>
      <c r="S98" s="5">
        <v>1</v>
      </c>
      <c r="T98" s="4">
        <v>460.6</v>
      </c>
      <c r="U98" s="5">
        <v>5</v>
      </c>
      <c r="V98" s="4">
        <v>460.6</v>
      </c>
      <c r="W98" s="5">
        <v>5</v>
      </c>
      <c r="X98" s="4">
        <v>460.6</v>
      </c>
      <c r="Y98" s="4">
        <f t="shared" si="2"/>
        <v>0</v>
      </c>
      <c r="Z98" t="s">
        <v>0</v>
      </c>
      <c r="AA98" t="s">
        <v>2</v>
      </c>
      <c r="AB98" t="s">
        <v>12</v>
      </c>
      <c r="AC98">
        <f>_xlfn.XLOOKUP(AB98,'[1]GST Codes'!$A:$A,'[1]GST Codes'!$C:$C,0,0)</f>
        <v>18</v>
      </c>
      <c r="AD98">
        <f t="shared" si="3"/>
        <v>0</v>
      </c>
      <c r="AE98" t="s">
        <v>13</v>
      </c>
      <c r="AF98" t="s">
        <v>0</v>
      </c>
      <c r="AG98" t="s">
        <v>14</v>
      </c>
      <c r="AH98" t="s">
        <v>15</v>
      </c>
      <c r="AI98" t="s">
        <v>96</v>
      </c>
      <c r="AJ98" t="s">
        <v>17</v>
      </c>
      <c r="AK98" t="s">
        <v>18</v>
      </c>
      <c r="AL98" t="s">
        <v>148</v>
      </c>
      <c r="AM98" t="s">
        <v>149</v>
      </c>
      <c r="AN98" t="s">
        <v>0</v>
      </c>
      <c r="AO98" t="s">
        <v>0</v>
      </c>
      <c r="AP98" t="s">
        <v>0</v>
      </c>
      <c r="AQ98" s="5">
        <v>5</v>
      </c>
      <c r="AR98" t="s">
        <v>147</v>
      </c>
      <c r="AS98" t="s">
        <v>0</v>
      </c>
      <c r="AT98" t="s">
        <v>17</v>
      </c>
      <c r="AU98" s="4">
        <v>0</v>
      </c>
      <c r="AV98" s="4">
        <v>0</v>
      </c>
      <c r="AW98" s="4">
        <v>0</v>
      </c>
      <c r="AX98" s="4">
        <v>0</v>
      </c>
      <c r="AY98" s="5">
        <v>0</v>
      </c>
      <c r="AZ98" s="5">
        <v>0</v>
      </c>
      <c r="BA98" s="5">
        <v>0</v>
      </c>
      <c r="BB98" s="2"/>
      <c r="BC98" t="s">
        <v>0</v>
      </c>
      <c r="BD98" s="5">
        <v>1</v>
      </c>
      <c r="BE98" t="s">
        <v>0</v>
      </c>
      <c r="BF98" t="s">
        <v>184</v>
      </c>
      <c r="BG98" t="s">
        <v>17</v>
      </c>
      <c r="BH98" t="s">
        <v>0</v>
      </c>
      <c r="BI98" t="s">
        <v>147</v>
      </c>
      <c r="BJ98" t="s">
        <v>0</v>
      </c>
      <c r="BK98" t="s">
        <v>0</v>
      </c>
      <c r="BL98" s="5">
        <v>0</v>
      </c>
      <c r="BM98" t="s">
        <v>0</v>
      </c>
      <c r="BN98" t="s">
        <v>0</v>
      </c>
      <c r="BO98" t="s">
        <v>0</v>
      </c>
      <c r="BP98" t="s">
        <v>17</v>
      </c>
      <c r="BQ98" t="s">
        <v>0</v>
      </c>
      <c r="BR98" t="s">
        <v>17</v>
      </c>
      <c r="BS98" t="s">
        <v>17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</row>
    <row r="99" spans="1:80" x14ac:dyDescent="0.25">
      <c r="A99" t="s">
        <v>143</v>
      </c>
      <c r="B99" s="2">
        <v>46176</v>
      </c>
      <c r="C99" s="2"/>
      <c r="D99" s="2"/>
      <c r="E99" t="s">
        <v>2</v>
      </c>
      <c r="F99" t="s">
        <v>89</v>
      </c>
      <c r="G99" t="s">
        <v>0</v>
      </c>
      <c r="H99" t="s">
        <v>4</v>
      </c>
      <c r="I99" t="s">
        <v>144</v>
      </c>
      <c r="J99" t="s">
        <v>6</v>
      </c>
      <c r="K99" t="s">
        <v>185</v>
      </c>
      <c r="L99" t="s">
        <v>186</v>
      </c>
      <c r="M99" t="s">
        <v>187</v>
      </c>
      <c r="N99" t="s">
        <v>10</v>
      </c>
      <c r="O99" t="s">
        <v>0</v>
      </c>
      <c r="P99" t="s">
        <v>147</v>
      </c>
      <c r="Q99" s="5">
        <v>5</v>
      </c>
      <c r="R99" s="4">
        <v>147.56</v>
      </c>
      <c r="S99" s="5">
        <v>1</v>
      </c>
      <c r="T99" s="4">
        <v>737.8</v>
      </c>
      <c r="U99" s="5">
        <v>5</v>
      </c>
      <c r="V99" s="4">
        <v>737.8</v>
      </c>
      <c r="W99" s="5">
        <v>5</v>
      </c>
      <c r="X99" s="4">
        <v>737.8</v>
      </c>
      <c r="Y99" s="4">
        <f t="shared" si="2"/>
        <v>0</v>
      </c>
      <c r="Z99" t="s">
        <v>0</v>
      </c>
      <c r="AA99" t="s">
        <v>2</v>
      </c>
      <c r="AB99" t="s">
        <v>12</v>
      </c>
      <c r="AC99">
        <f>_xlfn.XLOOKUP(AB99,'[1]GST Codes'!$A:$A,'[1]GST Codes'!$C:$C,0,0)</f>
        <v>18</v>
      </c>
      <c r="AD99">
        <f t="shared" si="3"/>
        <v>0</v>
      </c>
      <c r="AE99" t="s">
        <v>13</v>
      </c>
      <c r="AF99" t="s">
        <v>0</v>
      </c>
      <c r="AG99" t="s">
        <v>14</v>
      </c>
      <c r="AH99" t="s">
        <v>15</v>
      </c>
      <c r="AI99" t="s">
        <v>96</v>
      </c>
      <c r="AJ99" t="s">
        <v>17</v>
      </c>
      <c r="AK99" t="s">
        <v>18</v>
      </c>
      <c r="AL99" t="s">
        <v>148</v>
      </c>
      <c r="AM99" t="s">
        <v>149</v>
      </c>
      <c r="AN99" t="s">
        <v>0</v>
      </c>
      <c r="AO99" t="s">
        <v>0</v>
      </c>
      <c r="AP99" t="s">
        <v>0</v>
      </c>
      <c r="AQ99" s="5">
        <v>5</v>
      </c>
      <c r="AR99" t="s">
        <v>147</v>
      </c>
      <c r="AS99" t="s">
        <v>0</v>
      </c>
      <c r="AT99" t="s">
        <v>17</v>
      </c>
      <c r="AU99" s="4">
        <v>0</v>
      </c>
      <c r="AV99" s="4">
        <v>0</v>
      </c>
      <c r="AW99" s="4">
        <v>0</v>
      </c>
      <c r="AX99" s="4">
        <v>0</v>
      </c>
      <c r="AY99" s="5">
        <v>0</v>
      </c>
      <c r="AZ99" s="5">
        <v>0</v>
      </c>
      <c r="BA99" s="5">
        <v>0</v>
      </c>
      <c r="BB99" s="2"/>
      <c r="BC99" t="s">
        <v>0</v>
      </c>
      <c r="BD99" s="5">
        <v>1</v>
      </c>
      <c r="BE99" t="s">
        <v>0</v>
      </c>
      <c r="BF99" t="s">
        <v>188</v>
      </c>
      <c r="BG99" t="s">
        <v>17</v>
      </c>
      <c r="BH99" t="s">
        <v>0</v>
      </c>
      <c r="BI99" t="s">
        <v>147</v>
      </c>
      <c r="BJ99" t="s">
        <v>0</v>
      </c>
      <c r="BK99" t="s">
        <v>0</v>
      </c>
      <c r="BL99" s="5">
        <v>0</v>
      </c>
      <c r="BM99" t="s">
        <v>0</v>
      </c>
      <c r="BN99" t="s">
        <v>0</v>
      </c>
      <c r="BO99" t="s">
        <v>0</v>
      </c>
      <c r="BP99" t="s">
        <v>17</v>
      </c>
      <c r="BQ99" t="s">
        <v>0</v>
      </c>
      <c r="BR99" t="s">
        <v>17</v>
      </c>
      <c r="BS99" t="s">
        <v>17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</row>
    <row r="100" spans="1:80" x14ac:dyDescent="0.25">
      <c r="A100" t="s">
        <v>143</v>
      </c>
      <c r="B100" s="2">
        <v>46176</v>
      </c>
      <c r="C100" s="2"/>
      <c r="D100" s="2"/>
      <c r="E100" t="s">
        <v>2</v>
      </c>
      <c r="F100" t="s">
        <v>89</v>
      </c>
      <c r="G100" t="s">
        <v>0</v>
      </c>
      <c r="H100" t="s">
        <v>4</v>
      </c>
      <c r="I100" t="s">
        <v>144</v>
      </c>
      <c r="J100" t="s">
        <v>6</v>
      </c>
      <c r="K100" t="s">
        <v>189</v>
      </c>
      <c r="L100" t="s">
        <v>190</v>
      </c>
      <c r="M100" t="s">
        <v>191</v>
      </c>
      <c r="N100" t="s">
        <v>10</v>
      </c>
      <c r="O100" t="s">
        <v>0</v>
      </c>
      <c r="P100" t="s">
        <v>147</v>
      </c>
      <c r="Q100" s="5">
        <v>3</v>
      </c>
      <c r="R100" s="4">
        <v>352.24</v>
      </c>
      <c r="S100" s="5">
        <v>1</v>
      </c>
      <c r="T100" s="4">
        <v>1056.72</v>
      </c>
      <c r="U100" s="5">
        <v>3</v>
      </c>
      <c r="V100" s="4">
        <v>1056.72</v>
      </c>
      <c r="W100" s="5">
        <v>3</v>
      </c>
      <c r="X100" s="4">
        <v>1056.72</v>
      </c>
      <c r="Y100" s="4">
        <f t="shared" si="2"/>
        <v>0</v>
      </c>
      <c r="Z100" t="s">
        <v>0</v>
      </c>
      <c r="AA100" t="s">
        <v>2</v>
      </c>
      <c r="AB100" t="s">
        <v>12</v>
      </c>
      <c r="AC100">
        <f>_xlfn.XLOOKUP(AB100,'[1]GST Codes'!$A:$A,'[1]GST Codes'!$C:$C,0,0)</f>
        <v>18</v>
      </c>
      <c r="AD100">
        <f t="shared" si="3"/>
        <v>0</v>
      </c>
      <c r="AE100" t="s">
        <v>13</v>
      </c>
      <c r="AF100" t="s">
        <v>0</v>
      </c>
      <c r="AG100" t="s">
        <v>14</v>
      </c>
      <c r="AH100" t="s">
        <v>15</v>
      </c>
      <c r="AI100" t="s">
        <v>96</v>
      </c>
      <c r="AJ100" t="s">
        <v>17</v>
      </c>
      <c r="AK100" t="s">
        <v>18</v>
      </c>
      <c r="AL100" t="s">
        <v>148</v>
      </c>
      <c r="AM100" t="s">
        <v>149</v>
      </c>
      <c r="AN100" t="s">
        <v>0</v>
      </c>
      <c r="AO100" t="s">
        <v>0</v>
      </c>
      <c r="AP100" t="s">
        <v>0</v>
      </c>
      <c r="AQ100" s="5">
        <v>3</v>
      </c>
      <c r="AR100" t="s">
        <v>147</v>
      </c>
      <c r="AS100" t="s">
        <v>0</v>
      </c>
      <c r="AT100" t="s">
        <v>17</v>
      </c>
      <c r="AU100" s="4">
        <v>0</v>
      </c>
      <c r="AV100" s="4">
        <v>0</v>
      </c>
      <c r="AW100" s="4">
        <v>0</v>
      </c>
      <c r="AX100" s="4">
        <v>0</v>
      </c>
      <c r="AY100" s="5">
        <v>0</v>
      </c>
      <c r="AZ100" s="5">
        <v>0</v>
      </c>
      <c r="BA100" s="5">
        <v>0</v>
      </c>
      <c r="BB100" s="2"/>
      <c r="BC100" t="s">
        <v>0</v>
      </c>
      <c r="BD100" s="5">
        <v>1</v>
      </c>
      <c r="BE100" t="s">
        <v>0</v>
      </c>
      <c r="BF100" t="s">
        <v>192</v>
      </c>
      <c r="BG100" t="s">
        <v>17</v>
      </c>
      <c r="BH100" t="s">
        <v>0</v>
      </c>
      <c r="BI100" t="s">
        <v>147</v>
      </c>
      <c r="BJ100" t="s">
        <v>0</v>
      </c>
      <c r="BK100" t="s">
        <v>0</v>
      </c>
      <c r="BL100" s="5">
        <v>0</v>
      </c>
      <c r="BM100" t="s">
        <v>0</v>
      </c>
      <c r="BN100" t="s">
        <v>0</v>
      </c>
      <c r="BO100" t="s">
        <v>0</v>
      </c>
      <c r="BP100" t="s">
        <v>17</v>
      </c>
      <c r="BQ100" t="s">
        <v>0</v>
      </c>
      <c r="BR100" t="s">
        <v>17</v>
      </c>
      <c r="BS100" t="s">
        <v>17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</row>
    <row r="101" spans="1:80" x14ac:dyDescent="0.25">
      <c r="A101" t="s">
        <v>143</v>
      </c>
      <c r="B101" s="2">
        <v>46176</v>
      </c>
      <c r="C101" s="2"/>
      <c r="D101" s="2"/>
      <c r="E101" t="s">
        <v>2</v>
      </c>
      <c r="F101" t="s">
        <v>89</v>
      </c>
      <c r="G101" t="s">
        <v>0</v>
      </c>
      <c r="H101" t="s">
        <v>4</v>
      </c>
      <c r="I101" t="s">
        <v>144</v>
      </c>
      <c r="J101" t="s">
        <v>6</v>
      </c>
      <c r="K101" t="s">
        <v>193</v>
      </c>
      <c r="L101" t="s">
        <v>194</v>
      </c>
      <c r="M101" t="s">
        <v>195</v>
      </c>
      <c r="N101" t="s">
        <v>10</v>
      </c>
      <c r="O101" t="s">
        <v>0</v>
      </c>
      <c r="P101" t="s">
        <v>147</v>
      </c>
      <c r="Q101" s="5">
        <v>3</v>
      </c>
      <c r="R101" s="4">
        <v>23.52</v>
      </c>
      <c r="S101" s="5">
        <v>1</v>
      </c>
      <c r="T101" s="4">
        <v>70.56</v>
      </c>
      <c r="U101" s="5">
        <v>3</v>
      </c>
      <c r="V101" s="4">
        <v>70.56</v>
      </c>
      <c r="W101" s="5">
        <v>3</v>
      </c>
      <c r="X101" s="4">
        <v>70.56</v>
      </c>
      <c r="Y101" s="4">
        <f t="shared" si="2"/>
        <v>0</v>
      </c>
      <c r="Z101" t="s">
        <v>0</v>
      </c>
      <c r="AA101" t="s">
        <v>2</v>
      </c>
      <c r="AB101" t="s">
        <v>12</v>
      </c>
      <c r="AC101">
        <f>_xlfn.XLOOKUP(AB101,'[1]GST Codes'!$A:$A,'[1]GST Codes'!$C:$C,0,0)</f>
        <v>18</v>
      </c>
      <c r="AD101">
        <f t="shared" si="3"/>
        <v>0</v>
      </c>
      <c r="AE101" t="s">
        <v>13</v>
      </c>
      <c r="AF101" t="s">
        <v>0</v>
      </c>
      <c r="AG101" t="s">
        <v>14</v>
      </c>
      <c r="AH101" t="s">
        <v>15</v>
      </c>
      <c r="AI101" t="s">
        <v>96</v>
      </c>
      <c r="AJ101" t="s">
        <v>17</v>
      </c>
      <c r="AK101" t="s">
        <v>18</v>
      </c>
      <c r="AL101" t="s">
        <v>148</v>
      </c>
      <c r="AM101" t="s">
        <v>149</v>
      </c>
      <c r="AN101" t="s">
        <v>0</v>
      </c>
      <c r="AO101" t="s">
        <v>0</v>
      </c>
      <c r="AP101" t="s">
        <v>0</v>
      </c>
      <c r="AQ101" s="5">
        <v>3</v>
      </c>
      <c r="AR101" t="s">
        <v>147</v>
      </c>
      <c r="AS101" t="s">
        <v>0</v>
      </c>
      <c r="AT101" t="s">
        <v>17</v>
      </c>
      <c r="AU101" s="4">
        <v>0</v>
      </c>
      <c r="AV101" s="4">
        <v>0</v>
      </c>
      <c r="AW101" s="4">
        <v>0</v>
      </c>
      <c r="AX101" s="4">
        <v>0</v>
      </c>
      <c r="AY101" s="5">
        <v>0</v>
      </c>
      <c r="AZ101" s="5">
        <v>0</v>
      </c>
      <c r="BA101" s="5">
        <v>0</v>
      </c>
      <c r="BB101" s="2"/>
      <c r="BC101" t="s">
        <v>0</v>
      </c>
      <c r="BD101" s="5">
        <v>1</v>
      </c>
      <c r="BE101" t="s">
        <v>0</v>
      </c>
      <c r="BF101" t="s">
        <v>196</v>
      </c>
      <c r="BG101" t="s">
        <v>17</v>
      </c>
      <c r="BH101" t="s">
        <v>0</v>
      </c>
      <c r="BI101" t="s">
        <v>147</v>
      </c>
      <c r="BJ101" t="s">
        <v>0</v>
      </c>
      <c r="BK101" t="s">
        <v>0</v>
      </c>
      <c r="BL101" s="5">
        <v>0</v>
      </c>
      <c r="BM101" t="s">
        <v>0</v>
      </c>
      <c r="BN101" t="s">
        <v>0</v>
      </c>
      <c r="BO101" t="s">
        <v>0</v>
      </c>
      <c r="BP101" t="s">
        <v>17</v>
      </c>
      <c r="BQ101" t="s">
        <v>0</v>
      </c>
      <c r="BR101" t="s">
        <v>17</v>
      </c>
      <c r="BS101" t="s">
        <v>17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</row>
    <row r="102" spans="1:80" x14ac:dyDescent="0.25">
      <c r="A102" t="s">
        <v>143</v>
      </c>
      <c r="B102" s="2">
        <v>46176</v>
      </c>
      <c r="C102" s="2"/>
      <c r="D102" s="2"/>
      <c r="E102" t="s">
        <v>2</v>
      </c>
      <c r="F102" t="s">
        <v>89</v>
      </c>
      <c r="G102" t="s">
        <v>0</v>
      </c>
      <c r="H102" t="s">
        <v>4</v>
      </c>
      <c r="I102" t="s">
        <v>144</v>
      </c>
      <c r="J102" t="s">
        <v>6</v>
      </c>
      <c r="K102" t="s">
        <v>197</v>
      </c>
      <c r="L102" t="s">
        <v>198</v>
      </c>
      <c r="M102" t="s">
        <v>199</v>
      </c>
      <c r="N102" t="s">
        <v>10</v>
      </c>
      <c r="O102" t="s">
        <v>0</v>
      </c>
      <c r="P102" t="s">
        <v>147</v>
      </c>
      <c r="Q102" s="5">
        <v>1</v>
      </c>
      <c r="R102" s="4">
        <v>224</v>
      </c>
      <c r="S102" s="5">
        <v>1</v>
      </c>
      <c r="T102" s="4">
        <v>224</v>
      </c>
      <c r="U102" s="5">
        <v>1</v>
      </c>
      <c r="V102" s="4">
        <v>224</v>
      </c>
      <c r="W102" s="5">
        <v>1</v>
      </c>
      <c r="X102" s="4">
        <v>224</v>
      </c>
      <c r="Y102" s="4">
        <f t="shared" si="2"/>
        <v>0</v>
      </c>
      <c r="Z102" t="s">
        <v>0</v>
      </c>
      <c r="AA102" t="s">
        <v>2</v>
      </c>
      <c r="AB102" t="s">
        <v>12</v>
      </c>
      <c r="AC102">
        <f>_xlfn.XLOOKUP(AB102,'[1]GST Codes'!$A:$A,'[1]GST Codes'!$C:$C,0,0)</f>
        <v>18</v>
      </c>
      <c r="AD102">
        <f t="shared" si="3"/>
        <v>0</v>
      </c>
      <c r="AE102" t="s">
        <v>13</v>
      </c>
      <c r="AF102" t="s">
        <v>0</v>
      </c>
      <c r="AG102" t="s">
        <v>14</v>
      </c>
      <c r="AH102" t="s">
        <v>15</v>
      </c>
      <c r="AI102" t="s">
        <v>96</v>
      </c>
      <c r="AJ102" t="s">
        <v>17</v>
      </c>
      <c r="AK102" t="s">
        <v>18</v>
      </c>
      <c r="AL102" t="s">
        <v>148</v>
      </c>
      <c r="AM102" t="s">
        <v>149</v>
      </c>
      <c r="AN102" t="s">
        <v>0</v>
      </c>
      <c r="AO102" t="s">
        <v>0</v>
      </c>
      <c r="AP102" t="s">
        <v>0</v>
      </c>
      <c r="AQ102" s="5">
        <v>1</v>
      </c>
      <c r="AR102" t="s">
        <v>147</v>
      </c>
      <c r="AS102" t="s">
        <v>0</v>
      </c>
      <c r="AT102" t="s">
        <v>17</v>
      </c>
      <c r="AU102" s="4">
        <v>0</v>
      </c>
      <c r="AV102" s="4">
        <v>0</v>
      </c>
      <c r="AW102" s="4">
        <v>0</v>
      </c>
      <c r="AX102" s="4">
        <v>0</v>
      </c>
      <c r="AY102" s="5">
        <v>0</v>
      </c>
      <c r="AZ102" s="5">
        <v>0</v>
      </c>
      <c r="BA102" s="5">
        <v>0</v>
      </c>
      <c r="BB102" s="2"/>
      <c r="BC102" t="s">
        <v>0</v>
      </c>
      <c r="BD102" s="5">
        <v>1</v>
      </c>
      <c r="BE102" t="s">
        <v>0</v>
      </c>
      <c r="BF102" t="s">
        <v>200</v>
      </c>
      <c r="BG102" t="s">
        <v>17</v>
      </c>
      <c r="BH102" t="s">
        <v>0</v>
      </c>
      <c r="BI102" t="s">
        <v>147</v>
      </c>
      <c r="BJ102" t="s">
        <v>0</v>
      </c>
      <c r="BK102" t="s">
        <v>0</v>
      </c>
      <c r="BL102" s="5">
        <v>0</v>
      </c>
      <c r="BM102" t="s">
        <v>0</v>
      </c>
      <c r="BN102" t="s">
        <v>0</v>
      </c>
      <c r="BO102" t="s">
        <v>0</v>
      </c>
      <c r="BP102" t="s">
        <v>17</v>
      </c>
      <c r="BQ102" t="s">
        <v>0</v>
      </c>
      <c r="BR102" t="s">
        <v>17</v>
      </c>
      <c r="BS102" t="s">
        <v>17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</row>
    <row r="103" spans="1:80" x14ac:dyDescent="0.25">
      <c r="A103" t="s">
        <v>143</v>
      </c>
      <c r="B103" s="2">
        <v>46176</v>
      </c>
      <c r="C103" s="2"/>
      <c r="D103" s="2"/>
      <c r="E103" t="s">
        <v>2</v>
      </c>
      <c r="F103" t="s">
        <v>89</v>
      </c>
      <c r="G103" t="s">
        <v>0</v>
      </c>
      <c r="H103" t="s">
        <v>4</v>
      </c>
      <c r="I103" t="s">
        <v>144</v>
      </c>
      <c r="J103" t="s">
        <v>6</v>
      </c>
      <c r="K103" t="s">
        <v>201</v>
      </c>
      <c r="L103" t="s">
        <v>202</v>
      </c>
      <c r="M103" t="s">
        <v>203</v>
      </c>
      <c r="N103" t="s">
        <v>10</v>
      </c>
      <c r="O103" t="s">
        <v>0</v>
      </c>
      <c r="P103" t="s">
        <v>147</v>
      </c>
      <c r="Q103" s="5">
        <v>3</v>
      </c>
      <c r="R103" s="4">
        <v>89.04</v>
      </c>
      <c r="S103" s="5">
        <v>1</v>
      </c>
      <c r="T103" s="4">
        <v>267.12</v>
      </c>
      <c r="U103" s="5">
        <v>3</v>
      </c>
      <c r="V103" s="4">
        <v>267.12</v>
      </c>
      <c r="W103" s="5">
        <v>3</v>
      </c>
      <c r="X103" s="4">
        <v>267.12</v>
      </c>
      <c r="Y103" s="4">
        <f t="shared" si="2"/>
        <v>0</v>
      </c>
      <c r="Z103" t="s">
        <v>0</v>
      </c>
      <c r="AA103" t="s">
        <v>2</v>
      </c>
      <c r="AB103" t="s">
        <v>12</v>
      </c>
      <c r="AC103">
        <f>_xlfn.XLOOKUP(AB103,'[1]GST Codes'!$A:$A,'[1]GST Codes'!$C:$C,0,0)</f>
        <v>18</v>
      </c>
      <c r="AD103">
        <f t="shared" si="3"/>
        <v>0</v>
      </c>
      <c r="AE103" t="s">
        <v>13</v>
      </c>
      <c r="AF103" t="s">
        <v>0</v>
      </c>
      <c r="AG103" t="s">
        <v>14</v>
      </c>
      <c r="AH103" t="s">
        <v>15</v>
      </c>
      <c r="AI103" t="s">
        <v>96</v>
      </c>
      <c r="AJ103" t="s">
        <v>17</v>
      </c>
      <c r="AK103" t="s">
        <v>18</v>
      </c>
      <c r="AL103" t="s">
        <v>148</v>
      </c>
      <c r="AM103" t="s">
        <v>149</v>
      </c>
      <c r="AN103" t="s">
        <v>0</v>
      </c>
      <c r="AO103" t="s">
        <v>0</v>
      </c>
      <c r="AP103" t="s">
        <v>0</v>
      </c>
      <c r="AQ103" s="5">
        <v>3</v>
      </c>
      <c r="AR103" t="s">
        <v>147</v>
      </c>
      <c r="AS103" t="s">
        <v>0</v>
      </c>
      <c r="AT103" t="s">
        <v>17</v>
      </c>
      <c r="AU103" s="4">
        <v>0</v>
      </c>
      <c r="AV103" s="4">
        <v>0</v>
      </c>
      <c r="AW103" s="4">
        <v>0</v>
      </c>
      <c r="AX103" s="4">
        <v>0</v>
      </c>
      <c r="AY103" s="5">
        <v>0</v>
      </c>
      <c r="AZ103" s="5">
        <v>0</v>
      </c>
      <c r="BA103" s="5">
        <v>0</v>
      </c>
      <c r="BB103" s="2"/>
      <c r="BC103" t="s">
        <v>0</v>
      </c>
      <c r="BD103" s="5">
        <v>1</v>
      </c>
      <c r="BE103" t="s">
        <v>0</v>
      </c>
      <c r="BF103" t="s">
        <v>204</v>
      </c>
      <c r="BG103" t="s">
        <v>17</v>
      </c>
      <c r="BH103" t="s">
        <v>0</v>
      </c>
      <c r="BI103" t="s">
        <v>147</v>
      </c>
      <c r="BJ103" t="s">
        <v>0</v>
      </c>
      <c r="BK103" t="s">
        <v>0</v>
      </c>
      <c r="BL103" s="5">
        <v>0</v>
      </c>
      <c r="BM103" t="s">
        <v>0</v>
      </c>
      <c r="BN103" t="s">
        <v>0</v>
      </c>
      <c r="BO103" t="s">
        <v>0</v>
      </c>
      <c r="BP103" t="s">
        <v>17</v>
      </c>
      <c r="BQ103" t="s">
        <v>0</v>
      </c>
      <c r="BR103" t="s">
        <v>17</v>
      </c>
      <c r="BS103" t="s">
        <v>17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</row>
    <row r="104" spans="1:80" x14ac:dyDescent="0.25">
      <c r="A104" t="s">
        <v>143</v>
      </c>
      <c r="B104" s="2">
        <v>46176</v>
      </c>
      <c r="C104" s="2"/>
      <c r="D104" s="2"/>
      <c r="E104" t="s">
        <v>2</v>
      </c>
      <c r="F104" t="s">
        <v>89</v>
      </c>
      <c r="G104" t="s">
        <v>0</v>
      </c>
      <c r="H104" t="s">
        <v>4</v>
      </c>
      <c r="I104" t="s">
        <v>144</v>
      </c>
      <c r="J104" t="s">
        <v>6</v>
      </c>
      <c r="K104" t="s">
        <v>205</v>
      </c>
      <c r="L104" t="s">
        <v>206</v>
      </c>
      <c r="M104" t="s">
        <v>207</v>
      </c>
      <c r="N104" t="s">
        <v>10</v>
      </c>
      <c r="O104" t="s">
        <v>0</v>
      </c>
      <c r="P104" t="s">
        <v>147</v>
      </c>
      <c r="Q104" s="5">
        <v>4</v>
      </c>
      <c r="R104" s="4">
        <v>337.12</v>
      </c>
      <c r="S104" s="5">
        <v>1</v>
      </c>
      <c r="T104" s="4">
        <v>1348.48</v>
      </c>
      <c r="U104" s="5">
        <v>4</v>
      </c>
      <c r="V104" s="4">
        <v>1348.48</v>
      </c>
      <c r="W104" s="5">
        <v>4</v>
      </c>
      <c r="X104" s="4">
        <v>1348.48</v>
      </c>
      <c r="Y104" s="4">
        <f t="shared" si="2"/>
        <v>0</v>
      </c>
      <c r="Z104" t="s">
        <v>0</v>
      </c>
      <c r="AA104" t="s">
        <v>2</v>
      </c>
      <c r="AB104" t="s">
        <v>12</v>
      </c>
      <c r="AC104">
        <f>_xlfn.XLOOKUP(AB104,'[1]GST Codes'!$A:$A,'[1]GST Codes'!$C:$C,0,0)</f>
        <v>18</v>
      </c>
      <c r="AD104">
        <f t="shared" si="3"/>
        <v>0</v>
      </c>
      <c r="AE104" t="s">
        <v>13</v>
      </c>
      <c r="AF104" t="s">
        <v>0</v>
      </c>
      <c r="AG104" t="s">
        <v>14</v>
      </c>
      <c r="AH104" t="s">
        <v>15</v>
      </c>
      <c r="AI104" t="s">
        <v>96</v>
      </c>
      <c r="AJ104" t="s">
        <v>17</v>
      </c>
      <c r="AK104" t="s">
        <v>18</v>
      </c>
      <c r="AL104" t="s">
        <v>148</v>
      </c>
      <c r="AM104" t="s">
        <v>149</v>
      </c>
      <c r="AN104" t="s">
        <v>0</v>
      </c>
      <c r="AO104" t="s">
        <v>0</v>
      </c>
      <c r="AP104" t="s">
        <v>0</v>
      </c>
      <c r="AQ104" s="5">
        <v>4</v>
      </c>
      <c r="AR104" t="s">
        <v>147</v>
      </c>
      <c r="AS104" t="s">
        <v>0</v>
      </c>
      <c r="AT104" t="s">
        <v>17</v>
      </c>
      <c r="AU104" s="4">
        <v>0</v>
      </c>
      <c r="AV104" s="4">
        <v>0</v>
      </c>
      <c r="AW104" s="4">
        <v>0</v>
      </c>
      <c r="AX104" s="4">
        <v>0</v>
      </c>
      <c r="AY104" s="5">
        <v>0</v>
      </c>
      <c r="AZ104" s="5">
        <v>0</v>
      </c>
      <c r="BA104" s="5">
        <v>0</v>
      </c>
      <c r="BB104" s="2"/>
      <c r="BC104" t="s">
        <v>0</v>
      </c>
      <c r="BD104" s="5">
        <v>1</v>
      </c>
      <c r="BE104" t="s">
        <v>0</v>
      </c>
      <c r="BF104" t="s">
        <v>208</v>
      </c>
      <c r="BG104" t="s">
        <v>17</v>
      </c>
      <c r="BH104" t="s">
        <v>0</v>
      </c>
      <c r="BI104" t="s">
        <v>147</v>
      </c>
      <c r="BJ104" t="s">
        <v>0</v>
      </c>
      <c r="BK104" t="s">
        <v>0</v>
      </c>
      <c r="BL104" s="5">
        <v>0</v>
      </c>
      <c r="BM104" t="s">
        <v>0</v>
      </c>
      <c r="BN104" t="s">
        <v>0</v>
      </c>
      <c r="BO104" t="s">
        <v>0</v>
      </c>
      <c r="BP104" t="s">
        <v>17</v>
      </c>
      <c r="BQ104" t="s">
        <v>0</v>
      </c>
      <c r="BR104" t="s">
        <v>17</v>
      </c>
      <c r="BS104" t="s">
        <v>17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</row>
    <row r="105" spans="1:80" x14ac:dyDescent="0.25">
      <c r="A105" t="s">
        <v>143</v>
      </c>
      <c r="B105" s="2">
        <v>46176</v>
      </c>
      <c r="C105" s="2"/>
      <c r="D105" s="2"/>
      <c r="E105" t="s">
        <v>2</v>
      </c>
      <c r="F105" t="s">
        <v>89</v>
      </c>
      <c r="G105" t="s">
        <v>0</v>
      </c>
      <c r="H105" t="s">
        <v>4</v>
      </c>
      <c r="I105" t="s">
        <v>144</v>
      </c>
      <c r="J105" t="s">
        <v>6</v>
      </c>
      <c r="K105" t="s">
        <v>209</v>
      </c>
      <c r="L105" t="s">
        <v>210</v>
      </c>
      <c r="M105" t="s">
        <v>211</v>
      </c>
      <c r="N105" t="s">
        <v>10</v>
      </c>
      <c r="O105" t="s">
        <v>0</v>
      </c>
      <c r="P105" t="s">
        <v>147</v>
      </c>
      <c r="Q105" s="5">
        <v>2</v>
      </c>
      <c r="R105" s="4">
        <v>92.12</v>
      </c>
      <c r="S105" s="5">
        <v>1</v>
      </c>
      <c r="T105" s="4">
        <v>184.24</v>
      </c>
      <c r="U105" s="5">
        <v>2</v>
      </c>
      <c r="V105" s="4">
        <v>184.24</v>
      </c>
      <c r="W105" s="5">
        <v>2</v>
      </c>
      <c r="X105" s="4">
        <v>184.24</v>
      </c>
      <c r="Y105" s="4">
        <f t="shared" si="2"/>
        <v>0</v>
      </c>
      <c r="Z105" t="s">
        <v>0</v>
      </c>
      <c r="AA105" t="s">
        <v>2</v>
      </c>
      <c r="AB105" t="s">
        <v>12</v>
      </c>
      <c r="AC105">
        <f>_xlfn.XLOOKUP(AB105,'[1]GST Codes'!$A:$A,'[1]GST Codes'!$C:$C,0,0)</f>
        <v>18</v>
      </c>
      <c r="AD105">
        <f t="shared" si="3"/>
        <v>0</v>
      </c>
      <c r="AE105" t="s">
        <v>13</v>
      </c>
      <c r="AF105" t="s">
        <v>0</v>
      </c>
      <c r="AG105" t="s">
        <v>14</v>
      </c>
      <c r="AH105" t="s">
        <v>15</v>
      </c>
      <c r="AI105" t="s">
        <v>96</v>
      </c>
      <c r="AJ105" t="s">
        <v>17</v>
      </c>
      <c r="AK105" t="s">
        <v>18</v>
      </c>
      <c r="AL105" t="s">
        <v>148</v>
      </c>
      <c r="AM105" t="s">
        <v>149</v>
      </c>
      <c r="AN105" t="s">
        <v>0</v>
      </c>
      <c r="AO105" t="s">
        <v>0</v>
      </c>
      <c r="AP105" t="s">
        <v>0</v>
      </c>
      <c r="AQ105" s="5">
        <v>2</v>
      </c>
      <c r="AR105" t="s">
        <v>147</v>
      </c>
      <c r="AS105" t="s">
        <v>0</v>
      </c>
      <c r="AT105" t="s">
        <v>17</v>
      </c>
      <c r="AU105" s="4">
        <v>0</v>
      </c>
      <c r="AV105" s="4">
        <v>0</v>
      </c>
      <c r="AW105" s="4">
        <v>0</v>
      </c>
      <c r="AX105" s="4">
        <v>0</v>
      </c>
      <c r="AY105" s="5">
        <v>0</v>
      </c>
      <c r="AZ105" s="5">
        <v>0</v>
      </c>
      <c r="BA105" s="5">
        <v>0</v>
      </c>
      <c r="BB105" s="2"/>
      <c r="BC105" t="s">
        <v>0</v>
      </c>
      <c r="BD105" s="5">
        <v>1</v>
      </c>
      <c r="BE105" t="s">
        <v>0</v>
      </c>
      <c r="BF105" t="s">
        <v>212</v>
      </c>
      <c r="BG105" t="s">
        <v>17</v>
      </c>
      <c r="BH105" t="s">
        <v>0</v>
      </c>
      <c r="BI105" t="s">
        <v>147</v>
      </c>
      <c r="BJ105" t="s">
        <v>0</v>
      </c>
      <c r="BK105" t="s">
        <v>0</v>
      </c>
      <c r="BL105" s="5">
        <v>0</v>
      </c>
      <c r="BM105" t="s">
        <v>0</v>
      </c>
      <c r="BN105" t="s">
        <v>0</v>
      </c>
      <c r="BO105" t="s">
        <v>0</v>
      </c>
      <c r="BP105" t="s">
        <v>17</v>
      </c>
      <c r="BQ105" t="s">
        <v>0</v>
      </c>
      <c r="BR105" t="s">
        <v>17</v>
      </c>
      <c r="BS105" t="s">
        <v>17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</row>
    <row r="106" spans="1:80" x14ac:dyDescent="0.25">
      <c r="A106" t="s">
        <v>143</v>
      </c>
      <c r="B106" s="2">
        <v>46176</v>
      </c>
      <c r="C106" s="2"/>
      <c r="D106" s="2"/>
      <c r="E106" t="s">
        <v>2</v>
      </c>
      <c r="F106" t="s">
        <v>89</v>
      </c>
      <c r="G106" t="s">
        <v>0</v>
      </c>
      <c r="H106" t="s">
        <v>4</v>
      </c>
      <c r="I106" t="s">
        <v>144</v>
      </c>
      <c r="J106" t="s">
        <v>6</v>
      </c>
      <c r="K106" t="s">
        <v>213</v>
      </c>
      <c r="L106" t="s">
        <v>159</v>
      </c>
      <c r="M106" t="s">
        <v>214</v>
      </c>
      <c r="N106" t="s">
        <v>10</v>
      </c>
      <c r="O106" t="s">
        <v>0</v>
      </c>
      <c r="P106" t="s">
        <v>147</v>
      </c>
      <c r="Q106" s="5">
        <v>6</v>
      </c>
      <c r="R106" s="4">
        <v>51.6</v>
      </c>
      <c r="S106" s="5">
        <v>1</v>
      </c>
      <c r="T106" s="4">
        <v>309.60000000000002</v>
      </c>
      <c r="U106" s="5">
        <v>6</v>
      </c>
      <c r="V106" s="4">
        <v>309.60000000000002</v>
      </c>
      <c r="W106" s="5">
        <v>6</v>
      </c>
      <c r="X106" s="4">
        <v>309.60000000000002</v>
      </c>
      <c r="Y106" s="4">
        <f t="shared" si="2"/>
        <v>0</v>
      </c>
      <c r="Z106" t="s">
        <v>0</v>
      </c>
      <c r="AA106" t="s">
        <v>2</v>
      </c>
      <c r="AB106" t="s">
        <v>12</v>
      </c>
      <c r="AC106">
        <f>_xlfn.XLOOKUP(AB106,'[1]GST Codes'!$A:$A,'[1]GST Codes'!$C:$C,0,0)</f>
        <v>18</v>
      </c>
      <c r="AD106">
        <f t="shared" si="3"/>
        <v>0</v>
      </c>
      <c r="AE106" t="s">
        <v>13</v>
      </c>
      <c r="AF106" t="s">
        <v>0</v>
      </c>
      <c r="AG106" t="s">
        <v>14</v>
      </c>
      <c r="AH106" t="s">
        <v>15</v>
      </c>
      <c r="AI106" t="s">
        <v>96</v>
      </c>
      <c r="AJ106" t="s">
        <v>17</v>
      </c>
      <c r="AK106" t="s">
        <v>18</v>
      </c>
      <c r="AL106" t="s">
        <v>148</v>
      </c>
      <c r="AM106" t="s">
        <v>149</v>
      </c>
      <c r="AN106" t="s">
        <v>0</v>
      </c>
      <c r="AO106" t="s">
        <v>0</v>
      </c>
      <c r="AP106" t="s">
        <v>0</v>
      </c>
      <c r="AQ106" s="5">
        <v>6</v>
      </c>
      <c r="AR106" t="s">
        <v>147</v>
      </c>
      <c r="AS106" t="s">
        <v>0</v>
      </c>
      <c r="AT106" t="s">
        <v>17</v>
      </c>
      <c r="AU106" s="4">
        <v>0</v>
      </c>
      <c r="AV106" s="4">
        <v>0</v>
      </c>
      <c r="AW106" s="4">
        <v>0</v>
      </c>
      <c r="AX106" s="4">
        <v>0</v>
      </c>
      <c r="AY106" s="5">
        <v>0</v>
      </c>
      <c r="AZ106" s="5">
        <v>0</v>
      </c>
      <c r="BA106" s="5">
        <v>0</v>
      </c>
      <c r="BB106" s="2"/>
      <c r="BC106" t="s">
        <v>0</v>
      </c>
      <c r="BD106" s="5">
        <v>1</v>
      </c>
      <c r="BE106" t="s">
        <v>0</v>
      </c>
      <c r="BF106" t="s">
        <v>161</v>
      </c>
      <c r="BG106" t="s">
        <v>17</v>
      </c>
      <c r="BH106" t="s">
        <v>0</v>
      </c>
      <c r="BI106" t="s">
        <v>147</v>
      </c>
      <c r="BJ106" t="s">
        <v>0</v>
      </c>
      <c r="BK106" t="s">
        <v>0</v>
      </c>
      <c r="BL106" s="5">
        <v>0</v>
      </c>
      <c r="BM106" t="s">
        <v>0</v>
      </c>
      <c r="BN106" t="s">
        <v>0</v>
      </c>
      <c r="BO106" t="s">
        <v>0</v>
      </c>
      <c r="BP106" t="s">
        <v>17</v>
      </c>
      <c r="BQ106" t="s">
        <v>0</v>
      </c>
      <c r="BR106" t="s">
        <v>17</v>
      </c>
      <c r="BS106" t="s">
        <v>17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</row>
    <row r="107" spans="1:80" x14ac:dyDescent="0.25">
      <c r="A107" t="s">
        <v>143</v>
      </c>
      <c r="B107" s="2">
        <v>46176</v>
      </c>
      <c r="C107" s="2"/>
      <c r="D107" s="2"/>
      <c r="E107" t="s">
        <v>2</v>
      </c>
      <c r="F107" t="s">
        <v>89</v>
      </c>
      <c r="G107" t="s">
        <v>0</v>
      </c>
      <c r="H107" t="s">
        <v>4</v>
      </c>
      <c r="I107" t="s">
        <v>144</v>
      </c>
      <c r="J107" t="s">
        <v>6</v>
      </c>
      <c r="K107" t="s">
        <v>215</v>
      </c>
      <c r="L107" t="s">
        <v>159</v>
      </c>
      <c r="M107" t="s">
        <v>160</v>
      </c>
      <c r="N107" t="s">
        <v>10</v>
      </c>
      <c r="O107" t="s">
        <v>0</v>
      </c>
      <c r="P107" t="s">
        <v>147</v>
      </c>
      <c r="Q107" s="5">
        <v>3</v>
      </c>
      <c r="R107" s="4">
        <v>51.6</v>
      </c>
      <c r="S107" s="5">
        <v>1</v>
      </c>
      <c r="T107" s="4">
        <v>154.80000000000001</v>
      </c>
      <c r="U107" s="5">
        <v>3</v>
      </c>
      <c r="V107" s="4">
        <v>154.80000000000001</v>
      </c>
      <c r="W107" s="5">
        <v>3</v>
      </c>
      <c r="X107" s="4">
        <v>154.80000000000001</v>
      </c>
      <c r="Y107" s="4">
        <f t="shared" si="2"/>
        <v>0</v>
      </c>
      <c r="Z107" t="s">
        <v>0</v>
      </c>
      <c r="AA107" t="s">
        <v>2</v>
      </c>
      <c r="AB107" t="s">
        <v>12</v>
      </c>
      <c r="AC107">
        <f>_xlfn.XLOOKUP(AB107,'[1]GST Codes'!$A:$A,'[1]GST Codes'!$C:$C,0,0)</f>
        <v>18</v>
      </c>
      <c r="AD107">
        <f t="shared" si="3"/>
        <v>0</v>
      </c>
      <c r="AE107" t="s">
        <v>13</v>
      </c>
      <c r="AF107" t="s">
        <v>0</v>
      </c>
      <c r="AG107" t="s">
        <v>14</v>
      </c>
      <c r="AH107" t="s">
        <v>15</v>
      </c>
      <c r="AI107" t="s">
        <v>96</v>
      </c>
      <c r="AJ107" t="s">
        <v>17</v>
      </c>
      <c r="AK107" t="s">
        <v>18</v>
      </c>
      <c r="AL107" t="s">
        <v>148</v>
      </c>
      <c r="AM107" t="s">
        <v>149</v>
      </c>
      <c r="AN107" t="s">
        <v>0</v>
      </c>
      <c r="AO107" t="s">
        <v>0</v>
      </c>
      <c r="AP107" t="s">
        <v>0</v>
      </c>
      <c r="AQ107" s="5">
        <v>3</v>
      </c>
      <c r="AR107" t="s">
        <v>147</v>
      </c>
      <c r="AS107" t="s">
        <v>0</v>
      </c>
      <c r="AT107" t="s">
        <v>17</v>
      </c>
      <c r="AU107" s="4">
        <v>0</v>
      </c>
      <c r="AV107" s="4">
        <v>0</v>
      </c>
      <c r="AW107" s="4">
        <v>0</v>
      </c>
      <c r="AX107" s="4">
        <v>0</v>
      </c>
      <c r="AY107" s="5">
        <v>0</v>
      </c>
      <c r="AZ107" s="5">
        <v>0</v>
      </c>
      <c r="BA107" s="5">
        <v>0</v>
      </c>
      <c r="BB107" s="2"/>
      <c r="BC107" t="s">
        <v>0</v>
      </c>
      <c r="BD107" s="5">
        <v>1</v>
      </c>
      <c r="BE107" t="s">
        <v>0</v>
      </c>
      <c r="BF107" t="s">
        <v>161</v>
      </c>
      <c r="BG107" t="s">
        <v>17</v>
      </c>
      <c r="BH107" t="s">
        <v>0</v>
      </c>
      <c r="BI107" t="s">
        <v>147</v>
      </c>
      <c r="BJ107" t="s">
        <v>0</v>
      </c>
      <c r="BK107" t="s">
        <v>0</v>
      </c>
      <c r="BL107" s="5">
        <v>0</v>
      </c>
      <c r="BM107" t="s">
        <v>0</v>
      </c>
      <c r="BN107" t="s">
        <v>0</v>
      </c>
      <c r="BO107" t="s">
        <v>0</v>
      </c>
      <c r="BP107" t="s">
        <v>17</v>
      </c>
      <c r="BQ107" t="s">
        <v>0</v>
      </c>
      <c r="BR107" t="s">
        <v>17</v>
      </c>
      <c r="BS107" t="s">
        <v>17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</row>
    <row r="108" spans="1:80" x14ac:dyDescent="0.25">
      <c r="A108" t="s">
        <v>143</v>
      </c>
      <c r="B108" s="2">
        <v>46176</v>
      </c>
      <c r="C108" s="2"/>
      <c r="D108" s="2"/>
      <c r="E108" t="s">
        <v>2</v>
      </c>
      <c r="F108" t="s">
        <v>89</v>
      </c>
      <c r="G108" t="s">
        <v>0</v>
      </c>
      <c r="H108" t="s">
        <v>4</v>
      </c>
      <c r="I108" t="s">
        <v>144</v>
      </c>
      <c r="J108" t="s">
        <v>6</v>
      </c>
      <c r="K108" t="s">
        <v>216</v>
      </c>
      <c r="L108" t="s">
        <v>162</v>
      </c>
      <c r="M108" t="s">
        <v>163</v>
      </c>
      <c r="N108" t="s">
        <v>10</v>
      </c>
      <c r="O108" t="s">
        <v>0</v>
      </c>
      <c r="P108" t="s">
        <v>147</v>
      </c>
      <c r="Q108" s="5">
        <v>5</v>
      </c>
      <c r="R108" s="4">
        <v>66</v>
      </c>
      <c r="S108" s="5">
        <v>1</v>
      </c>
      <c r="T108" s="4">
        <v>330</v>
      </c>
      <c r="U108" s="5">
        <v>5</v>
      </c>
      <c r="V108" s="4">
        <v>330</v>
      </c>
      <c r="W108" s="5">
        <v>5</v>
      </c>
      <c r="X108" s="4">
        <v>330</v>
      </c>
      <c r="Y108" s="4">
        <f t="shared" si="2"/>
        <v>0</v>
      </c>
      <c r="Z108" t="s">
        <v>0</v>
      </c>
      <c r="AA108" t="s">
        <v>2</v>
      </c>
      <c r="AB108" t="s">
        <v>12</v>
      </c>
      <c r="AC108">
        <f>_xlfn.XLOOKUP(AB108,'[1]GST Codes'!$A:$A,'[1]GST Codes'!$C:$C,0,0)</f>
        <v>18</v>
      </c>
      <c r="AD108">
        <f t="shared" si="3"/>
        <v>0</v>
      </c>
      <c r="AE108" t="s">
        <v>13</v>
      </c>
      <c r="AF108" t="s">
        <v>0</v>
      </c>
      <c r="AG108" t="s">
        <v>14</v>
      </c>
      <c r="AH108" t="s">
        <v>15</v>
      </c>
      <c r="AI108" t="s">
        <v>96</v>
      </c>
      <c r="AJ108" t="s">
        <v>17</v>
      </c>
      <c r="AK108" t="s">
        <v>18</v>
      </c>
      <c r="AL108" t="s">
        <v>148</v>
      </c>
      <c r="AM108" t="s">
        <v>149</v>
      </c>
      <c r="AN108" t="s">
        <v>0</v>
      </c>
      <c r="AO108" t="s">
        <v>0</v>
      </c>
      <c r="AP108" t="s">
        <v>0</v>
      </c>
      <c r="AQ108" s="5">
        <v>5</v>
      </c>
      <c r="AR108" t="s">
        <v>147</v>
      </c>
      <c r="AS108" t="s">
        <v>0</v>
      </c>
      <c r="AT108" t="s">
        <v>17</v>
      </c>
      <c r="AU108" s="4">
        <v>0</v>
      </c>
      <c r="AV108" s="4">
        <v>0</v>
      </c>
      <c r="AW108" s="4">
        <v>0</v>
      </c>
      <c r="AX108" s="4">
        <v>0</v>
      </c>
      <c r="AY108" s="5">
        <v>0</v>
      </c>
      <c r="AZ108" s="5">
        <v>0</v>
      </c>
      <c r="BA108" s="5">
        <v>0</v>
      </c>
      <c r="BB108" s="2"/>
      <c r="BC108" t="s">
        <v>0</v>
      </c>
      <c r="BD108" s="5">
        <v>1</v>
      </c>
      <c r="BE108" t="s">
        <v>0</v>
      </c>
      <c r="BF108" t="s">
        <v>164</v>
      </c>
      <c r="BG108" t="s">
        <v>17</v>
      </c>
      <c r="BH108" t="s">
        <v>0</v>
      </c>
      <c r="BI108" t="s">
        <v>147</v>
      </c>
      <c r="BJ108" t="s">
        <v>0</v>
      </c>
      <c r="BK108" t="s">
        <v>0</v>
      </c>
      <c r="BL108" s="5">
        <v>0</v>
      </c>
      <c r="BM108" t="s">
        <v>0</v>
      </c>
      <c r="BN108" t="s">
        <v>0</v>
      </c>
      <c r="BO108" t="s">
        <v>0</v>
      </c>
      <c r="BP108" t="s">
        <v>17</v>
      </c>
      <c r="BQ108" t="s">
        <v>0</v>
      </c>
      <c r="BR108" t="s">
        <v>17</v>
      </c>
      <c r="BS108" t="s">
        <v>17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</row>
    <row r="109" spans="1:80" x14ac:dyDescent="0.25">
      <c r="A109" t="s">
        <v>143</v>
      </c>
      <c r="B109" s="2">
        <v>46176</v>
      </c>
      <c r="C109" s="2"/>
      <c r="D109" s="2"/>
      <c r="E109" t="s">
        <v>2</v>
      </c>
      <c r="F109" t="s">
        <v>89</v>
      </c>
      <c r="G109" t="s">
        <v>0</v>
      </c>
      <c r="H109" t="s">
        <v>4</v>
      </c>
      <c r="I109" t="s">
        <v>144</v>
      </c>
      <c r="J109" t="s">
        <v>6</v>
      </c>
      <c r="K109" t="s">
        <v>217</v>
      </c>
      <c r="L109" t="s">
        <v>168</v>
      </c>
      <c r="M109" t="s">
        <v>169</v>
      </c>
      <c r="N109" t="s">
        <v>10</v>
      </c>
      <c r="O109" t="s">
        <v>0</v>
      </c>
      <c r="P109" t="s">
        <v>147</v>
      </c>
      <c r="Q109" s="5">
        <v>1</v>
      </c>
      <c r="R109" s="4">
        <v>96</v>
      </c>
      <c r="S109" s="5">
        <v>1</v>
      </c>
      <c r="T109" s="4">
        <v>96</v>
      </c>
      <c r="U109" s="5">
        <v>1</v>
      </c>
      <c r="V109" s="4">
        <v>96</v>
      </c>
      <c r="W109" s="5">
        <v>1</v>
      </c>
      <c r="X109" s="4">
        <v>96</v>
      </c>
      <c r="Y109" s="4">
        <f t="shared" si="2"/>
        <v>0</v>
      </c>
      <c r="Z109" t="s">
        <v>0</v>
      </c>
      <c r="AA109" t="s">
        <v>2</v>
      </c>
      <c r="AB109" t="s">
        <v>12</v>
      </c>
      <c r="AC109">
        <f>_xlfn.XLOOKUP(AB109,'[1]GST Codes'!$A:$A,'[1]GST Codes'!$C:$C,0,0)</f>
        <v>18</v>
      </c>
      <c r="AD109">
        <f t="shared" si="3"/>
        <v>0</v>
      </c>
      <c r="AE109" t="s">
        <v>13</v>
      </c>
      <c r="AF109" t="s">
        <v>0</v>
      </c>
      <c r="AG109" t="s">
        <v>14</v>
      </c>
      <c r="AH109" t="s">
        <v>15</v>
      </c>
      <c r="AI109" t="s">
        <v>96</v>
      </c>
      <c r="AJ109" t="s">
        <v>17</v>
      </c>
      <c r="AK109" t="s">
        <v>18</v>
      </c>
      <c r="AL109" t="s">
        <v>148</v>
      </c>
      <c r="AM109" t="s">
        <v>149</v>
      </c>
      <c r="AN109" t="s">
        <v>0</v>
      </c>
      <c r="AO109" t="s">
        <v>0</v>
      </c>
      <c r="AP109" t="s">
        <v>0</v>
      </c>
      <c r="AQ109" s="5">
        <v>1</v>
      </c>
      <c r="AR109" t="s">
        <v>147</v>
      </c>
      <c r="AS109" t="s">
        <v>0</v>
      </c>
      <c r="AT109" t="s">
        <v>17</v>
      </c>
      <c r="AU109" s="4">
        <v>0</v>
      </c>
      <c r="AV109" s="4">
        <v>0</v>
      </c>
      <c r="AW109" s="4">
        <v>0</v>
      </c>
      <c r="AX109" s="4">
        <v>0</v>
      </c>
      <c r="AY109" s="5">
        <v>0</v>
      </c>
      <c r="AZ109" s="5">
        <v>0</v>
      </c>
      <c r="BA109" s="5">
        <v>0</v>
      </c>
      <c r="BB109" s="2"/>
      <c r="BC109" t="s">
        <v>0</v>
      </c>
      <c r="BD109" s="5">
        <v>1</v>
      </c>
      <c r="BE109" t="s">
        <v>0</v>
      </c>
      <c r="BF109" t="s">
        <v>170</v>
      </c>
      <c r="BG109" t="s">
        <v>17</v>
      </c>
      <c r="BH109" t="s">
        <v>0</v>
      </c>
      <c r="BI109" t="s">
        <v>147</v>
      </c>
      <c r="BJ109" t="s">
        <v>0</v>
      </c>
      <c r="BK109" t="s">
        <v>0</v>
      </c>
      <c r="BL109" s="5">
        <v>0</v>
      </c>
      <c r="BM109" t="s">
        <v>0</v>
      </c>
      <c r="BN109" t="s">
        <v>0</v>
      </c>
      <c r="BO109" t="s">
        <v>0</v>
      </c>
      <c r="BP109" t="s">
        <v>17</v>
      </c>
      <c r="BQ109" t="s">
        <v>0</v>
      </c>
      <c r="BR109" t="s">
        <v>17</v>
      </c>
      <c r="BS109" t="s">
        <v>17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</row>
    <row r="110" spans="1:80" x14ac:dyDescent="0.25">
      <c r="A110" t="s">
        <v>143</v>
      </c>
      <c r="B110" s="2">
        <v>46176</v>
      </c>
      <c r="C110" s="2"/>
      <c r="D110" s="2"/>
      <c r="E110" t="s">
        <v>2</v>
      </c>
      <c r="F110" t="s">
        <v>89</v>
      </c>
      <c r="G110" t="s">
        <v>0</v>
      </c>
      <c r="H110" t="s">
        <v>4</v>
      </c>
      <c r="I110" t="s">
        <v>144</v>
      </c>
      <c r="J110" t="s">
        <v>6</v>
      </c>
      <c r="K110" t="s">
        <v>218</v>
      </c>
      <c r="L110" t="s">
        <v>171</v>
      </c>
      <c r="M110" t="s">
        <v>172</v>
      </c>
      <c r="N110" t="s">
        <v>10</v>
      </c>
      <c r="O110" t="s">
        <v>0</v>
      </c>
      <c r="P110" t="s">
        <v>147</v>
      </c>
      <c r="Q110" s="5">
        <v>2</v>
      </c>
      <c r="R110" s="4">
        <v>126.6</v>
      </c>
      <c r="S110" s="5">
        <v>1</v>
      </c>
      <c r="T110" s="4">
        <v>253.2</v>
      </c>
      <c r="U110" s="5">
        <v>2</v>
      </c>
      <c r="V110" s="4">
        <v>253.2</v>
      </c>
      <c r="W110" s="5">
        <v>2</v>
      </c>
      <c r="X110" s="4">
        <v>253.2</v>
      </c>
      <c r="Y110" s="4">
        <f t="shared" si="2"/>
        <v>0</v>
      </c>
      <c r="Z110" t="s">
        <v>0</v>
      </c>
      <c r="AA110" t="s">
        <v>2</v>
      </c>
      <c r="AB110" t="s">
        <v>12</v>
      </c>
      <c r="AC110">
        <f>_xlfn.XLOOKUP(AB110,'[1]GST Codes'!$A:$A,'[1]GST Codes'!$C:$C,0,0)</f>
        <v>18</v>
      </c>
      <c r="AD110">
        <f t="shared" si="3"/>
        <v>0</v>
      </c>
      <c r="AE110" t="s">
        <v>13</v>
      </c>
      <c r="AF110" t="s">
        <v>0</v>
      </c>
      <c r="AG110" t="s">
        <v>14</v>
      </c>
      <c r="AH110" t="s">
        <v>15</v>
      </c>
      <c r="AI110" t="s">
        <v>96</v>
      </c>
      <c r="AJ110" t="s">
        <v>17</v>
      </c>
      <c r="AK110" t="s">
        <v>18</v>
      </c>
      <c r="AL110" t="s">
        <v>148</v>
      </c>
      <c r="AM110" t="s">
        <v>149</v>
      </c>
      <c r="AN110" t="s">
        <v>0</v>
      </c>
      <c r="AO110" t="s">
        <v>0</v>
      </c>
      <c r="AP110" t="s">
        <v>0</v>
      </c>
      <c r="AQ110" s="5">
        <v>2</v>
      </c>
      <c r="AR110" t="s">
        <v>147</v>
      </c>
      <c r="AS110" t="s">
        <v>0</v>
      </c>
      <c r="AT110" t="s">
        <v>17</v>
      </c>
      <c r="AU110" s="4">
        <v>0</v>
      </c>
      <c r="AV110" s="4">
        <v>0</v>
      </c>
      <c r="AW110" s="4">
        <v>0</v>
      </c>
      <c r="AX110" s="4">
        <v>0</v>
      </c>
      <c r="AY110" s="5">
        <v>0</v>
      </c>
      <c r="AZ110" s="5">
        <v>0</v>
      </c>
      <c r="BA110" s="5">
        <v>0</v>
      </c>
      <c r="BB110" s="2"/>
      <c r="BC110" t="s">
        <v>0</v>
      </c>
      <c r="BD110" s="5">
        <v>1</v>
      </c>
      <c r="BE110" t="s">
        <v>0</v>
      </c>
      <c r="BF110" t="s">
        <v>173</v>
      </c>
      <c r="BG110" t="s">
        <v>17</v>
      </c>
      <c r="BH110" t="s">
        <v>0</v>
      </c>
      <c r="BI110" t="s">
        <v>147</v>
      </c>
      <c r="BJ110" t="s">
        <v>0</v>
      </c>
      <c r="BK110" t="s">
        <v>0</v>
      </c>
      <c r="BL110" s="5">
        <v>0</v>
      </c>
      <c r="BM110" t="s">
        <v>0</v>
      </c>
      <c r="BN110" t="s">
        <v>0</v>
      </c>
      <c r="BO110" t="s">
        <v>0</v>
      </c>
      <c r="BP110" t="s">
        <v>17</v>
      </c>
      <c r="BQ110" t="s">
        <v>0</v>
      </c>
      <c r="BR110" t="s">
        <v>17</v>
      </c>
      <c r="BS110" t="s">
        <v>17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</row>
    <row r="111" spans="1:80" x14ac:dyDescent="0.25">
      <c r="A111" t="s">
        <v>143</v>
      </c>
      <c r="B111" s="2">
        <v>46176</v>
      </c>
      <c r="C111" s="2"/>
      <c r="D111" s="2"/>
      <c r="E111" t="s">
        <v>2</v>
      </c>
      <c r="F111" t="s">
        <v>89</v>
      </c>
      <c r="G111" t="s">
        <v>0</v>
      </c>
      <c r="H111" t="s">
        <v>4</v>
      </c>
      <c r="I111" t="s">
        <v>144</v>
      </c>
      <c r="J111" t="s">
        <v>6</v>
      </c>
      <c r="K111" t="s">
        <v>219</v>
      </c>
      <c r="L111" t="s">
        <v>220</v>
      </c>
      <c r="M111" t="s">
        <v>221</v>
      </c>
      <c r="N111" t="s">
        <v>10</v>
      </c>
      <c r="O111" t="s">
        <v>0</v>
      </c>
      <c r="P111" t="s">
        <v>147</v>
      </c>
      <c r="Q111" s="5">
        <v>1</v>
      </c>
      <c r="R111" s="4">
        <v>138.6</v>
      </c>
      <c r="S111" s="5">
        <v>1</v>
      </c>
      <c r="T111" s="4">
        <v>138.6</v>
      </c>
      <c r="U111" s="5">
        <v>1</v>
      </c>
      <c r="V111" s="4">
        <v>138.6</v>
      </c>
      <c r="W111" s="5">
        <v>1</v>
      </c>
      <c r="X111" s="4">
        <v>138.6</v>
      </c>
      <c r="Y111" s="4">
        <f t="shared" si="2"/>
        <v>0</v>
      </c>
      <c r="Z111" t="s">
        <v>0</v>
      </c>
      <c r="AA111" t="s">
        <v>2</v>
      </c>
      <c r="AB111" t="s">
        <v>12</v>
      </c>
      <c r="AC111">
        <f>_xlfn.XLOOKUP(AB111,'[1]GST Codes'!$A:$A,'[1]GST Codes'!$C:$C,0,0)</f>
        <v>18</v>
      </c>
      <c r="AD111">
        <f t="shared" si="3"/>
        <v>0</v>
      </c>
      <c r="AE111" t="s">
        <v>13</v>
      </c>
      <c r="AF111" t="s">
        <v>0</v>
      </c>
      <c r="AG111" t="s">
        <v>14</v>
      </c>
      <c r="AH111" t="s">
        <v>15</v>
      </c>
      <c r="AI111" t="s">
        <v>96</v>
      </c>
      <c r="AJ111" t="s">
        <v>17</v>
      </c>
      <c r="AK111" t="s">
        <v>18</v>
      </c>
      <c r="AL111" t="s">
        <v>148</v>
      </c>
      <c r="AM111" t="s">
        <v>149</v>
      </c>
      <c r="AN111" t="s">
        <v>0</v>
      </c>
      <c r="AO111" t="s">
        <v>0</v>
      </c>
      <c r="AP111" t="s">
        <v>0</v>
      </c>
      <c r="AQ111" s="5">
        <v>1</v>
      </c>
      <c r="AR111" t="s">
        <v>147</v>
      </c>
      <c r="AS111" t="s">
        <v>0</v>
      </c>
      <c r="AT111" t="s">
        <v>17</v>
      </c>
      <c r="AU111" s="4">
        <v>0</v>
      </c>
      <c r="AV111" s="4">
        <v>0</v>
      </c>
      <c r="AW111" s="4">
        <v>0</v>
      </c>
      <c r="AX111" s="4">
        <v>0</v>
      </c>
      <c r="AY111" s="5">
        <v>0</v>
      </c>
      <c r="AZ111" s="5">
        <v>0</v>
      </c>
      <c r="BA111" s="5">
        <v>0</v>
      </c>
      <c r="BB111" s="2"/>
      <c r="BC111" t="s">
        <v>0</v>
      </c>
      <c r="BD111" s="5">
        <v>1</v>
      </c>
      <c r="BE111" t="s">
        <v>0</v>
      </c>
      <c r="BF111" t="s">
        <v>222</v>
      </c>
      <c r="BG111" t="s">
        <v>17</v>
      </c>
      <c r="BH111" t="s">
        <v>0</v>
      </c>
      <c r="BI111" t="s">
        <v>147</v>
      </c>
      <c r="BJ111" t="s">
        <v>0</v>
      </c>
      <c r="BK111" t="s">
        <v>0</v>
      </c>
      <c r="BL111" s="5">
        <v>0</v>
      </c>
      <c r="BM111" t="s">
        <v>0</v>
      </c>
      <c r="BN111" t="s">
        <v>0</v>
      </c>
      <c r="BO111" t="s">
        <v>0</v>
      </c>
      <c r="BP111" t="s">
        <v>17</v>
      </c>
      <c r="BQ111" t="s">
        <v>0</v>
      </c>
      <c r="BR111" t="s">
        <v>17</v>
      </c>
      <c r="BS111" t="s">
        <v>17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</row>
    <row r="112" spans="1:80" x14ac:dyDescent="0.25">
      <c r="A112" t="s">
        <v>143</v>
      </c>
      <c r="B112" s="2">
        <v>46176</v>
      </c>
      <c r="C112" s="2"/>
      <c r="D112" s="2"/>
      <c r="E112" t="s">
        <v>2</v>
      </c>
      <c r="F112" t="s">
        <v>89</v>
      </c>
      <c r="G112" t="s">
        <v>0</v>
      </c>
      <c r="H112" t="s">
        <v>4</v>
      </c>
      <c r="I112" t="s">
        <v>144</v>
      </c>
      <c r="J112" t="s">
        <v>6</v>
      </c>
      <c r="K112" t="s">
        <v>223</v>
      </c>
      <c r="L112" t="s">
        <v>174</v>
      </c>
      <c r="M112" t="s">
        <v>175</v>
      </c>
      <c r="N112" t="s">
        <v>10</v>
      </c>
      <c r="O112" t="s">
        <v>0</v>
      </c>
      <c r="P112" t="s">
        <v>147</v>
      </c>
      <c r="Q112" s="5">
        <v>20</v>
      </c>
      <c r="R112" s="4">
        <v>37.799999999999997</v>
      </c>
      <c r="S112" s="5">
        <v>1</v>
      </c>
      <c r="T112" s="4">
        <v>756</v>
      </c>
      <c r="U112" s="5">
        <v>20</v>
      </c>
      <c r="V112" s="4">
        <v>756</v>
      </c>
      <c r="W112" s="5">
        <v>20</v>
      </c>
      <c r="X112" s="4">
        <v>756</v>
      </c>
      <c r="Y112" s="4">
        <f t="shared" si="2"/>
        <v>0</v>
      </c>
      <c r="Z112" t="s">
        <v>0</v>
      </c>
      <c r="AA112" t="s">
        <v>2</v>
      </c>
      <c r="AB112" t="s">
        <v>12</v>
      </c>
      <c r="AC112">
        <f>_xlfn.XLOOKUP(AB112,'[1]GST Codes'!$A:$A,'[1]GST Codes'!$C:$C,0,0)</f>
        <v>18</v>
      </c>
      <c r="AD112">
        <f t="shared" si="3"/>
        <v>0</v>
      </c>
      <c r="AE112" t="s">
        <v>13</v>
      </c>
      <c r="AF112" t="s">
        <v>0</v>
      </c>
      <c r="AG112" t="s">
        <v>14</v>
      </c>
      <c r="AH112" t="s">
        <v>15</v>
      </c>
      <c r="AI112" t="s">
        <v>96</v>
      </c>
      <c r="AJ112" t="s">
        <v>17</v>
      </c>
      <c r="AK112" t="s">
        <v>18</v>
      </c>
      <c r="AL112" t="s">
        <v>148</v>
      </c>
      <c r="AM112" t="s">
        <v>149</v>
      </c>
      <c r="AN112" t="s">
        <v>0</v>
      </c>
      <c r="AO112" t="s">
        <v>0</v>
      </c>
      <c r="AP112" t="s">
        <v>0</v>
      </c>
      <c r="AQ112" s="5">
        <v>20</v>
      </c>
      <c r="AR112" t="s">
        <v>147</v>
      </c>
      <c r="AS112" t="s">
        <v>0</v>
      </c>
      <c r="AT112" t="s">
        <v>17</v>
      </c>
      <c r="AU112" s="4">
        <v>0</v>
      </c>
      <c r="AV112" s="4">
        <v>0</v>
      </c>
      <c r="AW112" s="4">
        <v>0</v>
      </c>
      <c r="AX112" s="4">
        <v>0</v>
      </c>
      <c r="AY112" s="5">
        <v>0</v>
      </c>
      <c r="AZ112" s="5">
        <v>0</v>
      </c>
      <c r="BA112" s="5">
        <v>0</v>
      </c>
      <c r="BB112" s="2"/>
      <c r="BC112" t="s">
        <v>0</v>
      </c>
      <c r="BD112" s="5">
        <v>1</v>
      </c>
      <c r="BE112" t="s">
        <v>0</v>
      </c>
      <c r="BF112" t="s">
        <v>176</v>
      </c>
      <c r="BG112" t="s">
        <v>17</v>
      </c>
      <c r="BH112" t="s">
        <v>0</v>
      </c>
      <c r="BI112" t="s">
        <v>147</v>
      </c>
      <c r="BJ112" t="s">
        <v>0</v>
      </c>
      <c r="BK112" t="s">
        <v>0</v>
      </c>
      <c r="BL112" s="5">
        <v>0</v>
      </c>
      <c r="BM112" t="s">
        <v>0</v>
      </c>
      <c r="BN112" t="s">
        <v>0</v>
      </c>
      <c r="BO112" t="s">
        <v>0</v>
      </c>
      <c r="BP112" t="s">
        <v>17</v>
      </c>
      <c r="BQ112" t="s">
        <v>0</v>
      </c>
      <c r="BR112" t="s">
        <v>17</v>
      </c>
      <c r="BS112" t="s">
        <v>17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</row>
    <row r="113" spans="1:80" x14ac:dyDescent="0.25">
      <c r="A113" t="s">
        <v>143</v>
      </c>
      <c r="B113" s="2">
        <v>46176</v>
      </c>
      <c r="C113" s="2"/>
      <c r="D113" s="2"/>
      <c r="E113" t="s">
        <v>2</v>
      </c>
      <c r="F113" t="s">
        <v>89</v>
      </c>
      <c r="G113" t="s">
        <v>0</v>
      </c>
      <c r="H113" t="s">
        <v>4</v>
      </c>
      <c r="I113" t="s">
        <v>144</v>
      </c>
      <c r="J113" t="s">
        <v>6</v>
      </c>
      <c r="K113" t="s">
        <v>224</v>
      </c>
      <c r="L113" t="s">
        <v>178</v>
      </c>
      <c r="M113" t="s">
        <v>179</v>
      </c>
      <c r="N113" t="s">
        <v>10</v>
      </c>
      <c r="O113" t="s">
        <v>0</v>
      </c>
      <c r="P113" t="s">
        <v>147</v>
      </c>
      <c r="Q113" s="5">
        <v>8</v>
      </c>
      <c r="R113" s="4">
        <v>75.3</v>
      </c>
      <c r="S113" s="5">
        <v>1</v>
      </c>
      <c r="T113" s="4">
        <v>602.4</v>
      </c>
      <c r="U113" s="5">
        <v>8</v>
      </c>
      <c r="V113" s="4">
        <v>602.4</v>
      </c>
      <c r="W113" s="5">
        <v>8</v>
      </c>
      <c r="X113" s="4">
        <v>602.4</v>
      </c>
      <c r="Y113" s="4">
        <f t="shared" si="2"/>
        <v>0</v>
      </c>
      <c r="Z113" t="s">
        <v>0</v>
      </c>
      <c r="AA113" t="s">
        <v>2</v>
      </c>
      <c r="AB113" t="s">
        <v>12</v>
      </c>
      <c r="AC113">
        <f>_xlfn.XLOOKUP(AB113,'[1]GST Codes'!$A:$A,'[1]GST Codes'!$C:$C,0,0)</f>
        <v>18</v>
      </c>
      <c r="AD113">
        <f t="shared" si="3"/>
        <v>0</v>
      </c>
      <c r="AE113" t="s">
        <v>13</v>
      </c>
      <c r="AF113" t="s">
        <v>0</v>
      </c>
      <c r="AG113" t="s">
        <v>14</v>
      </c>
      <c r="AH113" t="s">
        <v>15</v>
      </c>
      <c r="AI113" t="s">
        <v>96</v>
      </c>
      <c r="AJ113" t="s">
        <v>17</v>
      </c>
      <c r="AK113" t="s">
        <v>18</v>
      </c>
      <c r="AL113" t="s">
        <v>148</v>
      </c>
      <c r="AM113" t="s">
        <v>149</v>
      </c>
      <c r="AN113" t="s">
        <v>0</v>
      </c>
      <c r="AO113" t="s">
        <v>0</v>
      </c>
      <c r="AP113" t="s">
        <v>0</v>
      </c>
      <c r="AQ113" s="5">
        <v>8</v>
      </c>
      <c r="AR113" t="s">
        <v>147</v>
      </c>
      <c r="AS113" t="s">
        <v>0</v>
      </c>
      <c r="AT113" t="s">
        <v>17</v>
      </c>
      <c r="AU113" s="4">
        <v>0</v>
      </c>
      <c r="AV113" s="4">
        <v>0</v>
      </c>
      <c r="AW113" s="4">
        <v>0</v>
      </c>
      <c r="AX113" s="4">
        <v>0</v>
      </c>
      <c r="AY113" s="5">
        <v>0</v>
      </c>
      <c r="AZ113" s="5">
        <v>0</v>
      </c>
      <c r="BA113" s="5">
        <v>0</v>
      </c>
      <c r="BB113" s="2"/>
      <c r="BC113" t="s">
        <v>0</v>
      </c>
      <c r="BD113" s="5">
        <v>1</v>
      </c>
      <c r="BE113" t="s">
        <v>0</v>
      </c>
      <c r="BF113" t="s">
        <v>180</v>
      </c>
      <c r="BG113" t="s">
        <v>17</v>
      </c>
      <c r="BH113" t="s">
        <v>0</v>
      </c>
      <c r="BI113" t="s">
        <v>147</v>
      </c>
      <c r="BJ113" t="s">
        <v>0</v>
      </c>
      <c r="BK113" t="s">
        <v>0</v>
      </c>
      <c r="BL113" s="5">
        <v>0</v>
      </c>
      <c r="BM113" t="s">
        <v>0</v>
      </c>
      <c r="BN113" t="s">
        <v>0</v>
      </c>
      <c r="BO113" t="s">
        <v>0</v>
      </c>
      <c r="BP113" t="s">
        <v>17</v>
      </c>
      <c r="BQ113" t="s">
        <v>0</v>
      </c>
      <c r="BR113" t="s">
        <v>17</v>
      </c>
      <c r="BS113" t="s">
        <v>17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</row>
    <row r="114" spans="1:80" x14ac:dyDescent="0.25">
      <c r="A114" t="s">
        <v>143</v>
      </c>
      <c r="B114" s="2">
        <v>46176</v>
      </c>
      <c r="C114" s="2"/>
      <c r="D114" s="2"/>
      <c r="E114" t="s">
        <v>2</v>
      </c>
      <c r="F114" t="s">
        <v>89</v>
      </c>
      <c r="G114" t="s">
        <v>0</v>
      </c>
      <c r="H114" t="s">
        <v>4</v>
      </c>
      <c r="I114" t="s">
        <v>144</v>
      </c>
      <c r="J114" t="s">
        <v>6</v>
      </c>
      <c r="K114" t="s">
        <v>225</v>
      </c>
      <c r="L114" t="s">
        <v>182</v>
      </c>
      <c r="M114" t="s">
        <v>183</v>
      </c>
      <c r="N114" t="s">
        <v>10</v>
      </c>
      <c r="O114" t="s">
        <v>0</v>
      </c>
      <c r="P114" t="s">
        <v>147</v>
      </c>
      <c r="Q114" s="5">
        <v>7</v>
      </c>
      <c r="R114" s="4">
        <v>81.3</v>
      </c>
      <c r="S114" s="5">
        <v>1</v>
      </c>
      <c r="T114" s="4">
        <v>569.1</v>
      </c>
      <c r="U114" s="5">
        <v>7</v>
      </c>
      <c r="V114" s="4">
        <v>569.1</v>
      </c>
      <c r="W114" s="5">
        <v>7</v>
      </c>
      <c r="X114" s="4">
        <v>569.1</v>
      </c>
      <c r="Y114" s="4">
        <f t="shared" si="2"/>
        <v>0</v>
      </c>
      <c r="Z114" t="s">
        <v>0</v>
      </c>
      <c r="AA114" t="s">
        <v>2</v>
      </c>
      <c r="AB114" t="s">
        <v>12</v>
      </c>
      <c r="AC114">
        <f>_xlfn.XLOOKUP(AB114,'[1]GST Codes'!$A:$A,'[1]GST Codes'!$C:$C,0,0)</f>
        <v>18</v>
      </c>
      <c r="AD114">
        <f t="shared" si="3"/>
        <v>0</v>
      </c>
      <c r="AE114" t="s">
        <v>13</v>
      </c>
      <c r="AF114" t="s">
        <v>0</v>
      </c>
      <c r="AG114" t="s">
        <v>14</v>
      </c>
      <c r="AH114" t="s">
        <v>15</v>
      </c>
      <c r="AI114" t="s">
        <v>96</v>
      </c>
      <c r="AJ114" t="s">
        <v>17</v>
      </c>
      <c r="AK114" t="s">
        <v>18</v>
      </c>
      <c r="AL114" t="s">
        <v>148</v>
      </c>
      <c r="AM114" t="s">
        <v>149</v>
      </c>
      <c r="AN114" t="s">
        <v>0</v>
      </c>
      <c r="AO114" t="s">
        <v>0</v>
      </c>
      <c r="AP114" t="s">
        <v>0</v>
      </c>
      <c r="AQ114" s="5">
        <v>7</v>
      </c>
      <c r="AR114" t="s">
        <v>147</v>
      </c>
      <c r="AS114" t="s">
        <v>0</v>
      </c>
      <c r="AT114" t="s">
        <v>17</v>
      </c>
      <c r="AU114" s="4">
        <v>0</v>
      </c>
      <c r="AV114" s="4">
        <v>0</v>
      </c>
      <c r="AW114" s="4">
        <v>0</v>
      </c>
      <c r="AX114" s="4">
        <v>0</v>
      </c>
      <c r="AY114" s="5">
        <v>0</v>
      </c>
      <c r="AZ114" s="5">
        <v>0</v>
      </c>
      <c r="BA114" s="5">
        <v>0</v>
      </c>
      <c r="BB114" s="2"/>
      <c r="BC114" t="s">
        <v>0</v>
      </c>
      <c r="BD114" s="5">
        <v>1</v>
      </c>
      <c r="BE114" t="s">
        <v>0</v>
      </c>
      <c r="BF114" t="s">
        <v>184</v>
      </c>
      <c r="BG114" t="s">
        <v>17</v>
      </c>
      <c r="BH114" t="s">
        <v>0</v>
      </c>
      <c r="BI114" t="s">
        <v>147</v>
      </c>
      <c r="BJ114" t="s">
        <v>0</v>
      </c>
      <c r="BK114" t="s">
        <v>0</v>
      </c>
      <c r="BL114" s="5">
        <v>0</v>
      </c>
      <c r="BM114" t="s">
        <v>0</v>
      </c>
      <c r="BN114" t="s">
        <v>0</v>
      </c>
      <c r="BO114" t="s">
        <v>0</v>
      </c>
      <c r="BP114" t="s">
        <v>17</v>
      </c>
      <c r="BQ114" t="s">
        <v>0</v>
      </c>
      <c r="BR114" t="s">
        <v>17</v>
      </c>
      <c r="BS114" t="s">
        <v>17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</row>
    <row r="115" spans="1:80" x14ac:dyDescent="0.25">
      <c r="A115" t="s">
        <v>143</v>
      </c>
      <c r="B115" s="2">
        <v>46176</v>
      </c>
      <c r="C115" s="2"/>
      <c r="D115" s="2"/>
      <c r="E115" t="s">
        <v>2</v>
      </c>
      <c r="F115" t="s">
        <v>89</v>
      </c>
      <c r="G115" t="s">
        <v>0</v>
      </c>
      <c r="H115" t="s">
        <v>4</v>
      </c>
      <c r="I115" t="s">
        <v>144</v>
      </c>
      <c r="J115" t="s">
        <v>6</v>
      </c>
      <c r="K115" t="s">
        <v>226</v>
      </c>
      <c r="L115" t="s">
        <v>186</v>
      </c>
      <c r="M115" t="s">
        <v>187</v>
      </c>
      <c r="N115" t="s">
        <v>10</v>
      </c>
      <c r="O115" t="s">
        <v>0</v>
      </c>
      <c r="P115" t="s">
        <v>147</v>
      </c>
      <c r="Q115" s="5">
        <v>7</v>
      </c>
      <c r="R115" s="4">
        <v>120.6</v>
      </c>
      <c r="S115" s="5">
        <v>1</v>
      </c>
      <c r="T115" s="4">
        <v>844.2</v>
      </c>
      <c r="U115" s="5">
        <v>7</v>
      </c>
      <c r="V115" s="4">
        <v>844.2</v>
      </c>
      <c r="W115" s="5">
        <v>7</v>
      </c>
      <c r="X115" s="4">
        <v>844.2</v>
      </c>
      <c r="Y115" s="4">
        <f t="shared" si="2"/>
        <v>0</v>
      </c>
      <c r="Z115" t="s">
        <v>0</v>
      </c>
      <c r="AA115" t="s">
        <v>2</v>
      </c>
      <c r="AB115" t="s">
        <v>12</v>
      </c>
      <c r="AC115">
        <f>_xlfn.XLOOKUP(AB115,'[1]GST Codes'!$A:$A,'[1]GST Codes'!$C:$C,0,0)</f>
        <v>18</v>
      </c>
      <c r="AD115">
        <f t="shared" si="3"/>
        <v>0</v>
      </c>
      <c r="AE115" t="s">
        <v>13</v>
      </c>
      <c r="AF115" t="s">
        <v>0</v>
      </c>
      <c r="AG115" t="s">
        <v>14</v>
      </c>
      <c r="AH115" t="s">
        <v>15</v>
      </c>
      <c r="AI115" t="s">
        <v>96</v>
      </c>
      <c r="AJ115" t="s">
        <v>17</v>
      </c>
      <c r="AK115" t="s">
        <v>18</v>
      </c>
      <c r="AL115" t="s">
        <v>148</v>
      </c>
      <c r="AM115" t="s">
        <v>149</v>
      </c>
      <c r="AN115" t="s">
        <v>0</v>
      </c>
      <c r="AO115" t="s">
        <v>0</v>
      </c>
      <c r="AP115" t="s">
        <v>0</v>
      </c>
      <c r="AQ115" s="5">
        <v>7</v>
      </c>
      <c r="AR115" t="s">
        <v>147</v>
      </c>
      <c r="AS115" t="s">
        <v>0</v>
      </c>
      <c r="AT115" t="s">
        <v>17</v>
      </c>
      <c r="AU115" s="4">
        <v>0</v>
      </c>
      <c r="AV115" s="4">
        <v>0</v>
      </c>
      <c r="AW115" s="4">
        <v>0</v>
      </c>
      <c r="AX115" s="4">
        <v>0</v>
      </c>
      <c r="AY115" s="5">
        <v>0</v>
      </c>
      <c r="AZ115" s="5">
        <v>0</v>
      </c>
      <c r="BA115" s="5">
        <v>0</v>
      </c>
      <c r="BB115" s="2"/>
      <c r="BC115" t="s">
        <v>0</v>
      </c>
      <c r="BD115" s="5">
        <v>1</v>
      </c>
      <c r="BE115" t="s">
        <v>0</v>
      </c>
      <c r="BF115" t="s">
        <v>188</v>
      </c>
      <c r="BG115" t="s">
        <v>17</v>
      </c>
      <c r="BH115" t="s">
        <v>0</v>
      </c>
      <c r="BI115" t="s">
        <v>147</v>
      </c>
      <c r="BJ115" t="s">
        <v>0</v>
      </c>
      <c r="BK115" t="s">
        <v>0</v>
      </c>
      <c r="BL115" s="5">
        <v>0</v>
      </c>
      <c r="BM115" t="s">
        <v>0</v>
      </c>
      <c r="BN115" t="s">
        <v>0</v>
      </c>
      <c r="BO115" t="s">
        <v>0</v>
      </c>
      <c r="BP115" t="s">
        <v>17</v>
      </c>
      <c r="BQ115" t="s">
        <v>0</v>
      </c>
      <c r="BR115" t="s">
        <v>17</v>
      </c>
      <c r="BS115" t="s">
        <v>17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</row>
    <row r="116" spans="1:80" x14ac:dyDescent="0.25">
      <c r="A116" t="s">
        <v>143</v>
      </c>
      <c r="B116" s="2">
        <v>46176</v>
      </c>
      <c r="C116" s="2"/>
      <c r="D116" s="2"/>
      <c r="E116" t="s">
        <v>2</v>
      </c>
      <c r="F116" t="s">
        <v>89</v>
      </c>
      <c r="G116" t="s">
        <v>0</v>
      </c>
      <c r="H116" t="s">
        <v>4</v>
      </c>
      <c r="I116" t="s">
        <v>144</v>
      </c>
      <c r="J116" t="s">
        <v>6</v>
      </c>
      <c r="K116" t="s">
        <v>227</v>
      </c>
      <c r="L116" t="s">
        <v>194</v>
      </c>
      <c r="M116" t="s">
        <v>195</v>
      </c>
      <c r="N116" t="s">
        <v>10</v>
      </c>
      <c r="O116" t="s">
        <v>0</v>
      </c>
      <c r="P116" t="s">
        <v>147</v>
      </c>
      <c r="Q116" s="5">
        <v>1</v>
      </c>
      <c r="R116" s="4">
        <v>18.600000000000001</v>
      </c>
      <c r="S116" s="5">
        <v>1</v>
      </c>
      <c r="T116" s="4">
        <v>18.600000000000001</v>
      </c>
      <c r="U116" s="5">
        <v>1</v>
      </c>
      <c r="V116" s="4">
        <v>18.600000000000001</v>
      </c>
      <c r="W116" s="5">
        <v>1</v>
      </c>
      <c r="X116" s="4">
        <v>18.600000000000001</v>
      </c>
      <c r="Y116" s="4">
        <f t="shared" si="2"/>
        <v>0</v>
      </c>
      <c r="Z116" t="s">
        <v>0</v>
      </c>
      <c r="AA116" t="s">
        <v>2</v>
      </c>
      <c r="AB116" t="s">
        <v>12</v>
      </c>
      <c r="AC116">
        <f>_xlfn.XLOOKUP(AB116,'[1]GST Codes'!$A:$A,'[1]GST Codes'!$C:$C,0,0)</f>
        <v>18</v>
      </c>
      <c r="AD116">
        <f t="shared" si="3"/>
        <v>0</v>
      </c>
      <c r="AE116" t="s">
        <v>13</v>
      </c>
      <c r="AF116" t="s">
        <v>0</v>
      </c>
      <c r="AG116" t="s">
        <v>14</v>
      </c>
      <c r="AH116" t="s">
        <v>15</v>
      </c>
      <c r="AI116" t="s">
        <v>96</v>
      </c>
      <c r="AJ116" t="s">
        <v>17</v>
      </c>
      <c r="AK116" t="s">
        <v>18</v>
      </c>
      <c r="AL116" t="s">
        <v>148</v>
      </c>
      <c r="AM116" t="s">
        <v>149</v>
      </c>
      <c r="AN116" t="s">
        <v>0</v>
      </c>
      <c r="AO116" t="s">
        <v>0</v>
      </c>
      <c r="AP116" t="s">
        <v>0</v>
      </c>
      <c r="AQ116" s="5">
        <v>1</v>
      </c>
      <c r="AR116" t="s">
        <v>147</v>
      </c>
      <c r="AS116" t="s">
        <v>0</v>
      </c>
      <c r="AT116" t="s">
        <v>17</v>
      </c>
      <c r="AU116" s="4">
        <v>0</v>
      </c>
      <c r="AV116" s="4">
        <v>0</v>
      </c>
      <c r="AW116" s="4">
        <v>0</v>
      </c>
      <c r="AX116" s="4">
        <v>0</v>
      </c>
      <c r="AY116" s="5">
        <v>0</v>
      </c>
      <c r="AZ116" s="5">
        <v>0</v>
      </c>
      <c r="BA116" s="5">
        <v>0</v>
      </c>
      <c r="BB116" s="2"/>
      <c r="BC116" t="s">
        <v>0</v>
      </c>
      <c r="BD116" s="5">
        <v>1</v>
      </c>
      <c r="BE116" t="s">
        <v>0</v>
      </c>
      <c r="BF116" t="s">
        <v>196</v>
      </c>
      <c r="BG116" t="s">
        <v>17</v>
      </c>
      <c r="BH116" t="s">
        <v>0</v>
      </c>
      <c r="BI116" t="s">
        <v>147</v>
      </c>
      <c r="BJ116" t="s">
        <v>0</v>
      </c>
      <c r="BK116" t="s">
        <v>0</v>
      </c>
      <c r="BL116" s="5">
        <v>0</v>
      </c>
      <c r="BM116" t="s">
        <v>0</v>
      </c>
      <c r="BN116" t="s">
        <v>0</v>
      </c>
      <c r="BO116" t="s">
        <v>0</v>
      </c>
      <c r="BP116" t="s">
        <v>17</v>
      </c>
      <c r="BQ116" t="s">
        <v>0</v>
      </c>
      <c r="BR116" t="s">
        <v>17</v>
      </c>
      <c r="BS116" t="s">
        <v>17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</row>
    <row r="117" spans="1:80" x14ac:dyDescent="0.25">
      <c r="A117" t="s">
        <v>143</v>
      </c>
      <c r="B117" s="2">
        <v>46176</v>
      </c>
      <c r="C117" s="2"/>
      <c r="D117" s="2"/>
      <c r="E117" t="s">
        <v>2</v>
      </c>
      <c r="F117" t="s">
        <v>89</v>
      </c>
      <c r="G117" t="s">
        <v>0</v>
      </c>
      <c r="H117" t="s">
        <v>4</v>
      </c>
      <c r="I117" t="s">
        <v>144</v>
      </c>
      <c r="J117" t="s">
        <v>6</v>
      </c>
      <c r="K117" t="s">
        <v>228</v>
      </c>
      <c r="L117" t="s">
        <v>229</v>
      </c>
      <c r="M117" t="s">
        <v>203</v>
      </c>
      <c r="N117" t="s">
        <v>10</v>
      </c>
      <c r="O117" t="s">
        <v>0</v>
      </c>
      <c r="P117" t="s">
        <v>147</v>
      </c>
      <c r="Q117" s="5">
        <v>3</v>
      </c>
      <c r="R117" s="4">
        <v>71.7</v>
      </c>
      <c r="S117" s="5">
        <v>1</v>
      </c>
      <c r="T117" s="4">
        <v>215.1</v>
      </c>
      <c r="U117" s="5">
        <v>3</v>
      </c>
      <c r="V117" s="4">
        <v>215.1</v>
      </c>
      <c r="W117" s="5">
        <v>3</v>
      </c>
      <c r="X117" s="4">
        <v>215.1</v>
      </c>
      <c r="Y117" s="4">
        <f t="shared" si="2"/>
        <v>0</v>
      </c>
      <c r="Z117" t="s">
        <v>0</v>
      </c>
      <c r="AA117" t="s">
        <v>2</v>
      </c>
      <c r="AB117" t="s">
        <v>12</v>
      </c>
      <c r="AC117">
        <f>_xlfn.XLOOKUP(AB117,'[1]GST Codes'!$A:$A,'[1]GST Codes'!$C:$C,0,0)</f>
        <v>18</v>
      </c>
      <c r="AD117">
        <f t="shared" si="3"/>
        <v>0</v>
      </c>
      <c r="AE117" t="s">
        <v>13</v>
      </c>
      <c r="AF117" t="s">
        <v>0</v>
      </c>
      <c r="AG117" t="s">
        <v>14</v>
      </c>
      <c r="AH117" t="s">
        <v>15</v>
      </c>
      <c r="AI117" t="s">
        <v>96</v>
      </c>
      <c r="AJ117" t="s">
        <v>17</v>
      </c>
      <c r="AK117" t="s">
        <v>18</v>
      </c>
      <c r="AL117" t="s">
        <v>148</v>
      </c>
      <c r="AM117" t="s">
        <v>149</v>
      </c>
      <c r="AN117" t="s">
        <v>0</v>
      </c>
      <c r="AO117" t="s">
        <v>0</v>
      </c>
      <c r="AP117" t="s">
        <v>0</v>
      </c>
      <c r="AQ117" s="5">
        <v>3</v>
      </c>
      <c r="AR117" t="s">
        <v>147</v>
      </c>
      <c r="AS117" t="s">
        <v>0</v>
      </c>
      <c r="AT117" t="s">
        <v>17</v>
      </c>
      <c r="AU117" s="4">
        <v>0</v>
      </c>
      <c r="AV117" s="4">
        <v>0</v>
      </c>
      <c r="AW117" s="4">
        <v>0</v>
      </c>
      <c r="AX117" s="4">
        <v>0</v>
      </c>
      <c r="AY117" s="5">
        <v>0</v>
      </c>
      <c r="AZ117" s="5">
        <v>0</v>
      </c>
      <c r="BA117" s="5">
        <v>0</v>
      </c>
      <c r="BB117" s="2"/>
      <c r="BC117" t="s">
        <v>0</v>
      </c>
      <c r="BD117" s="5">
        <v>1</v>
      </c>
      <c r="BE117" t="s">
        <v>0</v>
      </c>
      <c r="BF117" t="s">
        <v>230</v>
      </c>
      <c r="BG117" t="s">
        <v>17</v>
      </c>
      <c r="BH117" t="s">
        <v>0</v>
      </c>
      <c r="BI117" t="s">
        <v>147</v>
      </c>
      <c r="BJ117" t="s">
        <v>0</v>
      </c>
      <c r="BK117" t="s">
        <v>0</v>
      </c>
      <c r="BL117" s="5">
        <v>0</v>
      </c>
      <c r="BM117" t="s">
        <v>0</v>
      </c>
      <c r="BN117" t="s">
        <v>0</v>
      </c>
      <c r="BO117" t="s">
        <v>0</v>
      </c>
      <c r="BP117" t="s">
        <v>17</v>
      </c>
      <c r="BQ117" t="s">
        <v>0</v>
      </c>
      <c r="BR117" t="s">
        <v>17</v>
      </c>
      <c r="BS117" t="s">
        <v>17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</row>
    <row r="118" spans="1:80" x14ac:dyDescent="0.25">
      <c r="A118" t="s">
        <v>143</v>
      </c>
      <c r="B118" s="2">
        <v>46176</v>
      </c>
      <c r="C118" s="2"/>
      <c r="D118" s="2"/>
      <c r="E118" t="s">
        <v>2</v>
      </c>
      <c r="F118" t="s">
        <v>89</v>
      </c>
      <c r="G118" t="s">
        <v>0</v>
      </c>
      <c r="H118" t="s">
        <v>4</v>
      </c>
      <c r="I118" t="s">
        <v>144</v>
      </c>
      <c r="J118" t="s">
        <v>6</v>
      </c>
      <c r="K118" t="s">
        <v>231</v>
      </c>
      <c r="L118" t="s">
        <v>206</v>
      </c>
      <c r="M118" t="s">
        <v>207</v>
      </c>
      <c r="N118" t="s">
        <v>10</v>
      </c>
      <c r="O118" t="s">
        <v>0</v>
      </c>
      <c r="P118" t="s">
        <v>147</v>
      </c>
      <c r="Q118" s="5">
        <v>3</v>
      </c>
      <c r="R118" s="4">
        <v>271.2</v>
      </c>
      <c r="S118" s="5">
        <v>1</v>
      </c>
      <c r="T118" s="4">
        <v>813.6</v>
      </c>
      <c r="U118" s="5">
        <v>3</v>
      </c>
      <c r="V118" s="4">
        <v>813.6</v>
      </c>
      <c r="W118" s="5">
        <v>3</v>
      </c>
      <c r="X118" s="4">
        <v>813.6</v>
      </c>
      <c r="Y118" s="4">
        <f t="shared" si="2"/>
        <v>0</v>
      </c>
      <c r="Z118" t="s">
        <v>0</v>
      </c>
      <c r="AA118" t="s">
        <v>2</v>
      </c>
      <c r="AB118" t="s">
        <v>12</v>
      </c>
      <c r="AC118">
        <f>_xlfn.XLOOKUP(AB118,'[1]GST Codes'!$A:$A,'[1]GST Codes'!$C:$C,0,0)</f>
        <v>18</v>
      </c>
      <c r="AD118">
        <f t="shared" si="3"/>
        <v>0</v>
      </c>
      <c r="AE118" t="s">
        <v>13</v>
      </c>
      <c r="AF118" t="s">
        <v>0</v>
      </c>
      <c r="AG118" t="s">
        <v>14</v>
      </c>
      <c r="AH118" t="s">
        <v>15</v>
      </c>
      <c r="AI118" t="s">
        <v>96</v>
      </c>
      <c r="AJ118" t="s">
        <v>17</v>
      </c>
      <c r="AK118" t="s">
        <v>18</v>
      </c>
      <c r="AL118" t="s">
        <v>148</v>
      </c>
      <c r="AM118" t="s">
        <v>149</v>
      </c>
      <c r="AN118" t="s">
        <v>0</v>
      </c>
      <c r="AO118" t="s">
        <v>0</v>
      </c>
      <c r="AP118" t="s">
        <v>0</v>
      </c>
      <c r="AQ118" s="5">
        <v>3</v>
      </c>
      <c r="AR118" t="s">
        <v>147</v>
      </c>
      <c r="AS118" t="s">
        <v>0</v>
      </c>
      <c r="AT118" t="s">
        <v>17</v>
      </c>
      <c r="AU118" s="4">
        <v>0</v>
      </c>
      <c r="AV118" s="4">
        <v>0</v>
      </c>
      <c r="AW118" s="4">
        <v>0</v>
      </c>
      <c r="AX118" s="4">
        <v>0</v>
      </c>
      <c r="AY118" s="5">
        <v>0</v>
      </c>
      <c r="AZ118" s="5">
        <v>0</v>
      </c>
      <c r="BA118" s="5">
        <v>0</v>
      </c>
      <c r="BB118" s="2"/>
      <c r="BC118" t="s">
        <v>0</v>
      </c>
      <c r="BD118" s="5">
        <v>1</v>
      </c>
      <c r="BE118" t="s">
        <v>0</v>
      </c>
      <c r="BF118" t="s">
        <v>208</v>
      </c>
      <c r="BG118" t="s">
        <v>17</v>
      </c>
      <c r="BH118" t="s">
        <v>0</v>
      </c>
      <c r="BI118" t="s">
        <v>147</v>
      </c>
      <c r="BJ118" t="s">
        <v>0</v>
      </c>
      <c r="BK118" t="s">
        <v>0</v>
      </c>
      <c r="BL118" s="5">
        <v>0</v>
      </c>
      <c r="BM118" t="s">
        <v>0</v>
      </c>
      <c r="BN118" t="s">
        <v>0</v>
      </c>
      <c r="BO118" t="s">
        <v>0</v>
      </c>
      <c r="BP118" t="s">
        <v>17</v>
      </c>
      <c r="BQ118" t="s">
        <v>0</v>
      </c>
      <c r="BR118" t="s">
        <v>17</v>
      </c>
      <c r="BS118" t="s">
        <v>17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</row>
    <row r="119" spans="1:80" x14ac:dyDescent="0.25">
      <c r="A119" t="s">
        <v>143</v>
      </c>
      <c r="B119" s="2">
        <v>46176</v>
      </c>
      <c r="C119" s="2"/>
      <c r="D119" s="2"/>
      <c r="E119" t="s">
        <v>2</v>
      </c>
      <c r="F119" t="s">
        <v>89</v>
      </c>
      <c r="G119" t="s">
        <v>0</v>
      </c>
      <c r="H119" t="s">
        <v>4</v>
      </c>
      <c r="I119" t="s">
        <v>144</v>
      </c>
      <c r="J119" t="s">
        <v>6</v>
      </c>
      <c r="K119" t="s">
        <v>232</v>
      </c>
      <c r="L119" t="s">
        <v>210</v>
      </c>
      <c r="M119" t="s">
        <v>211</v>
      </c>
      <c r="N119" t="s">
        <v>10</v>
      </c>
      <c r="O119" t="s">
        <v>0</v>
      </c>
      <c r="P119" t="s">
        <v>147</v>
      </c>
      <c r="Q119" s="5">
        <v>1</v>
      </c>
      <c r="R119" s="4">
        <v>74.7</v>
      </c>
      <c r="S119" s="5">
        <v>1</v>
      </c>
      <c r="T119" s="4">
        <v>74.7</v>
      </c>
      <c r="U119" s="5">
        <v>1</v>
      </c>
      <c r="V119" s="4">
        <v>74.7</v>
      </c>
      <c r="W119" s="5">
        <v>1</v>
      </c>
      <c r="X119" s="4">
        <v>74.7</v>
      </c>
      <c r="Y119" s="4">
        <f t="shared" si="2"/>
        <v>0</v>
      </c>
      <c r="Z119" t="s">
        <v>0</v>
      </c>
      <c r="AA119" t="s">
        <v>2</v>
      </c>
      <c r="AB119" t="s">
        <v>12</v>
      </c>
      <c r="AC119">
        <f>_xlfn.XLOOKUP(AB119,'[1]GST Codes'!$A:$A,'[1]GST Codes'!$C:$C,0,0)</f>
        <v>18</v>
      </c>
      <c r="AD119">
        <f t="shared" si="3"/>
        <v>0</v>
      </c>
      <c r="AE119" t="s">
        <v>13</v>
      </c>
      <c r="AF119" t="s">
        <v>0</v>
      </c>
      <c r="AG119" t="s">
        <v>14</v>
      </c>
      <c r="AH119" t="s">
        <v>15</v>
      </c>
      <c r="AI119" t="s">
        <v>96</v>
      </c>
      <c r="AJ119" t="s">
        <v>17</v>
      </c>
      <c r="AK119" t="s">
        <v>18</v>
      </c>
      <c r="AL119" t="s">
        <v>148</v>
      </c>
      <c r="AM119" t="s">
        <v>149</v>
      </c>
      <c r="AN119" t="s">
        <v>0</v>
      </c>
      <c r="AO119" t="s">
        <v>0</v>
      </c>
      <c r="AP119" t="s">
        <v>0</v>
      </c>
      <c r="AQ119" s="5">
        <v>1</v>
      </c>
      <c r="AR119" t="s">
        <v>147</v>
      </c>
      <c r="AS119" t="s">
        <v>0</v>
      </c>
      <c r="AT119" t="s">
        <v>17</v>
      </c>
      <c r="AU119" s="4">
        <v>0</v>
      </c>
      <c r="AV119" s="4">
        <v>0</v>
      </c>
      <c r="AW119" s="4">
        <v>0</v>
      </c>
      <c r="AX119" s="4">
        <v>0</v>
      </c>
      <c r="AY119" s="5">
        <v>0</v>
      </c>
      <c r="AZ119" s="5">
        <v>0</v>
      </c>
      <c r="BA119" s="5">
        <v>0</v>
      </c>
      <c r="BB119" s="2"/>
      <c r="BC119" t="s">
        <v>0</v>
      </c>
      <c r="BD119" s="5">
        <v>1</v>
      </c>
      <c r="BE119" t="s">
        <v>0</v>
      </c>
      <c r="BF119" t="s">
        <v>212</v>
      </c>
      <c r="BG119" t="s">
        <v>17</v>
      </c>
      <c r="BH119" t="s">
        <v>0</v>
      </c>
      <c r="BI119" t="s">
        <v>147</v>
      </c>
      <c r="BJ119" t="s">
        <v>0</v>
      </c>
      <c r="BK119" t="s">
        <v>0</v>
      </c>
      <c r="BL119" s="5">
        <v>0</v>
      </c>
      <c r="BM119" t="s">
        <v>0</v>
      </c>
      <c r="BN119" t="s">
        <v>0</v>
      </c>
      <c r="BO119" t="s">
        <v>0</v>
      </c>
      <c r="BP119" t="s">
        <v>17</v>
      </c>
      <c r="BQ119" t="s">
        <v>0</v>
      </c>
      <c r="BR119" t="s">
        <v>17</v>
      </c>
      <c r="BS119" t="s">
        <v>17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</row>
    <row r="120" spans="1:80" x14ac:dyDescent="0.25">
      <c r="A120" t="s">
        <v>143</v>
      </c>
      <c r="B120" s="2">
        <v>46176</v>
      </c>
      <c r="C120" s="2"/>
      <c r="D120" s="2"/>
      <c r="E120" t="s">
        <v>2</v>
      </c>
      <c r="F120" t="s">
        <v>89</v>
      </c>
      <c r="G120" t="s">
        <v>0</v>
      </c>
      <c r="H120" t="s">
        <v>4</v>
      </c>
      <c r="I120" t="s">
        <v>144</v>
      </c>
      <c r="J120" t="s">
        <v>6</v>
      </c>
      <c r="K120" t="s">
        <v>233</v>
      </c>
      <c r="L120" t="s">
        <v>234</v>
      </c>
      <c r="M120" t="s">
        <v>235</v>
      </c>
      <c r="N120" t="s">
        <v>10</v>
      </c>
      <c r="O120" t="s">
        <v>0</v>
      </c>
      <c r="P120" t="s">
        <v>147</v>
      </c>
      <c r="Q120" s="5">
        <v>1</v>
      </c>
      <c r="R120" s="4">
        <v>452.1</v>
      </c>
      <c r="S120" s="5">
        <v>1</v>
      </c>
      <c r="T120" s="4">
        <v>452.1</v>
      </c>
      <c r="U120" s="5">
        <v>1</v>
      </c>
      <c r="V120" s="4">
        <v>452.1</v>
      </c>
      <c r="W120" s="5">
        <v>1</v>
      </c>
      <c r="X120" s="4">
        <v>452.1</v>
      </c>
      <c r="Y120" s="4">
        <f t="shared" si="2"/>
        <v>0</v>
      </c>
      <c r="Z120" t="s">
        <v>0</v>
      </c>
      <c r="AA120" t="s">
        <v>2</v>
      </c>
      <c r="AB120" t="s">
        <v>12</v>
      </c>
      <c r="AC120">
        <f>_xlfn.XLOOKUP(AB120,'[1]GST Codes'!$A:$A,'[1]GST Codes'!$C:$C,0,0)</f>
        <v>18</v>
      </c>
      <c r="AD120">
        <f t="shared" si="3"/>
        <v>0</v>
      </c>
      <c r="AE120" t="s">
        <v>13</v>
      </c>
      <c r="AF120" t="s">
        <v>0</v>
      </c>
      <c r="AG120" t="s">
        <v>14</v>
      </c>
      <c r="AH120" t="s">
        <v>15</v>
      </c>
      <c r="AI120" t="s">
        <v>96</v>
      </c>
      <c r="AJ120" t="s">
        <v>17</v>
      </c>
      <c r="AK120" t="s">
        <v>18</v>
      </c>
      <c r="AL120" t="s">
        <v>148</v>
      </c>
      <c r="AM120" t="s">
        <v>149</v>
      </c>
      <c r="AN120" t="s">
        <v>0</v>
      </c>
      <c r="AO120" t="s">
        <v>0</v>
      </c>
      <c r="AP120" t="s">
        <v>0</v>
      </c>
      <c r="AQ120" s="5">
        <v>1</v>
      </c>
      <c r="AR120" t="s">
        <v>147</v>
      </c>
      <c r="AS120" t="s">
        <v>0</v>
      </c>
      <c r="AT120" t="s">
        <v>17</v>
      </c>
      <c r="AU120" s="4">
        <v>0</v>
      </c>
      <c r="AV120" s="4">
        <v>0</v>
      </c>
      <c r="AW120" s="4">
        <v>0</v>
      </c>
      <c r="AX120" s="4">
        <v>0</v>
      </c>
      <c r="AY120" s="5">
        <v>0</v>
      </c>
      <c r="AZ120" s="5">
        <v>0</v>
      </c>
      <c r="BA120" s="5">
        <v>0</v>
      </c>
      <c r="BB120" s="2"/>
      <c r="BC120" t="s">
        <v>0</v>
      </c>
      <c r="BD120" s="5">
        <v>1</v>
      </c>
      <c r="BE120" t="s">
        <v>0</v>
      </c>
      <c r="BF120" t="s">
        <v>236</v>
      </c>
      <c r="BG120" t="s">
        <v>17</v>
      </c>
      <c r="BH120" t="s">
        <v>0</v>
      </c>
      <c r="BI120" t="s">
        <v>147</v>
      </c>
      <c r="BJ120" t="s">
        <v>0</v>
      </c>
      <c r="BK120" t="s">
        <v>0</v>
      </c>
      <c r="BL120" s="5">
        <v>0</v>
      </c>
      <c r="BM120" t="s">
        <v>0</v>
      </c>
      <c r="BN120" t="s">
        <v>0</v>
      </c>
      <c r="BO120" t="s">
        <v>0</v>
      </c>
      <c r="BP120" t="s">
        <v>17</v>
      </c>
      <c r="BQ120" t="s">
        <v>0</v>
      </c>
      <c r="BR120" t="s">
        <v>17</v>
      </c>
      <c r="BS120" t="s">
        <v>17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</row>
    <row r="121" spans="1:80" x14ac:dyDescent="0.25">
      <c r="A121" t="s">
        <v>143</v>
      </c>
      <c r="B121" s="2">
        <v>46176</v>
      </c>
      <c r="C121" s="2"/>
      <c r="D121" s="2"/>
      <c r="E121" t="s">
        <v>2</v>
      </c>
      <c r="F121" t="s">
        <v>89</v>
      </c>
      <c r="G121" t="s">
        <v>0</v>
      </c>
      <c r="H121" t="s">
        <v>4</v>
      </c>
      <c r="I121" t="s">
        <v>144</v>
      </c>
      <c r="J121" t="s">
        <v>6</v>
      </c>
      <c r="K121" t="s">
        <v>237</v>
      </c>
      <c r="L121" t="s">
        <v>159</v>
      </c>
      <c r="M121" t="s">
        <v>160</v>
      </c>
      <c r="N121" t="s">
        <v>10</v>
      </c>
      <c r="O121" t="s">
        <v>0</v>
      </c>
      <c r="P121" t="s">
        <v>147</v>
      </c>
      <c r="Q121" s="5">
        <v>7</v>
      </c>
      <c r="R121" s="4">
        <v>57.4</v>
      </c>
      <c r="S121" s="5">
        <v>1</v>
      </c>
      <c r="T121" s="4">
        <v>401.8</v>
      </c>
      <c r="U121" s="5">
        <v>7</v>
      </c>
      <c r="V121" s="4">
        <v>401.8</v>
      </c>
      <c r="W121" s="5">
        <v>7</v>
      </c>
      <c r="X121" s="4">
        <v>401.8</v>
      </c>
      <c r="Y121" s="4">
        <f t="shared" si="2"/>
        <v>0</v>
      </c>
      <c r="Z121" t="s">
        <v>0</v>
      </c>
      <c r="AA121" t="s">
        <v>2</v>
      </c>
      <c r="AB121" t="s">
        <v>12</v>
      </c>
      <c r="AC121">
        <f>_xlfn.XLOOKUP(AB121,'[1]GST Codes'!$A:$A,'[1]GST Codes'!$C:$C,0,0)</f>
        <v>18</v>
      </c>
      <c r="AD121">
        <f t="shared" si="3"/>
        <v>0</v>
      </c>
      <c r="AE121" t="s">
        <v>13</v>
      </c>
      <c r="AF121" t="s">
        <v>0</v>
      </c>
      <c r="AG121" t="s">
        <v>14</v>
      </c>
      <c r="AH121" t="s">
        <v>15</v>
      </c>
      <c r="AI121" t="s">
        <v>96</v>
      </c>
      <c r="AJ121" t="s">
        <v>17</v>
      </c>
      <c r="AK121" t="s">
        <v>18</v>
      </c>
      <c r="AL121" t="s">
        <v>148</v>
      </c>
      <c r="AM121" t="s">
        <v>149</v>
      </c>
      <c r="AN121" t="s">
        <v>0</v>
      </c>
      <c r="AO121" t="s">
        <v>0</v>
      </c>
      <c r="AP121" t="s">
        <v>0</v>
      </c>
      <c r="AQ121" s="5">
        <v>7</v>
      </c>
      <c r="AR121" t="s">
        <v>147</v>
      </c>
      <c r="AS121" t="s">
        <v>0</v>
      </c>
      <c r="AT121" t="s">
        <v>17</v>
      </c>
      <c r="AU121" s="4">
        <v>0</v>
      </c>
      <c r="AV121" s="4">
        <v>0</v>
      </c>
      <c r="AW121" s="4">
        <v>0</v>
      </c>
      <c r="AX121" s="4">
        <v>0</v>
      </c>
      <c r="AY121" s="5">
        <v>0</v>
      </c>
      <c r="AZ121" s="5">
        <v>0</v>
      </c>
      <c r="BA121" s="5">
        <v>0</v>
      </c>
      <c r="BB121" s="2"/>
      <c r="BC121" t="s">
        <v>0</v>
      </c>
      <c r="BD121" s="5">
        <v>1</v>
      </c>
      <c r="BE121" t="s">
        <v>0</v>
      </c>
      <c r="BF121" t="s">
        <v>161</v>
      </c>
      <c r="BG121" t="s">
        <v>17</v>
      </c>
      <c r="BH121" t="s">
        <v>0</v>
      </c>
      <c r="BI121" t="s">
        <v>147</v>
      </c>
      <c r="BJ121" t="s">
        <v>0</v>
      </c>
      <c r="BK121" t="s">
        <v>0</v>
      </c>
      <c r="BL121" s="5">
        <v>0</v>
      </c>
      <c r="BM121" t="s">
        <v>0</v>
      </c>
      <c r="BN121" t="s">
        <v>0</v>
      </c>
      <c r="BO121" t="s">
        <v>0</v>
      </c>
      <c r="BP121" t="s">
        <v>17</v>
      </c>
      <c r="BQ121" t="s">
        <v>0</v>
      </c>
      <c r="BR121" t="s">
        <v>17</v>
      </c>
      <c r="BS121" t="s">
        <v>17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</row>
    <row r="122" spans="1:80" x14ac:dyDescent="0.25">
      <c r="A122" t="s">
        <v>143</v>
      </c>
      <c r="B122" s="2">
        <v>46176</v>
      </c>
      <c r="C122" s="2"/>
      <c r="D122" s="2"/>
      <c r="E122" t="s">
        <v>2</v>
      </c>
      <c r="F122" t="s">
        <v>89</v>
      </c>
      <c r="G122" t="s">
        <v>0</v>
      </c>
      <c r="H122" t="s">
        <v>4</v>
      </c>
      <c r="I122" t="s">
        <v>144</v>
      </c>
      <c r="J122" t="s">
        <v>6</v>
      </c>
      <c r="K122" t="s">
        <v>238</v>
      </c>
      <c r="L122" t="s">
        <v>162</v>
      </c>
      <c r="M122" t="s">
        <v>163</v>
      </c>
      <c r="N122" t="s">
        <v>10</v>
      </c>
      <c r="O122" t="s">
        <v>0</v>
      </c>
      <c r="P122" t="s">
        <v>147</v>
      </c>
      <c r="Q122" s="5">
        <v>3</v>
      </c>
      <c r="R122" s="4">
        <v>67.48</v>
      </c>
      <c r="S122" s="5">
        <v>1</v>
      </c>
      <c r="T122" s="4">
        <v>202.44</v>
      </c>
      <c r="U122" s="5">
        <v>3</v>
      </c>
      <c r="V122" s="4">
        <v>202.44</v>
      </c>
      <c r="W122" s="5">
        <v>3</v>
      </c>
      <c r="X122" s="4">
        <v>202.44</v>
      </c>
      <c r="Y122" s="4">
        <f t="shared" si="2"/>
        <v>0</v>
      </c>
      <c r="Z122" t="s">
        <v>0</v>
      </c>
      <c r="AA122" t="s">
        <v>2</v>
      </c>
      <c r="AB122" t="s">
        <v>12</v>
      </c>
      <c r="AC122">
        <f>_xlfn.XLOOKUP(AB122,'[1]GST Codes'!$A:$A,'[1]GST Codes'!$C:$C,0,0)</f>
        <v>18</v>
      </c>
      <c r="AD122">
        <f t="shared" si="3"/>
        <v>0</v>
      </c>
      <c r="AE122" t="s">
        <v>13</v>
      </c>
      <c r="AF122" t="s">
        <v>0</v>
      </c>
      <c r="AG122" t="s">
        <v>14</v>
      </c>
      <c r="AH122" t="s">
        <v>15</v>
      </c>
      <c r="AI122" t="s">
        <v>96</v>
      </c>
      <c r="AJ122" t="s">
        <v>17</v>
      </c>
      <c r="AK122" t="s">
        <v>18</v>
      </c>
      <c r="AL122" t="s">
        <v>148</v>
      </c>
      <c r="AM122" t="s">
        <v>149</v>
      </c>
      <c r="AN122" t="s">
        <v>0</v>
      </c>
      <c r="AO122" t="s">
        <v>0</v>
      </c>
      <c r="AP122" t="s">
        <v>0</v>
      </c>
      <c r="AQ122" s="5">
        <v>3</v>
      </c>
      <c r="AR122" t="s">
        <v>147</v>
      </c>
      <c r="AS122" t="s">
        <v>0</v>
      </c>
      <c r="AT122" t="s">
        <v>17</v>
      </c>
      <c r="AU122" s="4">
        <v>0</v>
      </c>
      <c r="AV122" s="4">
        <v>0</v>
      </c>
      <c r="AW122" s="4">
        <v>0</v>
      </c>
      <c r="AX122" s="4">
        <v>0</v>
      </c>
      <c r="AY122" s="5">
        <v>0</v>
      </c>
      <c r="AZ122" s="5">
        <v>0</v>
      </c>
      <c r="BA122" s="5">
        <v>0</v>
      </c>
      <c r="BB122" s="2"/>
      <c r="BC122" t="s">
        <v>0</v>
      </c>
      <c r="BD122" s="5">
        <v>1</v>
      </c>
      <c r="BE122" t="s">
        <v>0</v>
      </c>
      <c r="BF122" t="s">
        <v>164</v>
      </c>
      <c r="BG122" t="s">
        <v>17</v>
      </c>
      <c r="BH122" t="s">
        <v>0</v>
      </c>
      <c r="BI122" t="s">
        <v>147</v>
      </c>
      <c r="BJ122" t="s">
        <v>0</v>
      </c>
      <c r="BK122" t="s">
        <v>0</v>
      </c>
      <c r="BL122" s="5">
        <v>0</v>
      </c>
      <c r="BM122" t="s">
        <v>0</v>
      </c>
      <c r="BN122" t="s">
        <v>0</v>
      </c>
      <c r="BO122" t="s">
        <v>0</v>
      </c>
      <c r="BP122" t="s">
        <v>17</v>
      </c>
      <c r="BQ122" t="s">
        <v>0</v>
      </c>
      <c r="BR122" t="s">
        <v>17</v>
      </c>
      <c r="BS122" t="s">
        <v>17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</row>
    <row r="123" spans="1:80" x14ac:dyDescent="0.25">
      <c r="A123" t="s">
        <v>143</v>
      </c>
      <c r="B123" s="2">
        <v>46176</v>
      </c>
      <c r="C123" s="2"/>
      <c r="D123" s="2"/>
      <c r="E123" t="s">
        <v>2</v>
      </c>
      <c r="F123" t="s">
        <v>89</v>
      </c>
      <c r="G123" t="s">
        <v>0</v>
      </c>
      <c r="H123" t="s">
        <v>4</v>
      </c>
      <c r="I123" t="s">
        <v>144</v>
      </c>
      <c r="J123" t="s">
        <v>6</v>
      </c>
      <c r="K123" t="s">
        <v>239</v>
      </c>
      <c r="L123" t="s">
        <v>165</v>
      </c>
      <c r="M123" t="s">
        <v>166</v>
      </c>
      <c r="N123" t="s">
        <v>10</v>
      </c>
      <c r="O123" t="s">
        <v>0</v>
      </c>
      <c r="P123" t="s">
        <v>147</v>
      </c>
      <c r="Q123" s="5">
        <v>1</v>
      </c>
      <c r="R123" s="4">
        <v>83.72</v>
      </c>
      <c r="S123" s="5">
        <v>1</v>
      </c>
      <c r="T123" s="4">
        <v>83.72</v>
      </c>
      <c r="U123" s="5">
        <v>1</v>
      </c>
      <c r="V123" s="4">
        <v>83.72</v>
      </c>
      <c r="W123" s="5">
        <v>1</v>
      </c>
      <c r="X123" s="4">
        <v>83.72</v>
      </c>
      <c r="Y123" s="4">
        <f t="shared" si="2"/>
        <v>0</v>
      </c>
      <c r="Z123" t="s">
        <v>0</v>
      </c>
      <c r="AA123" t="s">
        <v>2</v>
      </c>
      <c r="AB123" t="s">
        <v>12</v>
      </c>
      <c r="AC123">
        <f>_xlfn.XLOOKUP(AB123,'[1]GST Codes'!$A:$A,'[1]GST Codes'!$C:$C,0,0)</f>
        <v>18</v>
      </c>
      <c r="AD123">
        <f t="shared" si="3"/>
        <v>0</v>
      </c>
      <c r="AE123" t="s">
        <v>13</v>
      </c>
      <c r="AF123" t="s">
        <v>0</v>
      </c>
      <c r="AG123" t="s">
        <v>14</v>
      </c>
      <c r="AH123" t="s">
        <v>15</v>
      </c>
      <c r="AI123" t="s">
        <v>96</v>
      </c>
      <c r="AJ123" t="s">
        <v>17</v>
      </c>
      <c r="AK123" t="s">
        <v>18</v>
      </c>
      <c r="AL123" t="s">
        <v>148</v>
      </c>
      <c r="AM123" t="s">
        <v>149</v>
      </c>
      <c r="AN123" t="s">
        <v>0</v>
      </c>
      <c r="AO123" t="s">
        <v>0</v>
      </c>
      <c r="AP123" t="s">
        <v>0</v>
      </c>
      <c r="AQ123" s="5">
        <v>1</v>
      </c>
      <c r="AR123" t="s">
        <v>147</v>
      </c>
      <c r="AS123" t="s">
        <v>0</v>
      </c>
      <c r="AT123" t="s">
        <v>17</v>
      </c>
      <c r="AU123" s="4">
        <v>0</v>
      </c>
      <c r="AV123" s="4">
        <v>0</v>
      </c>
      <c r="AW123" s="4">
        <v>0</v>
      </c>
      <c r="AX123" s="4">
        <v>0</v>
      </c>
      <c r="AY123" s="5">
        <v>0</v>
      </c>
      <c r="AZ123" s="5">
        <v>0</v>
      </c>
      <c r="BA123" s="5">
        <v>0</v>
      </c>
      <c r="BB123" s="2"/>
      <c r="BC123" t="s">
        <v>0</v>
      </c>
      <c r="BD123" s="5">
        <v>1</v>
      </c>
      <c r="BE123" t="s">
        <v>0</v>
      </c>
      <c r="BF123" t="s">
        <v>167</v>
      </c>
      <c r="BG123" t="s">
        <v>17</v>
      </c>
      <c r="BH123" t="s">
        <v>0</v>
      </c>
      <c r="BI123" t="s">
        <v>147</v>
      </c>
      <c r="BJ123" t="s">
        <v>0</v>
      </c>
      <c r="BK123" t="s">
        <v>0</v>
      </c>
      <c r="BL123" s="5">
        <v>0</v>
      </c>
      <c r="BM123" t="s">
        <v>0</v>
      </c>
      <c r="BN123" t="s">
        <v>0</v>
      </c>
      <c r="BO123" t="s">
        <v>0</v>
      </c>
      <c r="BP123" t="s">
        <v>17</v>
      </c>
      <c r="BQ123" t="s">
        <v>0</v>
      </c>
      <c r="BR123" t="s">
        <v>17</v>
      </c>
      <c r="BS123" t="s">
        <v>17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</row>
    <row r="124" spans="1:80" x14ac:dyDescent="0.25">
      <c r="A124" t="s">
        <v>143</v>
      </c>
      <c r="B124" s="2">
        <v>46176</v>
      </c>
      <c r="C124" s="2"/>
      <c r="D124" s="2"/>
      <c r="E124" t="s">
        <v>2</v>
      </c>
      <c r="F124" t="s">
        <v>89</v>
      </c>
      <c r="G124" t="s">
        <v>0</v>
      </c>
      <c r="H124" t="s">
        <v>4</v>
      </c>
      <c r="I124" t="s">
        <v>144</v>
      </c>
      <c r="J124" t="s">
        <v>6</v>
      </c>
      <c r="K124" t="s">
        <v>240</v>
      </c>
      <c r="L124" t="s">
        <v>165</v>
      </c>
      <c r="M124" t="s">
        <v>169</v>
      </c>
      <c r="N124" t="s">
        <v>10</v>
      </c>
      <c r="O124" t="s">
        <v>0</v>
      </c>
      <c r="P124" t="s">
        <v>147</v>
      </c>
      <c r="Q124" s="5">
        <v>1</v>
      </c>
      <c r="R124" s="4">
        <v>109.76</v>
      </c>
      <c r="S124" s="5">
        <v>1</v>
      </c>
      <c r="T124" s="4">
        <v>109.76</v>
      </c>
      <c r="U124" s="5">
        <v>1</v>
      </c>
      <c r="V124" s="4">
        <v>109.76</v>
      </c>
      <c r="W124" s="5">
        <v>1</v>
      </c>
      <c r="X124" s="4">
        <v>109.76</v>
      </c>
      <c r="Y124" s="4">
        <f t="shared" si="2"/>
        <v>0</v>
      </c>
      <c r="Z124" t="s">
        <v>0</v>
      </c>
      <c r="AA124" t="s">
        <v>2</v>
      </c>
      <c r="AB124" t="s">
        <v>12</v>
      </c>
      <c r="AC124">
        <f>_xlfn.XLOOKUP(AB124,'[1]GST Codes'!$A:$A,'[1]GST Codes'!$C:$C,0,0)</f>
        <v>18</v>
      </c>
      <c r="AD124">
        <f t="shared" si="3"/>
        <v>0</v>
      </c>
      <c r="AE124" t="s">
        <v>13</v>
      </c>
      <c r="AF124" t="s">
        <v>0</v>
      </c>
      <c r="AG124" t="s">
        <v>14</v>
      </c>
      <c r="AH124" t="s">
        <v>15</v>
      </c>
      <c r="AI124" t="s">
        <v>96</v>
      </c>
      <c r="AJ124" t="s">
        <v>17</v>
      </c>
      <c r="AK124" t="s">
        <v>18</v>
      </c>
      <c r="AL124" t="s">
        <v>148</v>
      </c>
      <c r="AM124" t="s">
        <v>149</v>
      </c>
      <c r="AN124" t="s">
        <v>0</v>
      </c>
      <c r="AO124" t="s">
        <v>0</v>
      </c>
      <c r="AP124" t="s">
        <v>0</v>
      </c>
      <c r="AQ124" s="5">
        <v>1</v>
      </c>
      <c r="AR124" t="s">
        <v>147</v>
      </c>
      <c r="AS124" t="s">
        <v>0</v>
      </c>
      <c r="AT124" t="s">
        <v>17</v>
      </c>
      <c r="AU124" s="4">
        <v>0</v>
      </c>
      <c r="AV124" s="4">
        <v>0</v>
      </c>
      <c r="AW124" s="4">
        <v>0</v>
      </c>
      <c r="AX124" s="4">
        <v>0</v>
      </c>
      <c r="AY124" s="5">
        <v>0</v>
      </c>
      <c r="AZ124" s="5">
        <v>0</v>
      </c>
      <c r="BA124" s="5">
        <v>0</v>
      </c>
      <c r="BB124" s="2"/>
      <c r="BC124" t="s">
        <v>0</v>
      </c>
      <c r="BD124" s="5">
        <v>1</v>
      </c>
      <c r="BE124" t="s">
        <v>0</v>
      </c>
      <c r="BF124" t="s">
        <v>167</v>
      </c>
      <c r="BG124" t="s">
        <v>17</v>
      </c>
      <c r="BH124" t="s">
        <v>0</v>
      </c>
      <c r="BI124" t="s">
        <v>147</v>
      </c>
      <c r="BJ124" t="s">
        <v>0</v>
      </c>
      <c r="BK124" t="s">
        <v>0</v>
      </c>
      <c r="BL124" s="5">
        <v>0</v>
      </c>
      <c r="BM124" t="s">
        <v>0</v>
      </c>
      <c r="BN124" t="s">
        <v>0</v>
      </c>
      <c r="BO124" t="s">
        <v>0</v>
      </c>
      <c r="BP124" t="s">
        <v>17</v>
      </c>
      <c r="BQ124" t="s">
        <v>0</v>
      </c>
      <c r="BR124" t="s">
        <v>17</v>
      </c>
      <c r="BS124" t="s">
        <v>17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</row>
    <row r="125" spans="1:80" x14ac:dyDescent="0.25">
      <c r="A125" t="s">
        <v>143</v>
      </c>
      <c r="B125" s="2">
        <v>46176</v>
      </c>
      <c r="C125" s="2"/>
      <c r="D125" s="2"/>
      <c r="E125" t="s">
        <v>2</v>
      </c>
      <c r="F125" t="s">
        <v>89</v>
      </c>
      <c r="G125" t="s">
        <v>0</v>
      </c>
      <c r="H125" t="s">
        <v>4</v>
      </c>
      <c r="I125" t="s">
        <v>144</v>
      </c>
      <c r="J125" t="s">
        <v>6</v>
      </c>
      <c r="K125" t="s">
        <v>241</v>
      </c>
      <c r="L125" t="s">
        <v>174</v>
      </c>
      <c r="M125" t="s">
        <v>175</v>
      </c>
      <c r="N125" t="s">
        <v>10</v>
      </c>
      <c r="O125" t="s">
        <v>0</v>
      </c>
      <c r="P125" t="s">
        <v>147</v>
      </c>
      <c r="Q125" s="5">
        <v>11</v>
      </c>
      <c r="R125" s="4">
        <v>59.08</v>
      </c>
      <c r="S125" s="5">
        <v>1</v>
      </c>
      <c r="T125" s="4">
        <v>649.88</v>
      </c>
      <c r="U125" s="5">
        <v>11</v>
      </c>
      <c r="V125" s="4">
        <v>649.88</v>
      </c>
      <c r="W125" s="5">
        <v>11</v>
      </c>
      <c r="X125" s="4">
        <v>649.88</v>
      </c>
      <c r="Y125" s="4">
        <f t="shared" si="2"/>
        <v>0</v>
      </c>
      <c r="Z125" t="s">
        <v>0</v>
      </c>
      <c r="AA125" t="s">
        <v>2</v>
      </c>
      <c r="AB125" t="s">
        <v>12</v>
      </c>
      <c r="AC125">
        <f>_xlfn.XLOOKUP(AB125,'[1]GST Codes'!$A:$A,'[1]GST Codes'!$C:$C,0,0)</f>
        <v>18</v>
      </c>
      <c r="AD125">
        <f t="shared" si="3"/>
        <v>0</v>
      </c>
      <c r="AE125" t="s">
        <v>13</v>
      </c>
      <c r="AF125" t="s">
        <v>0</v>
      </c>
      <c r="AG125" t="s">
        <v>14</v>
      </c>
      <c r="AH125" t="s">
        <v>15</v>
      </c>
      <c r="AI125" t="s">
        <v>96</v>
      </c>
      <c r="AJ125" t="s">
        <v>17</v>
      </c>
      <c r="AK125" t="s">
        <v>18</v>
      </c>
      <c r="AL125" t="s">
        <v>148</v>
      </c>
      <c r="AM125" t="s">
        <v>149</v>
      </c>
      <c r="AN125" t="s">
        <v>0</v>
      </c>
      <c r="AO125" t="s">
        <v>0</v>
      </c>
      <c r="AP125" t="s">
        <v>0</v>
      </c>
      <c r="AQ125" s="5">
        <v>11</v>
      </c>
      <c r="AR125" t="s">
        <v>147</v>
      </c>
      <c r="AS125" t="s">
        <v>0</v>
      </c>
      <c r="AT125" t="s">
        <v>17</v>
      </c>
      <c r="AU125" s="4">
        <v>0</v>
      </c>
      <c r="AV125" s="4">
        <v>0</v>
      </c>
      <c r="AW125" s="4">
        <v>0</v>
      </c>
      <c r="AX125" s="4">
        <v>0</v>
      </c>
      <c r="AY125" s="5">
        <v>0</v>
      </c>
      <c r="AZ125" s="5">
        <v>0</v>
      </c>
      <c r="BA125" s="5">
        <v>0</v>
      </c>
      <c r="BB125" s="2"/>
      <c r="BC125" t="s">
        <v>0</v>
      </c>
      <c r="BD125" s="5">
        <v>1</v>
      </c>
      <c r="BE125" t="s">
        <v>0</v>
      </c>
      <c r="BF125" t="s">
        <v>176</v>
      </c>
      <c r="BG125" t="s">
        <v>17</v>
      </c>
      <c r="BH125" t="s">
        <v>0</v>
      </c>
      <c r="BI125" t="s">
        <v>147</v>
      </c>
      <c r="BJ125" t="s">
        <v>0</v>
      </c>
      <c r="BK125" t="s">
        <v>0</v>
      </c>
      <c r="BL125" s="5">
        <v>0</v>
      </c>
      <c r="BM125" t="s">
        <v>0</v>
      </c>
      <c r="BN125" t="s">
        <v>0</v>
      </c>
      <c r="BO125" t="s">
        <v>0</v>
      </c>
      <c r="BP125" t="s">
        <v>17</v>
      </c>
      <c r="BQ125" t="s">
        <v>0</v>
      </c>
      <c r="BR125" t="s">
        <v>17</v>
      </c>
      <c r="BS125" t="s">
        <v>17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</row>
    <row r="126" spans="1:80" x14ac:dyDescent="0.25">
      <c r="A126" t="s">
        <v>143</v>
      </c>
      <c r="B126" s="2">
        <v>46176</v>
      </c>
      <c r="C126" s="2"/>
      <c r="D126" s="2"/>
      <c r="E126" t="s">
        <v>2</v>
      </c>
      <c r="F126" t="s">
        <v>89</v>
      </c>
      <c r="G126" t="s">
        <v>0</v>
      </c>
      <c r="H126" t="s">
        <v>4</v>
      </c>
      <c r="I126" t="s">
        <v>144</v>
      </c>
      <c r="J126" t="s">
        <v>6</v>
      </c>
      <c r="K126" t="s">
        <v>242</v>
      </c>
      <c r="L126" t="s">
        <v>178</v>
      </c>
      <c r="M126" t="s">
        <v>179</v>
      </c>
      <c r="N126" t="s">
        <v>10</v>
      </c>
      <c r="O126" t="s">
        <v>0</v>
      </c>
      <c r="P126" t="s">
        <v>147</v>
      </c>
      <c r="Q126" s="5">
        <v>4</v>
      </c>
      <c r="R126" s="4">
        <v>99.68</v>
      </c>
      <c r="S126" s="5">
        <v>1</v>
      </c>
      <c r="T126" s="4">
        <v>398.72</v>
      </c>
      <c r="U126" s="5">
        <v>4</v>
      </c>
      <c r="V126" s="4">
        <v>398.72</v>
      </c>
      <c r="W126" s="5">
        <v>4</v>
      </c>
      <c r="X126" s="4">
        <v>398.72</v>
      </c>
      <c r="Y126" s="4">
        <f t="shared" si="2"/>
        <v>0</v>
      </c>
      <c r="Z126" t="s">
        <v>0</v>
      </c>
      <c r="AA126" t="s">
        <v>2</v>
      </c>
      <c r="AB126" t="s">
        <v>12</v>
      </c>
      <c r="AC126">
        <f>_xlfn.XLOOKUP(AB126,'[1]GST Codes'!$A:$A,'[1]GST Codes'!$C:$C,0,0)</f>
        <v>18</v>
      </c>
      <c r="AD126">
        <f t="shared" si="3"/>
        <v>0</v>
      </c>
      <c r="AE126" t="s">
        <v>13</v>
      </c>
      <c r="AF126" t="s">
        <v>0</v>
      </c>
      <c r="AG126" t="s">
        <v>14</v>
      </c>
      <c r="AH126" t="s">
        <v>15</v>
      </c>
      <c r="AI126" t="s">
        <v>96</v>
      </c>
      <c r="AJ126" t="s">
        <v>17</v>
      </c>
      <c r="AK126" t="s">
        <v>18</v>
      </c>
      <c r="AL126" t="s">
        <v>148</v>
      </c>
      <c r="AM126" t="s">
        <v>149</v>
      </c>
      <c r="AN126" t="s">
        <v>0</v>
      </c>
      <c r="AO126" t="s">
        <v>0</v>
      </c>
      <c r="AP126" t="s">
        <v>0</v>
      </c>
      <c r="AQ126" s="5">
        <v>4</v>
      </c>
      <c r="AR126" t="s">
        <v>147</v>
      </c>
      <c r="AS126" t="s">
        <v>0</v>
      </c>
      <c r="AT126" t="s">
        <v>17</v>
      </c>
      <c r="AU126" s="4">
        <v>0</v>
      </c>
      <c r="AV126" s="4">
        <v>0</v>
      </c>
      <c r="AW126" s="4">
        <v>0</v>
      </c>
      <c r="AX126" s="4">
        <v>0</v>
      </c>
      <c r="AY126" s="5">
        <v>0</v>
      </c>
      <c r="AZ126" s="5">
        <v>0</v>
      </c>
      <c r="BA126" s="5">
        <v>0</v>
      </c>
      <c r="BB126" s="2"/>
      <c r="BC126" t="s">
        <v>0</v>
      </c>
      <c r="BD126" s="5">
        <v>1</v>
      </c>
      <c r="BE126" t="s">
        <v>0</v>
      </c>
      <c r="BF126" t="s">
        <v>180</v>
      </c>
      <c r="BG126" t="s">
        <v>17</v>
      </c>
      <c r="BH126" t="s">
        <v>0</v>
      </c>
      <c r="BI126" t="s">
        <v>147</v>
      </c>
      <c r="BJ126" t="s">
        <v>0</v>
      </c>
      <c r="BK126" t="s">
        <v>0</v>
      </c>
      <c r="BL126" s="5">
        <v>0</v>
      </c>
      <c r="BM126" t="s">
        <v>0</v>
      </c>
      <c r="BN126" t="s">
        <v>0</v>
      </c>
      <c r="BO126" t="s">
        <v>0</v>
      </c>
      <c r="BP126" t="s">
        <v>17</v>
      </c>
      <c r="BQ126" t="s">
        <v>0</v>
      </c>
      <c r="BR126" t="s">
        <v>17</v>
      </c>
      <c r="BS126" t="s">
        <v>17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</row>
    <row r="127" spans="1:80" x14ac:dyDescent="0.25">
      <c r="A127" t="s">
        <v>143</v>
      </c>
      <c r="B127" s="2">
        <v>46176</v>
      </c>
      <c r="C127" s="2"/>
      <c r="D127" s="2"/>
      <c r="E127" t="s">
        <v>2</v>
      </c>
      <c r="F127" t="s">
        <v>89</v>
      </c>
      <c r="G127" t="s">
        <v>0</v>
      </c>
      <c r="H127" t="s">
        <v>4</v>
      </c>
      <c r="I127" t="s">
        <v>144</v>
      </c>
      <c r="J127" t="s">
        <v>6</v>
      </c>
      <c r="K127" t="s">
        <v>243</v>
      </c>
      <c r="L127" t="s">
        <v>182</v>
      </c>
      <c r="M127" t="s">
        <v>183</v>
      </c>
      <c r="N127" t="s">
        <v>10</v>
      </c>
      <c r="O127" t="s">
        <v>0</v>
      </c>
      <c r="P127" t="s">
        <v>147</v>
      </c>
      <c r="Q127" s="5">
        <v>4</v>
      </c>
      <c r="R127" s="4">
        <v>92.12</v>
      </c>
      <c r="S127" s="5">
        <v>1</v>
      </c>
      <c r="T127" s="4">
        <v>368.48</v>
      </c>
      <c r="U127" s="5">
        <v>4</v>
      </c>
      <c r="V127" s="4">
        <v>368.48</v>
      </c>
      <c r="W127" s="5">
        <v>4</v>
      </c>
      <c r="X127" s="4">
        <v>368.48</v>
      </c>
      <c r="Y127" s="4">
        <f t="shared" si="2"/>
        <v>0</v>
      </c>
      <c r="Z127" t="s">
        <v>0</v>
      </c>
      <c r="AA127" t="s">
        <v>2</v>
      </c>
      <c r="AB127" t="s">
        <v>12</v>
      </c>
      <c r="AC127">
        <f>_xlfn.XLOOKUP(AB127,'[1]GST Codes'!$A:$A,'[1]GST Codes'!$C:$C,0,0)</f>
        <v>18</v>
      </c>
      <c r="AD127">
        <f t="shared" si="3"/>
        <v>0</v>
      </c>
      <c r="AE127" t="s">
        <v>13</v>
      </c>
      <c r="AF127" t="s">
        <v>0</v>
      </c>
      <c r="AG127" t="s">
        <v>14</v>
      </c>
      <c r="AH127" t="s">
        <v>15</v>
      </c>
      <c r="AI127" t="s">
        <v>96</v>
      </c>
      <c r="AJ127" t="s">
        <v>17</v>
      </c>
      <c r="AK127" t="s">
        <v>18</v>
      </c>
      <c r="AL127" t="s">
        <v>148</v>
      </c>
      <c r="AM127" t="s">
        <v>149</v>
      </c>
      <c r="AN127" t="s">
        <v>0</v>
      </c>
      <c r="AO127" t="s">
        <v>0</v>
      </c>
      <c r="AP127" t="s">
        <v>0</v>
      </c>
      <c r="AQ127" s="5">
        <v>4</v>
      </c>
      <c r="AR127" t="s">
        <v>147</v>
      </c>
      <c r="AS127" t="s">
        <v>0</v>
      </c>
      <c r="AT127" t="s">
        <v>17</v>
      </c>
      <c r="AU127" s="4">
        <v>0</v>
      </c>
      <c r="AV127" s="4">
        <v>0</v>
      </c>
      <c r="AW127" s="4">
        <v>0</v>
      </c>
      <c r="AX127" s="4">
        <v>0</v>
      </c>
      <c r="AY127" s="5">
        <v>0</v>
      </c>
      <c r="AZ127" s="5">
        <v>0</v>
      </c>
      <c r="BA127" s="5">
        <v>0</v>
      </c>
      <c r="BB127" s="2"/>
      <c r="BC127" t="s">
        <v>0</v>
      </c>
      <c r="BD127" s="5">
        <v>1</v>
      </c>
      <c r="BE127" t="s">
        <v>0</v>
      </c>
      <c r="BF127" t="s">
        <v>184</v>
      </c>
      <c r="BG127" t="s">
        <v>17</v>
      </c>
      <c r="BH127" t="s">
        <v>0</v>
      </c>
      <c r="BI127" t="s">
        <v>147</v>
      </c>
      <c r="BJ127" t="s">
        <v>0</v>
      </c>
      <c r="BK127" t="s">
        <v>0</v>
      </c>
      <c r="BL127" s="5">
        <v>0</v>
      </c>
      <c r="BM127" t="s">
        <v>0</v>
      </c>
      <c r="BN127" t="s">
        <v>0</v>
      </c>
      <c r="BO127" t="s">
        <v>0</v>
      </c>
      <c r="BP127" t="s">
        <v>17</v>
      </c>
      <c r="BQ127" t="s">
        <v>0</v>
      </c>
      <c r="BR127" t="s">
        <v>17</v>
      </c>
      <c r="BS127" t="s">
        <v>17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</row>
    <row r="128" spans="1:80" x14ac:dyDescent="0.25">
      <c r="A128" t="s">
        <v>143</v>
      </c>
      <c r="B128" s="2">
        <v>46176</v>
      </c>
      <c r="C128" s="2"/>
      <c r="D128" s="2"/>
      <c r="E128" t="s">
        <v>2</v>
      </c>
      <c r="F128" t="s">
        <v>89</v>
      </c>
      <c r="G128" t="s">
        <v>0</v>
      </c>
      <c r="H128" t="s">
        <v>4</v>
      </c>
      <c r="I128" t="s">
        <v>144</v>
      </c>
      <c r="J128" t="s">
        <v>6</v>
      </c>
      <c r="K128" t="s">
        <v>244</v>
      </c>
      <c r="L128" t="s">
        <v>186</v>
      </c>
      <c r="M128" t="s">
        <v>187</v>
      </c>
      <c r="N128" t="s">
        <v>10</v>
      </c>
      <c r="O128" t="s">
        <v>0</v>
      </c>
      <c r="P128" t="s">
        <v>147</v>
      </c>
      <c r="Q128" s="5">
        <v>4</v>
      </c>
      <c r="R128" s="4">
        <v>147.56</v>
      </c>
      <c r="S128" s="5">
        <v>1</v>
      </c>
      <c r="T128" s="4">
        <v>590.24</v>
      </c>
      <c r="U128" s="5">
        <v>4</v>
      </c>
      <c r="V128" s="4">
        <v>590.24</v>
      </c>
      <c r="W128" s="5">
        <v>4</v>
      </c>
      <c r="X128" s="4">
        <v>590.24</v>
      </c>
      <c r="Y128" s="4">
        <f t="shared" si="2"/>
        <v>0</v>
      </c>
      <c r="Z128" t="s">
        <v>0</v>
      </c>
      <c r="AA128" t="s">
        <v>2</v>
      </c>
      <c r="AB128" t="s">
        <v>12</v>
      </c>
      <c r="AC128">
        <f>_xlfn.XLOOKUP(AB128,'[1]GST Codes'!$A:$A,'[1]GST Codes'!$C:$C,0,0)</f>
        <v>18</v>
      </c>
      <c r="AD128">
        <f t="shared" si="3"/>
        <v>0</v>
      </c>
      <c r="AE128" t="s">
        <v>13</v>
      </c>
      <c r="AF128" t="s">
        <v>0</v>
      </c>
      <c r="AG128" t="s">
        <v>14</v>
      </c>
      <c r="AH128" t="s">
        <v>15</v>
      </c>
      <c r="AI128" t="s">
        <v>96</v>
      </c>
      <c r="AJ128" t="s">
        <v>17</v>
      </c>
      <c r="AK128" t="s">
        <v>18</v>
      </c>
      <c r="AL128" t="s">
        <v>148</v>
      </c>
      <c r="AM128" t="s">
        <v>149</v>
      </c>
      <c r="AN128" t="s">
        <v>0</v>
      </c>
      <c r="AO128" t="s">
        <v>0</v>
      </c>
      <c r="AP128" t="s">
        <v>0</v>
      </c>
      <c r="AQ128" s="5">
        <v>4</v>
      </c>
      <c r="AR128" t="s">
        <v>147</v>
      </c>
      <c r="AS128" t="s">
        <v>0</v>
      </c>
      <c r="AT128" t="s">
        <v>17</v>
      </c>
      <c r="AU128" s="4">
        <v>0</v>
      </c>
      <c r="AV128" s="4">
        <v>0</v>
      </c>
      <c r="AW128" s="4">
        <v>0</v>
      </c>
      <c r="AX128" s="4">
        <v>0</v>
      </c>
      <c r="AY128" s="5">
        <v>0</v>
      </c>
      <c r="AZ128" s="5">
        <v>0</v>
      </c>
      <c r="BA128" s="5">
        <v>0</v>
      </c>
      <c r="BB128" s="2"/>
      <c r="BC128" t="s">
        <v>0</v>
      </c>
      <c r="BD128" s="5">
        <v>1</v>
      </c>
      <c r="BE128" t="s">
        <v>0</v>
      </c>
      <c r="BF128" t="s">
        <v>188</v>
      </c>
      <c r="BG128" t="s">
        <v>17</v>
      </c>
      <c r="BH128" t="s">
        <v>0</v>
      </c>
      <c r="BI128" t="s">
        <v>147</v>
      </c>
      <c r="BJ128" t="s">
        <v>0</v>
      </c>
      <c r="BK128" t="s">
        <v>0</v>
      </c>
      <c r="BL128" s="5">
        <v>0</v>
      </c>
      <c r="BM128" t="s">
        <v>0</v>
      </c>
      <c r="BN128" t="s">
        <v>0</v>
      </c>
      <c r="BO128" t="s">
        <v>0</v>
      </c>
      <c r="BP128" t="s">
        <v>17</v>
      </c>
      <c r="BQ128" t="s">
        <v>0</v>
      </c>
      <c r="BR128" t="s">
        <v>17</v>
      </c>
      <c r="BS128" t="s">
        <v>17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</row>
    <row r="129" spans="1:80" x14ac:dyDescent="0.25">
      <c r="A129" t="s">
        <v>143</v>
      </c>
      <c r="B129" s="2">
        <v>46176</v>
      </c>
      <c r="C129" s="2"/>
      <c r="D129" s="2"/>
      <c r="E129" t="s">
        <v>2</v>
      </c>
      <c r="F129" t="s">
        <v>89</v>
      </c>
      <c r="G129" t="s">
        <v>0</v>
      </c>
      <c r="H129" t="s">
        <v>4</v>
      </c>
      <c r="I129" t="s">
        <v>144</v>
      </c>
      <c r="J129" t="s">
        <v>6</v>
      </c>
      <c r="K129" t="s">
        <v>245</v>
      </c>
      <c r="L129" t="s">
        <v>190</v>
      </c>
      <c r="M129" t="s">
        <v>191</v>
      </c>
      <c r="N129" t="s">
        <v>10</v>
      </c>
      <c r="O129" t="s">
        <v>0</v>
      </c>
      <c r="P129" t="s">
        <v>147</v>
      </c>
      <c r="Q129" s="5">
        <v>1</v>
      </c>
      <c r="R129" s="4">
        <v>352.24</v>
      </c>
      <c r="S129" s="5">
        <v>1</v>
      </c>
      <c r="T129" s="4">
        <v>352.24</v>
      </c>
      <c r="U129" s="5">
        <v>1</v>
      </c>
      <c r="V129" s="4">
        <v>352.24</v>
      </c>
      <c r="W129" s="5">
        <v>1</v>
      </c>
      <c r="X129" s="4">
        <v>352.24</v>
      </c>
      <c r="Y129" s="4">
        <f t="shared" si="2"/>
        <v>0</v>
      </c>
      <c r="Z129" t="s">
        <v>0</v>
      </c>
      <c r="AA129" t="s">
        <v>2</v>
      </c>
      <c r="AB129" t="s">
        <v>12</v>
      </c>
      <c r="AC129">
        <f>_xlfn.XLOOKUP(AB129,'[1]GST Codes'!$A:$A,'[1]GST Codes'!$C:$C,0,0)</f>
        <v>18</v>
      </c>
      <c r="AD129">
        <f t="shared" si="3"/>
        <v>0</v>
      </c>
      <c r="AE129" t="s">
        <v>13</v>
      </c>
      <c r="AF129" t="s">
        <v>0</v>
      </c>
      <c r="AG129" t="s">
        <v>14</v>
      </c>
      <c r="AH129" t="s">
        <v>15</v>
      </c>
      <c r="AI129" t="s">
        <v>96</v>
      </c>
      <c r="AJ129" t="s">
        <v>17</v>
      </c>
      <c r="AK129" t="s">
        <v>18</v>
      </c>
      <c r="AL129" t="s">
        <v>148</v>
      </c>
      <c r="AM129" t="s">
        <v>149</v>
      </c>
      <c r="AN129" t="s">
        <v>0</v>
      </c>
      <c r="AO129" t="s">
        <v>0</v>
      </c>
      <c r="AP129" t="s">
        <v>0</v>
      </c>
      <c r="AQ129" s="5">
        <v>1</v>
      </c>
      <c r="AR129" t="s">
        <v>147</v>
      </c>
      <c r="AS129" t="s">
        <v>0</v>
      </c>
      <c r="AT129" t="s">
        <v>17</v>
      </c>
      <c r="AU129" s="4">
        <v>0</v>
      </c>
      <c r="AV129" s="4">
        <v>0</v>
      </c>
      <c r="AW129" s="4">
        <v>0</v>
      </c>
      <c r="AX129" s="4">
        <v>0</v>
      </c>
      <c r="AY129" s="5">
        <v>0</v>
      </c>
      <c r="AZ129" s="5">
        <v>0</v>
      </c>
      <c r="BA129" s="5">
        <v>0</v>
      </c>
      <c r="BB129" s="2"/>
      <c r="BC129" t="s">
        <v>0</v>
      </c>
      <c r="BD129" s="5">
        <v>1</v>
      </c>
      <c r="BE129" t="s">
        <v>0</v>
      </c>
      <c r="BF129" t="s">
        <v>192</v>
      </c>
      <c r="BG129" t="s">
        <v>17</v>
      </c>
      <c r="BH129" t="s">
        <v>0</v>
      </c>
      <c r="BI129" t="s">
        <v>147</v>
      </c>
      <c r="BJ129" t="s">
        <v>0</v>
      </c>
      <c r="BK129" t="s">
        <v>0</v>
      </c>
      <c r="BL129" s="5">
        <v>0</v>
      </c>
      <c r="BM129" t="s">
        <v>0</v>
      </c>
      <c r="BN129" t="s">
        <v>0</v>
      </c>
      <c r="BO129" t="s">
        <v>0</v>
      </c>
      <c r="BP129" t="s">
        <v>17</v>
      </c>
      <c r="BQ129" t="s">
        <v>0</v>
      </c>
      <c r="BR129" t="s">
        <v>17</v>
      </c>
      <c r="BS129" t="s">
        <v>17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</row>
    <row r="130" spans="1:80" x14ac:dyDescent="0.25">
      <c r="A130" t="s">
        <v>143</v>
      </c>
      <c r="B130" s="2">
        <v>46176</v>
      </c>
      <c r="C130" s="2"/>
      <c r="D130" s="2"/>
      <c r="E130" t="s">
        <v>2</v>
      </c>
      <c r="F130" t="s">
        <v>89</v>
      </c>
      <c r="G130" t="s">
        <v>0</v>
      </c>
      <c r="H130" t="s">
        <v>4</v>
      </c>
      <c r="I130" t="s">
        <v>144</v>
      </c>
      <c r="J130" t="s">
        <v>6</v>
      </c>
      <c r="K130" t="s">
        <v>246</v>
      </c>
      <c r="L130" t="s">
        <v>194</v>
      </c>
      <c r="M130" t="s">
        <v>195</v>
      </c>
      <c r="N130" t="s">
        <v>10</v>
      </c>
      <c r="O130" t="s">
        <v>0</v>
      </c>
      <c r="P130" t="s">
        <v>147</v>
      </c>
      <c r="Q130" s="5">
        <v>2</v>
      </c>
      <c r="R130" s="4">
        <v>23.52</v>
      </c>
      <c r="S130" s="5">
        <v>1</v>
      </c>
      <c r="T130" s="4">
        <v>47.04</v>
      </c>
      <c r="U130" s="5">
        <v>2</v>
      </c>
      <c r="V130" s="4">
        <v>47.04</v>
      </c>
      <c r="W130" s="5">
        <v>2</v>
      </c>
      <c r="X130" s="4">
        <v>47.04</v>
      </c>
      <c r="Y130" s="4">
        <f t="shared" si="2"/>
        <v>0</v>
      </c>
      <c r="Z130" t="s">
        <v>0</v>
      </c>
      <c r="AA130" t="s">
        <v>2</v>
      </c>
      <c r="AB130" t="s">
        <v>12</v>
      </c>
      <c r="AC130">
        <f>_xlfn.XLOOKUP(AB130,'[1]GST Codes'!$A:$A,'[1]GST Codes'!$C:$C,0,0)</f>
        <v>18</v>
      </c>
      <c r="AD130">
        <f t="shared" si="3"/>
        <v>0</v>
      </c>
      <c r="AE130" t="s">
        <v>13</v>
      </c>
      <c r="AF130" t="s">
        <v>0</v>
      </c>
      <c r="AG130" t="s">
        <v>14</v>
      </c>
      <c r="AH130" t="s">
        <v>15</v>
      </c>
      <c r="AI130" t="s">
        <v>96</v>
      </c>
      <c r="AJ130" t="s">
        <v>17</v>
      </c>
      <c r="AK130" t="s">
        <v>18</v>
      </c>
      <c r="AL130" t="s">
        <v>148</v>
      </c>
      <c r="AM130" t="s">
        <v>149</v>
      </c>
      <c r="AN130" t="s">
        <v>0</v>
      </c>
      <c r="AO130" t="s">
        <v>0</v>
      </c>
      <c r="AP130" t="s">
        <v>0</v>
      </c>
      <c r="AQ130" s="5">
        <v>2</v>
      </c>
      <c r="AR130" t="s">
        <v>147</v>
      </c>
      <c r="AS130" t="s">
        <v>0</v>
      </c>
      <c r="AT130" t="s">
        <v>17</v>
      </c>
      <c r="AU130" s="4">
        <v>0</v>
      </c>
      <c r="AV130" s="4">
        <v>0</v>
      </c>
      <c r="AW130" s="4">
        <v>0</v>
      </c>
      <c r="AX130" s="4">
        <v>0</v>
      </c>
      <c r="AY130" s="5">
        <v>0</v>
      </c>
      <c r="AZ130" s="5">
        <v>0</v>
      </c>
      <c r="BA130" s="5">
        <v>0</v>
      </c>
      <c r="BB130" s="2"/>
      <c r="BC130" t="s">
        <v>0</v>
      </c>
      <c r="BD130" s="5">
        <v>1</v>
      </c>
      <c r="BE130" t="s">
        <v>0</v>
      </c>
      <c r="BF130" t="s">
        <v>196</v>
      </c>
      <c r="BG130" t="s">
        <v>17</v>
      </c>
      <c r="BH130" t="s">
        <v>0</v>
      </c>
      <c r="BI130" t="s">
        <v>147</v>
      </c>
      <c r="BJ130" t="s">
        <v>0</v>
      </c>
      <c r="BK130" t="s">
        <v>0</v>
      </c>
      <c r="BL130" s="5">
        <v>0</v>
      </c>
      <c r="BM130" t="s">
        <v>0</v>
      </c>
      <c r="BN130" t="s">
        <v>0</v>
      </c>
      <c r="BO130" t="s">
        <v>0</v>
      </c>
      <c r="BP130" t="s">
        <v>17</v>
      </c>
      <c r="BQ130" t="s">
        <v>0</v>
      </c>
      <c r="BR130" t="s">
        <v>17</v>
      </c>
      <c r="BS130" t="s">
        <v>17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</row>
    <row r="131" spans="1:80" x14ac:dyDescent="0.25">
      <c r="A131" t="s">
        <v>143</v>
      </c>
      <c r="B131" s="2">
        <v>46176</v>
      </c>
      <c r="C131" s="2"/>
      <c r="D131" s="2"/>
      <c r="E131" t="s">
        <v>2</v>
      </c>
      <c r="F131" t="s">
        <v>89</v>
      </c>
      <c r="G131" t="s">
        <v>0</v>
      </c>
      <c r="H131" t="s">
        <v>4</v>
      </c>
      <c r="I131" t="s">
        <v>144</v>
      </c>
      <c r="J131" t="s">
        <v>6</v>
      </c>
      <c r="K131" t="s">
        <v>247</v>
      </c>
      <c r="L131" t="s">
        <v>198</v>
      </c>
      <c r="M131" t="s">
        <v>199</v>
      </c>
      <c r="N131" t="s">
        <v>10</v>
      </c>
      <c r="O131" t="s">
        <v>0</v>
      </c>
      <c r="P131" t="s">
        <v>147</v>
      </c>
      <c r="Q131" s="5">
        <v>1</v>
      </c>
      <c r="R131" s="4">
        <v>224</v>
      </c>
      <c r="S131" s="5">
        <v>1</v>
      </c>
      <c r="T131" s="4">
        <v>224</v>
      </c>
      <c r="U131" s="5">
        <v>1</v>
      </c>
      <c r="V131" s="4">
        <v>224</v>
      </c>
      <c r="W131" s="5">
        <v>1</v>
      </c>
      <c r="X131" s="4">
        <v>224</v>
      </c>
      <c r="Y131" s="4">
        <f t="shared" ref="Y131:Y194" si="4">T131-V131</f>
        <v>0</v>
      </c>
      <c r="Z131" t="s">
        <v>0</v>
      </c>
      <c r="AA131" t="s">
        <v>2</v>
      </c>
      <c r="AB131" t="s">
        <v>12</v>
      </c>
      <c r="AC131">
        <f>_xlfn.XLOOKUP(AB131,'[1]GST Codes'!$A:$A,'[1]GST Codes'!$C:$C,0,0)</f>
        <v>18</v>
      </c>
      <c r="AD131">
        <f t="shared" ref="AD131:AD194" si="5">Y131+(Y131*AC131/100)</f>
        <v>0</v>
      </c>
      <c r="AE131" t="s">
        <v>13</v>
      </c>
      <c r="AF131" t="s">
        <v>0</v>
      </c>
      <c r="AG131" t="s">
        <v>14</v>
      </c>
      <c r="AH131" t="s">
        <v>15</v>
      </c>
      <c r="AI131" t="s">
        <v>96</v>
      </c>
      <c r="AJ131" t="s">
        <v>17</v>
      </c>
      <c r="AK131" t="s">
        <v>18</v>
      </c>
      <c r="AL131" t="s">
        <v>148</v>
      </c>
      <c r="AM131" t="s">
        <v>149</v>
      </c>
      <c r="AN131" t="s">
        <v>0</v>
      </c>
      <c r="AO131" t="s">
        <v>0</v>
      </c>
      <c r="AP131" t="s">
        <v>0</v>
      </c>
      <c r="AQ131" s="5">
        <v>1</v>
      </c>
      <c r="AR131" t="s">
        <v>147</v>
      </c>
      <c r="AS131" t="s">
        <v>0</v>
      </c>
      <c r="AT131" t="s">
        <v>17</v>
      </c>
      <c r="AU131" s="4">
        <v>0</v>
      </c>
      <c r="AV131" s="4">
        <v>0</v>
      </c>
      <c r="AW131" s="4">
        <v>0</v>
      </c>
      <c r="AX131" s="4">
        <v>0</v>
      </c>
      <c r="AY131" s="5">
        <v>0</v>
      </c>
      <c r="AZ131" s="5">
        <v>0</v>
      </c>
      <c r="BA131" s="5">
        <v>0</v>
      </c>
      <c r="BB131" s="2"/>
      <c r="BC131" t="s">
        <v>0</v>
      </c>
      <c r="BD131" s="5">
        <v>1</v>
      </c>
      <c r="BE131" t="s">
        <v>0</v>
      </c>
      <c r="BF131" t="s">
        <v>200</v>
      </c>
      <c r="BG131" t="s">
        <v>17</v>
      </c>
      <c r="BH131" t="s">
        <v>0</v>
      </c>
      <c r="BI131" t="s">
        <v>147</v>
      </c>
      <c r="BJ131" t="s">
        <v>0</v>
      </c>
      <c r="BK131" t="s">
        <v>0</v>
      </c>
      <c r="BL131" s="5">
        <v>0</v>
      </c>
      <c r="BM131" t="s">
        <v>0</v>
      </c>
      <c r="BN131" t="s">
        <v>0</v>
      </c>
      <c r="BO131" t="s">
        <v>0</v>
      </c>
      <c r="BP131" t="s">
        <v>17</v>
      </c>
      <c r="BQ131" t="s">
        <v>0</v>
      </c>
      <c r="BR131" t="s">
        <v>17</v>
      </c>
      <c r="BS131" t="s">
        <v>17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</row>
    <row r="132" spans="1:80" x14ac:dyDescent="0.25">
      <c r="A132" t="s">
        <v>143</v>
      </c>
      <c r="B132" s="2">
        <v>46176</v>
      </c>
      <c r="C132" s="2"/>
      <c r="D132" s="2"/>
      <c r="E132" t="s">
        <v>2</v>
      </c>
      <c r="F132" t="s">
        <v>89</v>
      </c>
      <c r="G132" t="s">
        <v>0</v>
      </c>
      <c r="H132" t="s">
        <v>4</v>
      </c>
      <c r="I132" t="s">
        <v>144</v>
      </c>
      <c r="J132" t="s">
        <v>6</v>
      </c>
      <c r="K132" t="s">
        <v>248</v>
      </c>
      <c r="L132" t="s">
        <v>202</v>
      </c>
      <c r="M132" t="s">
        <v>203</v>
      </c>
      <c r="N132" t="s">
        <v>10</v>
      </c>
      <c r="O132" t="s">
        <v>0</v>
      </c>
      <c r="P132" t="s">
        <v>147</v>
      </c>
      <c r="Q132" s="5">
        <v>4</v>
      </c>
      <c r="R132" s="4">
        <v>89.04</v>
      </c>
      <c r="S132" s="5">
        <v>1</v>
      </c>
      <c r="T132" s="4">
        <v>356.16</v>
      </c>
      <c r="U132" s="5">
        <v>4</v>
      </c>
      <c r="V132" s="4">
        <v>356.16</v>
      </c>
      <c r="W132" s="5">
        <v>4</v>
      </c>
      <c r="X132" s="4">
        <v>356.16</v>
      </c>
      <c r="Y132" s="4">
        <f t="shared" si="4"/>
        <v>0</v>
      </c>
      <c r="Z132" t="s">
        <v>0</v>
      </c>
      <c r="AA132" t="s">
        <v>2</v>
      </c>
      <c r="AB132" t="s">
        <v>12</v>
      </c>
      <c r="AC132">
        <f>_xlfn.XLOOKUP(AB132,'[1]GST Codes'!$A:$A,'[1]GST Codes'!$C:$C,0,0)</f>
        <v>18</v>
      </c>
      <c r="AD132">
        <f t="shared" si="5"/>
        <v>0</v>
      </c>
      <c r="AE132" t="s">
        <v>13</v>
      </c>
      <c r="AF132" t="s">
        <v>0</v>
      </c>
      <c r="AG132" t="s">
        <v>14</v>
      </c>
      <c r="AH132" t="s">
        <v>15</v>
      </c>
      <c r="AI132" t="s">
        <v>96</v>
      </c>
      <c r="AJ132" t="s">
        <v>17</v>
      </c>
      <c r="AK132" t="s">
        <v>18</v>
      </c>
      <c r="AL132" t="s">
        <v>148</v>
      </c>
      <c r="AM132" t="s">
        <v>149</v>
      </c>
      <c r="AN132" t="s">
        <v>0</v>
      </c>
      <c r="AO132" t="s">
        <v>0</v>
      </c>
      <c r="AP132" t="s">
        <v>0</v>
      </c>
      <c r="AQ132" s="5">
        <v>4</v>
      </c>
      <c r="AR132" t="s">
        <v>147</v>
      </c>
      <c r="AS132" t="s">
        <v>0</v>
      </c>
      <c r="AT132" t="s">
        <v>17</v>
      </c>
      <c r="AU132" s="4">
        <v>0</v>
      </c>
      <c r="AV132" s="4">
        <v>0</v>
      </c>
      <c r="AW132" s="4">
        <v>0</v>
      </c>
      <c r="AX132" s="4">
        <v>0</v>
      </c>
      <c r="AY132" s="5">
        <v>0</v>
      </c>
      <c r="AZ132" s="5">
        <v>0</v>
      </c>
      <c r="BA132" s="5">
        <v>0</v>
      </c>
      <c r="BB132" s="2"/>
      <c r="BC132" t="s">
        <v>0</v>
      </c>
      <c r="BD132" s="5">
        <v>1</v>
      </c>
      <c r="BE132" t="s">
        <v>0</v>
      </c>
      <c r="BF132" t="s">
        <v>204</v>
      </c>
      <c r="BG132" t="s">
        <v>17</v>
      </c>
      <c r="BH132" t="s">
        <v>0</v>
      </c>
      <c r="BI132" t="s">
        <v>147</v>
      </c>
      <c r="BJ132" t="s">
        <v>0</v>
      </c>
      <c r="BK132" t="s">
        <v>0</v>
      </c>
      <c r="BL132" s="5">
        <v>0</v>
      </c>
      <c r="BM132" t="s">
        <v>0</v>
      </c>
      <c r="BN132" t="s">
        <v>0</v>
      </c>
      <c r="BO132" t="s">
        <v>0</v>
      </c>
      <c r="BP132" t="s">
        <v>17</v>
      </c>
      <c r="BQ132" t="s">
        <v>0</v>
      </c>
      <c r="BR132" t="s">
        <v>17</v>
      </c>
      <c r="BS132" t="s">
        <v>17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</row>
    <row r="133" spans="1:80" x14ac:dyDescent="0.25">
      <c r="A133" t="s">
        <v>143</v>
      </c>
      <c r="B133" s="2">
        <v>46176</v>
      </c>
      <c r="C133" s="2"/>
      <c r="D133" s="2"/>
      <c r="E133" t="s">
        <v>2</v>
      </c>
      <c r="F133" t="s">
        <v>89</v>
      </c>
      <c r="G133" t="s">
        <v>0</v>
      </c>
      <c r="H133" t="s">
        <v>4</v>
      </c>
      <c r="I133" t="s">
        <v>144</v>
      </c>
      <c r="J133" t="s">
        <v>6</v>
      </c>
      <c r="K133" t="s">
        <v>249</v>
      </c>
      <c r="L133" t="s">
        <v>202</v>
      </c>
      <c r="M133" t="s">
        <v>250</v>
      </c>
      <c r="N133" t="s">
        <v>10</v>
      </c>
      <c r="O133" t="s">
        <v>0</v>
      </c>
      <c r="P133" t="s">
        <v>147</v>
      </c>
      <c r="Q133" s="5">
        <v>1</v>
      </c>
      <c r="R133" s="4">
        <v>5865</v>
      </c>
      <c r="S133" s="5">
        <v>1</v>
      </c>
      <c r="T133" s="4">
        <v>5865</v>
      </c>
      <c r="U133" s="5">
        <v>1</v>
      </c>
      <c r="V133" s="4">
        <v>5865</v>
      </c>
      <c r="W133" s="5">
        <v>1</v>
      </c>
      <c r="X133" s="4">
        <v>5865</v>
      </c>
      <c r="Y133" s="4">
        <f t="shared" si="4"/>
        <v>0</v>
      </c>
      <c r="Z133" t="s">
        <v>0</v>
      </c>
      <c r="AA133" t="s">
        <v>2</v>
      </c>
      <c r="AB133" t="s">
        <v>12</v>
      </c>
      <c r="AC133">
        <f>_xlfn.XLOOKUP(AB133,'[1]GST Codes'!$A:$A,'[1]GST Codes'!$C:$C,0,0)</f>
        <v>18</v>
      </c>
      <c r="AD133">
        <f t="shared" si="5"/>
        <v>0</v>
      </c>
      <c r="AE133" t="s">
        <v>13</v>
      </c>
      <c r="AF133" t="s">
        <v>0</v>
      </c>
      <c r="AG133" t="s">
        <v>14</v>
      </c>
      <c r="AH133" t="s">
        <v>15</v>
      </c>
      <c r="AI133" t="s">
        <v>96</v>
      </c>
      <c r="AJ133" t="s">
        <v>17</v>
      </c>
      <c r="AK133" t="s">
        <v>18</v>
      </c>
      <c r="AL133" t="s">
        <v>148</v>
      </c>
      <c r="AM133" t="s">
        <v>149</v>
      </c>
      <c r="AN133" t="s">
        <v>0</v>
      </c>
      <c r="AO133" t="s">
        <v>0</v>
      </c>
      <c r="AP133" t="s">
        <v>0</v>
      </c>
      <c r="AQ133" s="5">
        <v>1</v>
      </c>
      <c r="AR133" t="s">
        <v>147</v>
      </c>
      <c r="AS133" t="s">
        <v>0</v>
      </c>
      <c r="AT133" t="s">
        <v>17</v>
      </c>
      <c r="AU133" s="4">
        <v>0</v>
      </c>
      <c r="AV133" s="4">
        <v>0</v>
      </c>
      <c r="AW133" s="4">
        <v>0</v>
      </c>
      <c r="AX133" s="4">
        <v>0</v>
      </c>
      <c r="AY133" s="5">
        <v>0</v>
      </c>
      <c r="AZ133" s="5">
        <v>0</v>
      </c>
      <c r="BA133" s="5">
        <v>0</v>
      </c>
      <c r="BB133" s="2"/>
      <c r="BC133" t="s">
        <v>0</v>
      </c>
      <c r="BD133" s="5">
        <v>1</v>
      </c>
      <c r="BE133" t="s">
        <v>0</v>
      </c>
      <c r="BF133" t="s">
        <v>204</v>
      </c>
      <c r="BG133" t="s">
        <v>17</v>
      </c>
      <c r="BH133" t="s">
        <v>0</v>
      </c>
      <c r="BI133" t="s">
        <v>147</v>
      </c>
      <c r="BJ133" t="s">
        <v>0</v>
      </c>
      <c r="BK133" t="s">
        <v>0</v>
      </c>
      <c r="BL133" s="5">
        <v>0</v>
      </c>
      <c r="BM133" t="s">
        <v>0</v>
      </c>
      <c r="BN133" t="s">
        <v>0</v>
      </c>
      <c r="BO133" t="s">
        <v>0</v>
      </c>
      <c r="BP133" t="s">
        <v>17</v>
      </c>
      <c r="BQ133" t="s">
        <v>0</v>
      </c>
      <c r="BR133" t="s">
        <v>17</v>
      </c>
      <c r="BS133" t="s">
        <v>17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</row>
    <row r="134" spans="1:80" ht="13.95" customHeight="1" x14ac:dyDescent="0.25">
      <c r="A134" t="s">
        <v>251</v>
      </c>
      <c r="B134" s="2">
        <v>45330</v>
      </c>
      <c r="C134" s="2">
        <v>45677</v>
      </c>
      <c r="D134" s="2">
        <v>45736</v>
      </c>
      <c r="E134" t="s">
        <v>2</v>
      </c>
      <c r="F134" t="s">
        <v>82</v>
      </c>
      <c r="G134" t="s">
        <v>0</v>
      </c>
      <c r="H134" t="s">
        <v>4</v>
      </c>
      <c r="I134" t="s">
        <v>252</v>
      </c>
      <c r="J134" t="s">
        <v>6</v>
      </c>
      <c r="K134" t="s">
        <v>7</v>
      </c>
      <c r="L134" t="s">
        <v>253</v>
      </c>
      <c r="M134" t="s">
        <v>130</v>
      </c>
      <c r="N134" t="s">
        <v>10</v>
      </c>
      <c r="O134" t="s">
        <v>0</v>
      </c>
      <c r="P134" t="s">
        <v>102</v>
      </c>
      <c r="Q134" s="3">
        <v>99.98</v>
      </c>
      <c r="R134" s="4">
        <v>3743</v>
      </c>
      <c r="S134" s="5">
        <v>1</v>
      </c>
      <c r="T134" s="4">
        <v>374225.14</v>
      </c>
      <c r="U134" s="5">
        <v>0</v>
      </c>
      <c r="V134" s="4">
        <v>0</v>
      </c>
      <c r="W134" s="5">
        <v>0</v>
      </c>
      <c r="X134" s="4">
        <v>0</v>
      </c>
      <c r="Y134" s="4">
        <f t="shared" si="4"/>
        <v>374225.14</v>
      </c>
      <c r="Z134" s="6" t="s">
        <v>0</v>
      </c>
      <c r="AA134" t="s">
        <v>2</v>
      </c>
      <c r="AB134" t="s">
        <v>103</v>
      </c>
      <c r="AC134">
        <f>_xlfn.XLOOKUP(AB134,'[1]GST Codes'!$A:$A,'[1]GST Codes'!$C:$C,0,0)</f>
        <v>18</v>
      </c>
      <c r="AD134">
        <f t="shared" si="5"/>
        <v>441585.66520000005</v>
      </c>
      <c r="AE134" t="s">
        <v>13</v>
      </c>
      <c r="AF134" t="s">
        <v>0</v>
      </c>
      <c r="AG134" t="s">
        <v>14</v>
      </c>
      <c r="AH134" t="s">
        <v>50</v>
      </c>
      <c r="AI134" t="s">
        <v>16</v>
      </c>
      <c r="AJ134" t="s">
        <v>17</v>
      </c>
      <c r="AK134" t="s">
        <v>18</v>
      </c>
      <c r="AL134" t="s">
        <v>104</v>
      </c>
      <c r="AM134" t="s">
        <v>254</v>
      </c>
      <c r="AN134" t="s">
        <v>0</v>
      </c>
      <c r="AO134" t="s">
        <v>0</v>
      </c>
      <c r="AP134" t="s">
        <v>0</v>
      </c>
      <c r="AQ134" s="3">
        <v>99.98</v>
      </c>
      <c r="AR134" t="s">
        <v>102</v>
      </c>
      <c r="AS134" t="s">
        <v>0</v>
      </c>
      <c r="AT134" t="s">
        <v>17</v>
      </c>
      <c r="AU134" s="4">
        <v>0</v>
      </c>
      <c r="AV134" s="4">
        <v>0</v>
      </c>
      <c r="AW134" s="4">
        <v>0</v>
      </c>
      <c r="AX134" s="4">
        <v>0</v>
      </c>
      <c r="AY134" s="5">
        <v>0</v>
      </c>
      <c r="AZ134" s="5">
        <v>0</v>
      </c>
      <c r="BA134" s="5">
        <v>0</v>
      </c>
      <c r="BB134" s="2"/>
      <c r="BC134" t="s">
        <v>0</v>
      </c>
      <c r="BD134" s="5">
        <v>1</v>
      </c>
      <c r="BE134" t="s">
        <v>0</v>
      </c>
      <c r="BF134" t="s">
        <v>255</v>
      </c>
      <c r="BG134" t="s">
        <v>17</v>
      </c>
      <c r="BH134" t="s">
        <v>0</v>
      </c>
      <c r="BI134" t="s">
        <v>102</v>
      </c>
      <c r="BJ134" t="s">
        <v>0</v>
      </c>
      <c r="BK134" t="s">
        <v>0</v>
      </c>
      <c r="BL134" s="5">
        <v>0</v>
      </c>
      <c r="BM134" t="s">
        <v>0</v>
      </c>
      <c r="BN134" t="s">
        <v>0</v>
      </c>
      <c r="BO134" t="s">
        <v>0</v>
      </c>
      <c r="BP134" t="s">
        <v>17</v>
      </c>
      <c r="BQ134" t="s">
        <v>0</v>
      </c>
      <c r="BR134" t="s">
        <v>17</v>
      </c>
      <c r="BS134" t="s">
        <v>17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</row>
    <row r="135" spans="1:80" ht="13.95" customHeight="1" x14ac:dyDescent="0.25">
      <c r="A135" t="s">
        <v>251</v>
      </c>
      <c r="B135" s="2">
        <v>45330</v>
      </c>
      <c r="C135" s="2">
        <v>45677</v>
      </c>
      <c r="D135" s="2">
        <v>45736</v>
      </c>
      <c r="E135" t="s">
        <v>2</v>
      </c>
      <c r="F135" t="s">
        <v>82</v>
      </c>
      <c r="G135" t="s">
        <v>0</v>
      </c>
      <c r="H135" t="s">
        <v>4</v>
      </c>
      <c r="I135" t="s">
        <v>252</v>
      </c>
      <c r="J135" t="s">
        <v>6</v>
      </c>
      <c r="K135" t="s">
        <v>22</v>
      </c>
      <c r="L135" t="s">
        <v>256</v>
      </c>
      <c r="M135" t="s">
        <v>136</v>
      </c>
      <c r="N135" t="s">
        <v>10</v>
      </c>
      <c r="O135" t="s">
        <v>0</v>
      </c>
      <c r="P135" t="s">
        <v>102</v>
      </c>
      <c r="Q135" s="3">
        <v>2996.42</v>
      </c>
      <c r="R135" s="4">
        <v>4617.5</v>
      </c>
      <c r="S135" s="5">
        <v>1</v>
      </c>
      <c r="T135" s="4">
        <v>13835969.35</v>
      </c>
      <c r="U135" s="5">
        <v>0</v>
      </c>
      <c r="V135" s="4">
        <v>0</v>
      </c>
      <c r="W135" s="5">
        <v>0</v>
      </c>
      <c r="X135" s="4">
        <v>0</v>
      </c>
      <c r="Y135" s="4">
        <f t="shared" si="4"/>
        <v>13835969.35</v>
      </c>
      <c r="Z135" s="6" t="s">
        <v>0</v>
      </c>
      <c r="AA135" t="s">
        <v>2</v>
      </c>
      <c r="AB135" t="s">
        <v>103</v>
      </c>
      <c r="AC135">
        <f>_xlfn.XLOOKUP(AB135,'[1]GST Codes'!$A:$A,'[1]GST Codes'!$C:$C,0,0)</f>
        <v>18</v>
      </c>
      <c r="AD135">
        <f t="shared" si="5"/>
        <v>16326443.833000001</v>
      </c>
      <c r="AE135" t="s">
        <v>13</v>
      </c>
      <c r="AF135" t="s">
        <v>0</v>
      </c>
      <c r="AG135" t="s">
        <v>14</v>
      </c>
      <c r="AH135" t="s">
        <v>50</v>
      </c>
      <c r="AI135" t="s">
        <v>16</v>
      </c>
      <c r="AJ135" t="s">
        <v>17</v>
      </c>
      <c r="AK135" t="s">
        <v>18</v>
      </c>
      <c r="AL135" t="s">
        <v>104</v>
      </c>
      <c r="AM135" t="s">
        <v>254</v>
      </c>
      <c r="AN135" t="s">
        <v>0</v>
      </c>
      <c r="AO135" t="s">
        <v>0</v>
      </c>
      <c r="AP135" t="s">
        <v>0</v>
      </c>
      <c r="AQ135" s="3">
        <v>2996.42</v>
      </c>
      <c r="AR135" t="s">
        <v>102</v>
      </c>
      <c r="AS135" t="s">
        <v>0</v>
      </c>
      <c r="AT135" t="s">
        <v>17</v>
      </c>
      <c r="AU135" s="4">
        <v>0</v>
      </c>
      <c r="AV135" s="4">
        <v>0</v>
      </c>
      <c r="AW135" s="4">
        <v>0</v>
      </c>
      <c r="AX135" s="4">
        <v>0</v>
      </c>
      <c r="AY135" s="5">
        <v>0</v>
      </c>
      <c r="AZ135" s="5">
        <v>0</v>
      </c>
      <c r="BA135" s="5">
        <v>0</v>
      </c>
      <c r="BB135" s="2"/>
      <c r="BC135" t="s">
        <v>0</v>
      </c>
      <c r="BD135" s="5">
        <v>1</v>
      </c>
      <c r="BE135" t="s">
        <v>0</v>
      </c>
      <c r="BF135" t="s">
        <v>257</v>
      </c>
      <c r="BG135" t="s">
        <v>17</v>
      </c>
      <c r="BH135" t="s">
        <v>0</v>
      </c>
      <c r="BI135" t="s">
        <v>102</v>
      </c>
      <c r="BJ135" t="s">
        <v>0</v>
      </c>
      <c r="BK135" t="s">
        <v>0</v>
      </c>
      <c r="BL135" s="5">
        <v>0</v>
      </c>
      <c r="BM135" t="s">
        <v>0</v>
      </c>
      <c r="BN135" t="s">
        <v>0</v>
      </c>
      <c r="BO135" t="s">
        <v>0</v>
      </c>
      <c r="BP135" t="s">
        <v>17</v>
      </c>
      <c r="BQ135" t="s">
        <v>0</v>
      </c>
      <c r="BR135" t="s">
        <v>17</v>
      </c>
      <c r="BS135" t="s">
        <v>17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</row>
    <row r="136" spans="1:80" x14ac:dyDescent="0.25">
      <c r="A136" t="s">
        <v>251</v>
      </c>
      <c r="B136" s="2">
        <v>45330</v>
      </c>
      <c r="C136" s="2">
        <v>45677</v>
      </c>
      <c r="D136" s="2">
        <v>45736</v>
      </c>
      <c r="E136" t="s">
        <v>2</v>
      </c>
      <c r="F136" t="s">
        <v>82</v>
      </c>
      <c r="G136" t="s">
        <v>0</v>
      </c>
      <c r="H136" t="s">
        <v>4</v>
      </c>
      <c r="I136" t="s">
        <v>252</v>
      </c>
      <c r="J136" t="s">
        <v>6</v>
      </c>
      <c r="K136" t="s">
        <v>26</v>
      </c>
      <c r="L136" t="s">
        <v>253</v>
      </c>
      <c r="M136" t="s">
        <v>130</v>
      </c>
      <c r="N136" t="s">
        <v>10</v>
      </c>
      <c r="O136" t="s">
        <v>0</v>
      </c>
      <c r="P136" t="s">
        <v>102</v>
      </c>
      <c r="Q136" s="3">
        <v>0.02</v>
      </c>
      <c r="R136" s="4">
        <v>3743</v>
      </c>
      <c r="S136" s="5">
        <v>1</v>
      </c>
      <c r="T136" s="4">
        <v>74.86</v>
      </c>
      <c r="U136" s="3">
        <v>0.02</v>
      </c>
      <c r="V136" s="4">
        <v>74.86</v>
      </c>
      <c r="W136" s="3">
        <v>0.02</v>
      </c>
      <c r="X136" s="4">
        <v>74.86</v>
      </c>
      <c r="Y136" s="4">
        <f t="shared" si="4"/>
        <v>0</v>
      </c>
      <c r="Z136" t="s">
        <v>0</v>
      </c>
      <c r="AA136" t="s">
        <v>2</v>
      </c>
      <c r="AB136" t="s">
        <v>103</v>
      </c>
      <c r="AC136">
        <f>_xlfn.XLOOKUP(AB136,'[1]GST Codes'!$A:$A,'[1]GST Codes'!$C:$C,0,0)</f>
        <v>18</v>
      </c>
      <c r="AD136">
        <f t="shared" si="5"/>
        <v>0</v>
      </c>
      <c r="AE136" t="s">
        <v>13</v>
      </c>
      <c r="AF136" t="s">
        <v>0</v>
      </c>
      <c r="AG136" t="s">
        <v>14</v>
      </c>
      <c r="AH136" t="s">
        <v>50</v>
      </c>
      <c r="AI136" t="s">
        <v>16</v>
      </c>
      <c r="AJ136" t="s">
        <v>17</v>
      </c>
      <c r="AK136" t="s">
        <v>18</v>
      </c>
      <c r="AL136" t="s">
        <v>104</v>
      </c>
      <c r="AM136" t="s">
        <v>254</v>
      </c>
      <c r="AN136" t="s">
        <v>0</v>
      </c>
      <c r="AO136" t="s">
        <v>0</v>
      </c>
      <c r="AP136" t="s">
        <v>0</v>
      </c>
      <c r="AQ136" s="3">
        <v>0.02</v>
      </c>
      <c r="AR136" t="s">
        <v>102</v>
      </c>
      <c r="AS136" t="s">
        <v>0</v>
      </c>
      <c r="AT136" t="s">
        <v>17</v>
      </c>
      <c r="AU136" s="4">
        <v>0</v>
      </c>
      <c r="AV136" s="4">
        <v>0</v>
      </c>
      <c r="AW136" s="4">
        <v>0</v>
      </c>
      <c r="AX136" s="4">
        <v>0</v>
      </c>
      <c r="AY136" s="5">
        <v>0</v>
      </c>
      <c r="AZ136" s="5">
        <v>0</v>
      </c>
      <c r="BA136" s="5">
        <v>0</v>
      </c>
      <c r="BB136" s="2"/>
      <c r="BC136" t="s">
        <v>0</v>
      </c>
      <c r="BD136" s="5">
        <v>1</v>
      </c>
      <c r="BE136" t="s">
        <v>0</v>
      </c>
      <c r="BF136" t="s">
        <v>255</v>
      </c>
      <c r="BG136" t="s">
        <v>17</v>
      </c>
      <c r="BH136" t="s">
        <v>0</v>
      </c>
      <c r="BI136" t="s">
        <v>102</v>
      </c>
      <c r="BJ136" t="s">
        <v>0</v>
      </c>
      <c r="BK136" t="s">
        <v>0</v>
      </c>
      <c r="BL136" s="5">
        <v>0</v>
      </c>
      <c r="BM136" t="s">
        <v>0</v>
      </c>
      <c r="BN136" t="s">
        <v>0</v>
      </c>
      <c r="BO136" t="s">
        <v>0</v>
      </c>
      <c r="BP136" t="s">
        <v>17</v>
      </c>
      <c r="BQ136" t="s">
        <v>0</v>
      </c>
      <c r="BR136" t="s">
        <v>17</v>
      </c>
      <c r="BS136" t="s">
        <v>17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</row>
    <row r="137" spans="1:80" x14ac:dyDescent="0.25">
      <c r="A137" t="s">
        <v>251</v>
      </c>
      <c r="B137" s="2">
        <v>45330</v>
      </c>
      <c r="C137" s="2">
        <v>45677</v>
      </c>
      <c r="D137" s="2">
        <v>45736</v>
      </c>
      <c r="E137" t="s">
        <v>2</v>
      </c>
      <c r="F137" t="s">
        <v>82</v>
      </c>
      <c r="G137" t="s">
        <v>0</v>
      </c>
      <c r="H137" t="s">
        <v>4</v>
      </c>
      <c r="I137" t="s">
        <v>252</v>
      </c>
      <c r="J137" t="s">
        <v>6</v>
      </c>
      <c r="K137" t="s">
        <v>30</v>
      </c>
      <c r="L137" t="s">
        <v>256</v>
      </c>
      <c r="M137" t="s">
        <v>136</v>
      </c>
      <c r="N137" t="s">
        <v>10</v>
      </c>
      <c r="O137" t="s">
        <v>0</v>
      </c>
      <c r="P137" t="s">
        <v>102</v>
      </c>
      <c r="Q137" s="3">
        <v>3.58</v>
      </c>
      <c r="R137" s="4">
        <v>4617.5</v>
      </c>
      <c r="S137" s="5">
        <v>1</v>
      </c>
      <c r="T137" s="4">
        <v>16530.650000000001</v>
      </c>
      <c r="U137" s="3">
        <v>3.58</v>
      </c>
      <c r="V137" s="4">
        <v>16530.650000000001</v>
      </c>
      <c r="W137" s="3">
        <v>3.58</v>
      </c>
      <c r="X137" s="4">
        <v>16530.650000000001</v>
      </c>
      <c r="Y137" s="4">
        <f t="shared" si="4"/>
        <v>0</v>
      </c>
      <c r="Z137" t="s">
        <v>0</v>
      </c>
      <c r="AA137" t="s">
        <v>2</v>
      </c>
      <c r="AB137" t="s">
        <v>103</v>
      </c>
      <c r="AC137">
        <f>_xlfn.XLOOKUP(AB137,'[1]GST Codes'!$A:$A,'[1]GST Codes'!$C:$C,0,0)</f>
        <v>18</v>
      </c>
      <c r="AD137">
        <f t="shared" si="5"/>
        <v>0</v>
      </c>
      <c r="AE137" t="s">
        <v>13</v>
      </c>
      <c r="AF137" t="s">
        <v>0</v>
      </c>
      <c r="AG137" t="s">
        <v>14</v>
      </c>
      <c r="AH137" t="s">
        <v>50</v>
      </c>
      <c r="AI137" t="s">
        <v>16</v>
      </c>
      <c r="AJ137" t="s">
        <v>17</v>
      </c>
      <c r="AK137" t="s">
        <v>18</v>
      </c>
      <c r="AL137" t="s">
        <v>104</v>
      </c>
      <c r="AM137" t="s">
        <v>254</v>
      </c>
      <c r="AN137" t="s">
        <v>0</v>
      </c>
      <c r="AO137" t="s">
        <v>0</v>
      </c>
      <c r="AP137" t="s">
        <v>0</v>
      </c>
      <c r="AQ137" s="3">
        <v>3.58</v>
      </c>
      <c r="AR137" t="s">
        <v>102</v>
      </c>
      <c r="AS137" t="s">
        <v>0</v>
      </c>
      <c r="AT137" t="s">
        <v>17</v>
      </c>
      <c r="AU137" s="4">
        <v>0</v>
      </c>
      <c r="AV137" s="4">
        <v>0</v>
      </c>
      <c r="AW137" s="4">
        <v>0</v>
      </c>
      <c r="AX137" s="4">
        <v>0</v>
      </c>
      <c r="AY137" s="5">
        <v>0</v>
      </c>
      <c r="AZ137" s="5">
        <v>0</v>
      </c>
      <c r="BA137" s="5">
        <v>0</v>
      </c>
      <c r="BB137" s="2"/>
      <c r="BC137" t="s">
        <v>0</v>
      </c>
      <c r="BD137" s="5">
        <v>1</v>
      </c>
      <c r="BE137" t="s">
        <v>0</v>
      </c>
      <c r="BF137" t="s">
        <v>257</v>
      </c>
      <c r="BG137" t="s">
        <v>17</v>
      </c>
      <c r="BH137" t="s">
        <v>0</v>
      </c>
      <c r="BI137" t="s">
        <v>102</v>
      </c>
      <c r="BJ137" t="s">
        <v>0</v>
      </c>
      <c r="BK137" t="s">
        <v>0</v>
      </c>
      <c r="BL137" s="5">
        <v>0</v>
      </c>
      <c r="BM137" t="s">
        <v>0</v>
      </c>
      <c r="BN137" t="s">
        <v>0</v>
      </c>
      <c r="BO137" t="s">
        <v>0</v>
      </c>
      <c r="BP137" t="s">
        <v>17</v>
      </c>
      <c r="BQ137" t="s">
        <v>0</v>
      </c>
      <c r="BR137" t="s">
        <v>17</v>
      </c>
      <c r="BS137" t="s">
        <v>17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</row>
    <row r="138" spans="1:80" ht="13.95" customHeight="1" x14ac:dyDescent="0.25">
      <c r="A138" t="s">
        <v>258</v>
      </c>
      <c r="B138" s="2">
        <v>45364</v>
      </c>
      <c r="C138" s="2">
        <v>45677</v>
      </c>
      <c r="D138" s="2">
        <v>45736</v>
      </c>
      <c r="E138" t="s">
        <v>2</v>
      </c>
      <c r="F138" t="s">
        <v>82</v>
      </c>
      <c r="G138" t="s">
        <v>0</v>
      </c>
      <c r="H138" t="s">
        <v>4</v>
      </c>
      <c r="I138" t="s">
        <v>252</v>
      </c>
      <c r="J138" t="s">
        <v>6</v>
      </c>
      <c r="K138" t="s">
        <v>7</v>
      </c>
      <c r="L138" t="s">
        <v>259</v>
      </c>
      <c r="M138" t="s">
        <v>128</v>
      </c>
      <c r="N138" t="s">
        <v>10</v>
      </c>
      <c r="O138" t="s">
        <v>0</v>
      </c>
      <c r="P138" t="s">
        <v>102</v>
      </c>
      <c r="Q138" s="3">
        <v>26.5</v>
      </c>
      <c r="R138" s="4">
        <v>3572.5</v>
      </c>
      <c r="S138" s="5">
        <v>1</v>
      </c>
      <c r="T138" s="4">
        <v>94671.25</v>
      </c>
      <c r="U138" s="5">
        <v>0</v>
      </c>
      <c r="V138" s="4">
        <v>0</v>
      </c>
      <c r="W138" s="5">
        <v>0</v>
      </c>
      <c r="X138" s="4">
        <v>0</v>
      </c>
      <c r="Y138" s="4">
        <f t="shared" si="4"/>
        <v>94671.25</v>
      </c>
      <c r="Z138" s="6" t="s">
        <v>0</v>
      </c>
      <c r="AA138" t="s">
        <v>2</v>
      </c>
      <c r="AB138" t="s">
        <v>103</v>
      </c>
      <c r="AC138">
        <f>_xlfn.XLOOKUP(AB138,'[1]GST Codes'!$A:$A,'[1]GST Codes'!$C:$C,0,0)</f>
        <v>18</v>
      </c>
      <c r="AD138">
        <f t="shared" si="5"/>
        <v>111712.075</v>
      </c>
      <c r="AE138" t="s">
        <v>13</v>
      </c>
      <c r="AF138" t="s">
        <v>0</v>
      </c>
      <c r="AG138" t="s">
        <v>14</v>
      </c>
      <c r="AH138" t="s">
        <v>15</v>
      </c>
      <c r="AI138" t="s">
        <v>16</v>
      </c>
      <c r="AJ138" t="s">
        <v>17</v>
      </c>
      <c r="AK138" t="s">
        <v>18</v>
      </c>
      <c r="AL138" t="s">
        <v>104</v>
      </c>
      <c r="AM138" t="s">
        <v>254</v>
      </c>
      <c r="AN138" t="s">
        <v>0</v>
      </c>
      <c r="AO138" t="s">
        <v>0</v>
      </c>
      <c r="AP138" t="s">
        <v>0</v>
      </c>
      <c r="AQ138" s="3">
        <v>26.5</v>
      </c>
      <c r="AR138" t="s">
        <v>102</v>
      </c>
      <c r="AS138" t="s">
        <v>0</v>
      </c>
      <c r="AT138" t="s">
        <v>17</v>
      </c>
      <c r="AU138" s="4">
        <v>0</v>
      </c>
      <c r="AV138" s="4">
        <v>0</v>
      </c>
      <c r="AW138" s="4">
        <v>0</v>
      </c>
      <c r="AX138" s="4">
        <v>0</v>
      </c>
      <c r="AY138" s="5">
        <v>0</v>
      </c>
      <c r="AZ138" s="5">
        <v>0</v>
      </c>
      <c r="BA138" s="5">
        <v>0</v>
      </c>
      <c r="BB138" s="2"/>
      <c r="BC138" t="s">
        <v>0</v>
      </c>
      <c r="BD138" s="5">
        <v>1</v>
      </c>
      <c r="BE138" t="s">
        <v>0</v>
      </c>
      <c r="BF138" t="s">
        <v>260</v>
      </c>
      <c r="BG138" t="s">
        <v>17</v>
      </c>
      <c r="BH138" t="s">
        <v>0</v>
      </c>
      <c r="BI138" t="s">
        <v>102</v>
      </c>
      <c r="BJ138" t="s">
        <v>0</v>
      </c>
      <c r="BK138" t="s">
        <v>0</v>
      </c>
      <c r="BL138" s="5">
        <v>0</v>
      </c>
      <c r="BM138" t="s">
        <v>0</v>
      </c>
      <c r="BN138" t="s">
        <v>0</v>
      </c>
      <c r="BO138" t="s">
        <v>0</v>
      </c>
      <c r="BP138" t="s">
        <v>17</v>
      </c>
      <c r="BQ138" t="s">
        <v>0</v>
      </c>
      <c r="BR138" t="s">
        <v>17</v>
      </c>
      <c r="BS138" t="s">
        <v>17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</row>
    <row r="139" spans="1:80" ht="13.95" customHeight="1" x14ac:dyDescent="0.25">
      <c r="A139" t="s">
        <v>258</v>
      </c>
      <c r="B139" s="2">
        <v>45364</v>
      </c>
      <c r="C139" s="2">
        <v>45677</v>
      </c>
      <c r="D139" s="2">
        <v>45736</v>
      </c>
      <c r="E139" t="s">
        <v>2</v>
      </c>
      <c r="F139" t="s">
        <v>82</v>
      </c>
      <c r="G139" t="s">
        <v>0</v>
      </c>
      <c r="H139" t="s">
        <v>4</v>
      </c>
      <c r="I139" t="s">
        <v>252</v>
      </c>
      <c r="J139" t="s">
        <v>6</v>
      </c>
      <c r="K139" t="s">
        <v>22</v>
      </c>
      <c r="L139" t="s">
        <v>253</v>
      </c>
      <c r="M139" t="s">
        <v>130</v>
      </c>
      <c r="N139" t="s">
        <v>10</v>
      </c>
      <c r="O139" t="s">
        <v>0</v>
      </c>
      <c r="P139" t="s">
        <v>102</v>
      </c>
      <c r="Q139" s="5">
        <v>101</v>
      </c>
      <c r="R139" s="4">
        <v>3743</v>
      </c>
      <c r="S139" s="5">
        <v>1</v>
      </c>
      <c r="T139" s="4">
        <v>378043</v>
      </c>
      <c r="U139" s="3">
        <v>46.71</v>
      </c>
      <c r="V139" s="4">
        <v>174835.53</v>
      </c>
      <c r="W139" s="3">
        <v>46.71</v>
      </c>
      <c r="X139" s="4">
        <v>174835.53</v>
      </c>
      <c r="Y139" s="4">
        <f t="shared" si="4"/>
        <v>203207.47</v>
      </c>
      <c r="Z139" s="6" t="s">
        <v>0</v>
      </c>
      <c r="AA139" t="s">
        <v>2</v>
      </c>
      <c r="AB139" t="s">
        <v>103</v>
      </c>
      <c r="AC139">
        <f>_xlfn.XLOOKUP(AB139,'[1]GST Codes'!$A:$A,'[1]GST Codes'!$C:$C,0,0)</f>
        <v>18</v>
      </c>
      <c r="AD139">
        <f t="shared" si="5"/>
        <v>239784.81459999998</v>
      </c>
      <c r="AE139" t="s">
        <v>13</v>
      </c>
      <c r="AF139" t="s">
        <v>0</v>
      </c>
      <c r="AG139" t="s">
        <v>14</v>
      </c>
      <c r="AH139" t="s">
        <v>15</v>
      </c>
      <c r="AI139" t="s">
        <v>16</v>
      </c>
      <c r="AJ139" t="s">
        <v>17</v>
      </c>
      <c r="AK139" t="s">
        <v>18</v>
      </c>
      <c r="AL139" t="s">
        <v>104</v>
      </c>
      <c r="AM139" t="s">
        <v>254</v>
      </c>
      <c r="AN139" t="s">
        <v>0</v>
      </c>
      <c r="AO139" t="s">
        <v>0</v>
      </c>
      <c r="AP139" t="s">
        <v>0</v>
      </c>
      <c r="AQ139" s="5">
        <v>101</v>
      </c>
      <c r="AR139" t="s">
        <v>102</v>
      </c>
      <c r="AS139" t="s">
        <v>0</v>
      </c>
      <c r="AT139" t="s">
        <v>17</v>
      </c>
      <c r="AU139" s="4">
        <v>0</v>
      </c>
      <c r="AV139" s="4">
        <v>0</v>
      </c>
      <c r="AW139" s="4">
        <v>0</v>
      </c>
      <c r="AX139" s="4">
        <v>0</v>
      </c>
      <c r="AY139" s="5">
        <v>0</v>
      </c>
      <c r="AZ139" s="5">
        <v>0</v>
      </c>
      <c r="BA139" s="5">
        <v>0</v>
      </c>
      <c r="BB139" s="2"/>
      <c r="BC139" t="s">
        <v>0</v>
      </c>
      <c r="BD139" s="5">
        <v>1</v>
      </c>
      <c r="BE139" t="s">
        <v>0</v>
      </c>
      <c r="BF139" t="s">
        <v>255</v>
      </c>
      <c r="BG139" t="s">
        <v>17</v>
      </c>
      <c r="BH139" t="s">
        <v>0</v>
      </c>
      <c r="BI139" t="s">
        <v>102</v>
      </c>
      <c r="BJ139" t="s">
        <v>0</v>
      </c>
      <c r="BK139" t="s">
        <v>0</v>
      </c>
      <c r="BL139" s="5">
        <v>0</v>
      </c>
      <c r="BM139" t="s">
        <v>0</v>
      </c>
      <c r="BN139" t="s">
        <v>0</v>
      </c>
      <c r="BO139" t="s">
        <v>0</v>
      </c>
      <c r="BP139" t="s">
        <v>17</v>
      </c>
      <c r="BQ139" t="s">
        <v>0</v>
      </c>
      <c r="BR139" t="s">
        <v>17</v>
      </c>
      <c r="BS139" t="s">
        <v>17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</row>
    <row r="140" spans="1:80" ht="13.95" customHeight="1" x14ac:dyDescent="0.25">
      <c r="A140" t="s">
        <v>258</v>
      </c>
      <c r="B140" s="2">
        <v>45364</v>
      </c>
      <c r="C140" s="2">
        <v>45677</v>
      </c>
      <c r="D140" s="2">
        <v>45736</v>
      </c>
      <c r="E140" t="s">
        <v>2</v>
      </c>
      <c r="F140" t="s">
        <v>82</v>
      </c>
      <c r="G140" t="s">
        <v>0</v>
      </c>
      <c r="H140" t="s">
        <v>4</v>
      </c>
      <c r="I140" t="s">
        <v>252</v>
      </c>
      <c r="J140" t="s">
        <v>6</v>
      </c>
      <c r="K140" t="s">
        <v>26</v>
      </c>
      <c r="L140" t="s">
        <v>261</v>
      </c>
      <c r="M140" t="s">
        <v>133</v>
      </c>
      <c r="N140" t="s">
        <v>10</v>
      </c>
      <c r="O140" t="s">
        <v>0</v>
      </c>
      <c r="P140" t="s">
        <v>102</v>
      </c>
      <c r="Q140" s="3">
        <v>30.9</v>
      </c>
      <c r="R140" s="4">
        <v>4205</v>
      </c>
      <c r="S140" s="5">
        <v>1</v>
      </c>
      <c r="T140" s="4">
        <v>129934.5</v>
      </c>
      <c r="U140" s="5">
        <v>0</v>
      </c>
      <c r="V140" s="4">
        <v>0</v>
      </c>
      <c r="W140" s="5">
        <v>0</v>
      </c>
      <c r="X140" s="4">
        <v>0</v>
      </c>
      <c r="Y140" s="4">
        <f t="shared" si="4"/>
        <v>129934.5</v>
      </c>
      <c r="Z140" s="6" t="s">
        <v>0</v>
      </c>
      <c r="AA140" t="s">
        <v>2</v>
      </c>
      <c r="AB140" t="s">
        <v>103</v>
      </c>
      <c r="AC140">
        <f>_xlfn.XLOOKUP(AB140,'[1]GST Codes'!$A:$A,'[1]GST Codes'!$C:$C,0,0)</f>
        <v>18</v>
      </c>
      <c r="AD140">
        <f t="shared" si="5"/>
        <v>153322.71</v>
      </c>
      <c r="AE140" t="s">
        <v>13</v>
      </c>
      <c r="AF140" t="s">
        <v>0</v>
      </c>
      <c r="AG140" t="s">
        <v>14</v>
      </c>
      <c r="AH140" t="s">
        <v>15</v>
      </c>
      <c r="AI140" t="s">
        <v>16</v>
      </c>
      <c r="AJ140" t="s">
        <v>17</v>
      </c>
      <c r="AK140" t="s">
        <v>18</v>
      </c>
      <c r="AL140" t="s">
        <v>104</v>
      </c>
      <c r="AM140" t="s">
        <v>254</v>
      </c>
      <c r="AN140" t="s">
        <v>0</v>
      </c>
      <c r="AO140" t="s">
        <v>0</v>
      </c>
      <c r="AP140" t="s">
        <v>0</v>
      </c>
      <c r="AQ140" s="3">
        <v>30.9</v>
      </c>
      <c r="AR140" t="s">
        <v>102</v>
      </c>
      <c r="AS140" t="s">
        <v>0</v>
      </c>
      <c r="AT140" t="s">
        <v>17</v>
      </c>
      <c r="AU140" s="4">
        <v>0</v>
      </c>
      <c r="AV140" s="4">
        <v>0</v>
      </c>
      <c r="AW140" s="4">
        <v>0</v>
      </c>
      <c r="AX140" s="4">
        <v>0</v>
      </c>
      <c r="AY140" s="5">
        <v>0</v>
      </c>
      <c r="AZ140" s="5">
        <v>0</v>
      </c>
      <c r="BA140" s="5">
        <v>0</v>
      </c>
      <c r="BB140" s="2"/>
      <c r="BC140" t="s">
        <v>0</v>
      </c>
      <c r="BD140" s="5">
        <v>1</v>
      </c>
      <c r="BE140" t="s">
        <v>0</v>
      </c>
      <c r="BF140" t="s">
        <v>262</v>
      </c>
      <c r="BG140" t="s">
        <v>17</v>
      </c>
      <c r="BH140" t="s">
        <v>0</v>
      </c>
      <c r="BI140" t="s">
        <v>102</v>
      </c>
      <c r="BJ140" t="s">
        <v>0</v>
      </c>
      <c r="BK140" t="s">
        <v>0</v>
      </c>
      <c r="BL140" s="5">
        <v>0</v>
      </c>
      <c r="BM140" t="s">
        <v>0</v>
      </c>
      <c r="BN140" t="s">
        <v>0</v>
      </c>
      <c r="BO140" t="s">
        <v>0</v>
      </c>
      <c r="BP140" t="s">
        <v>17</v>
      </c>
      <c r="BQ140" t="s">
        <v>0</v>
      </c>
      <c r="BR140" t="s">
        <v>17</v>
      </c>
      <c r="BS140" t="s">
        <v>17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</row>
    <row r="141" spans="1:80" ht="13.95" customHeight="1" x14ac:dyDescent="0.25">
      <c r="A141" t="s">
        <v>258</v>
      </c>
      <c r="B141" s="2">
        <v>45364</v>
      </c>
      <c r="C141" s="2">
        <v>45677</v>
      </c>
      <c r="D141" s="2">
        <v>45736</v>
      </c>
      <c r="E141" t="s">
        <v>2</v>
      </c>
      <c r="F141" t="s">
        <v>82</v>
      </c>
      <c r="G141" t="s">
        <v>0</v>
      </c>
      <c r="H141" t="s">
        <v>4</v>
      </c>
      <c r="I141" t="s">
        <v>252</v>
      </c>
      <c r="J141" t="s">
        <v>6</v>
      </c>
      <c r="K141" t="s">
        <v>30</v>
      </c>
      <c r="L141" t="s">
        <v>256</v>
      </c>
      <c r="M141" t="s">
        <v>136</v>
      </c>
      <c r="N141" t="s">
        <v>10</v>
      </c>
      <c r="O141" t="s">
        <v>0</v>
      </c>
      <c r="P141" t="s">
        <v>102</v>
      </c>
      <c r="Q141" s="5">
        <v>2290</v>
      </c>
      <c r="R141" s="4">
        <v>4617.5</v>
      </c>
      <c r="S141" s="5">
        <v>1</v>
      </c>
      <c r="T141" s="4">
        <v>10574075</v>
      </c>
      <c r="U141" s="3">
        <v>34.14</v>
      </c>
      <c r="V141" s="4">
        <v>157641.45000000001</v>
      </c>
      <c r="W141" s="3">
        <v>34.14</v>
      </c>
      <c r="X141" s="4">
        <v>157641.45000000001</v>
      </c>
      <c r="Y141" s="4">
        <f t="shared" si="4"/>
        <v>10416433.550000001</v>
      </c>
      <c r="Z141" s="6" t="s">
        <v>0</v>
      </c>
      <c r="AA141" t="s">
        <v>2</v>
      </c>
      <c r="AB141" t="s">
        <v>103</v>
      </c>
      <c r="AC141">
        <f>_xlfn.XLOOKUP(AB141,'[1]GST Codes'!$A:$A,'[1]GST Codes'!$C:$C,0,0)</f>
        <v>18</v>
      </c>
      <c r="AD141">
        <f t="shared" si="5"/>
        <v>12291391.589000002</v>
      </c>
      <c r="AE141" t="s">
        <v>13</v>
      </c>
      <c r="AF141" t="s">
        <v>0</v>
      </c>
      <c r="AG141" t="s">
        <v>14</v>
      </c>
      <c r="AH141" t="s">
        <v>15</v>
      </c>
      <c r="AI141" t="s">
        <v>16</v>
      </c>
      <c r="AJ141" t="s">
        <v>17</v>
      </c>
      <c r="AK141" t="s">
        <v>18</v>
      </c>
      <c r="AL141" t="s">
        <v>104</v>
      </c>
      <c r="AM141" t="s">
        <v>254</v>
      </c>
      <c r="AN141" t="s">
        <v>0</v>
      </c>
      <c r="AO141" t="s">
        <v>0</v>
      </c>
      <c r="AP141" t="s">
        <v>0</v>
      </c>
      <c r="AQ141" s="5">
        <v>2290</v>
      </c>
      <c r="AR141" t="s">
        <v>102</v>
      </c>
      <c r="AS141" t="s">
        <v>0</v>
      </c>
      <c r="AT141" t="s">
        <v>17</v>
      </c>
      <c r="AU141" s="4">
        <v>0</v>
      </c>
      <c r="AV141" s="4">
        <v>0</v>
      </c>
      <c r="AW141" s="4">
        <v>0</v>
      </c>
      <c r="AX141" s="4">
        <v>0</v>
      </c>
      <c r="AY141" s="5">
        <v>0</v>
      </c>
      <c r="AZ141" s="5">
        <v>0</v>
      </c>
      <c r="BA141" s="5">
        <v>0</v>
      </c>
      <c r="BB141" s="2"/>
      <c r="BC141" t="s">
        <v>0</v>
      </c>
      <c r="BD141" s="5">
        <v>1</v>
      </c>
      <c r="BE141" t="s">
        <v>0</v>
      </c>
      <c r="BF141" t="s">
        <v>257</v>
      </c>
      <c r="BG141" t="s">
        <v>17</v>
      </c>
      <c r="BH141" t="s">
        <v>0</v>
      </c>
      <c r="BI141" t="s">
        <v>102</v>
      </c>
      <c r="BJ141" t="s">
        <v>0</v>
      </c>
      <c r="BK141" t="s">
        <v>0</v>
      </c>
      <c r="BL141" s="5">
        <v>0</v>
      </c>
      <c r="BM141" t="s">
        <v>0</v>
      </c>
      <c r="BN141" t="s">
        <v>0</v>
      </c>
      <c r="BO141" t="s">
        <v>0</v>
      </c>
      <c r="BP141" t="s">
        <v>17</v>
      </c>
      <c r="BQ141" t="s">
        <v>0</v>
      </c>
      <c r="BR141" t="s">
        <v>17</v>
      </c>
      <c r="BS141" t="s">
        <v>17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</row>
    <row r="142" spans="1:80" ht="13.95" customHeight="1" x14ac:dyDescent="0.25">
      <c r="A142" t="s">
        <v>258</v>
      </c>
      <c r="B142" s="2">
        <v>45364</v>
      </c>
      <c r="C142" s="2">
        <v>45677</v>
      </c>
      <c r="D142" s="2">
        <v>45736</v>
      </c>
      <c r="E142" t="s">
        <v>2</v>
      </c>
      <c r="F142" t="s">
        <v>82</v>
      </c>
      <c r="G142" t="s">
        <v>0</v>
      </c>
      <c r="H142" t="s">
        <v>4</v>
      </c>
      <c r="I142" t="s">
        <v>252</v>
      </c>
      <c r="J142" t="s">
        <v>6</v>
      </c>
      <c r="K142" t="s">
        <v>34</v>
      </c>
      <c r="L142" t="s">
        <v>259</v>
      </c>
      <c r="M142" t="s">
        <v>128</v>
      </c>
      <c r="N142" t="s">
        <v>10</v>
      </c>
      <c r="O142" t="s">
        <v>0</v>
      </c>
      <c r="P142" t="s">
        <v>102</v>
      </c>
      <c r="Q142" s="3">
        <v>23.5</v>
      </c>
      <c r="R142" s="4">
        <v>3572.5</v>
      </c>
      <c r="S142" s="5">
        <v>1</v>
      </c>
      <c r="T142" s="4">
        <v>83953.75</v>
      </c>
      <c r="U142" s="3">
        <v>7.56</v>
      </c>
      <c r="V142" s="4">
        <v>27008.1</v>
      </c>
      <c r="W142" s="3">
        <v>7.56</v>
      </c>
      <c r="X142" s="4">
        <v>27008.1</v>
      </c>
      <c r="Y142" s="4">
        <f t="shared" si="4"/>
        <v>56945.65</v>
      </c>
      <c r="Z142" s="6" t="s">
        <v>0</v>
      </c>
      <c r="AA142" t="s">
        <v>2</v>
      </c>
      <c r="AB142" t="s">
        <v>103</v>
      </c>
      <c r="AC142">
        <f>_xlfn.XLOOKUP(AB142,'[1]GST Codes'!$A:$A,'[1]GST Codes'!$C:$C,0,0)</f>
        <v>18</v>
      </c>
      <c r="AD142">
        <f t="shared" si="5"/>
        <v>67195.866999999998</v>
      </c>
      <c r="AE142" t="s">
        <v>13</v>
      </c>
      <c r="AF142" t="s">
        <v>0</v>
      </c>
      <c r="AG142" t="s">
        <v>14</v>
      </c>
      <c r="AH142" t="s">
        <v>15</v>
      </c>
      <c r="AI142" t="s">
        <v>16</v>
      </c>
      <c r="AJ142" t="s">
        <v>17</v>
      </c>
      <c r="AK142" t="s">
        <v>18</v>
      </c>
      <c r="AL142" t="s">
        <v>104</v>
      </c>
      <c r="AM142" t="s">
        <v>254</v>
      </c>
      <c r="AN142" t="s">
        <v>0</v>
      </c>
      <c r="AO142" t="s">
        <v>0</v>
      </c>
      <c r="AP142" t="s">
        <v>0</v>
      </c>
      <c r="AQ142" s="3">
        <v>23.5</v>
      </c>
      <c r="AR142" t="s">
        <v>102</v>
      </c>
      <c r="AS142" t="s">
        <v>0</v>
      </c>
      <c r="AT142" t="s">
        <v>17</v>
      </c>
      <c r="AU142" s="4">
        <v>0</v>
      </c>
      <c r="AV142" s="4">
        <v>0</v>
      </c>
      <c r="AW142" s="4">
        <v>0</v>
      </c>
      <c r="AX142" s="4">
        <v>0</v>
      </c>
      <c r="AY142" s="5">
        <v>0</v>
      </c>
      <c r="AZ142" s="5">
        <v>0</v>
      </c>
      <c r="BA142" s="5">
        <v>0</v>
      </c>
      <c r="BB142" s="2"/>
      <c r="BC142" t="s">
        <v>0</v>
      </c>
      <c r="BD142" s="5">
        <v>1</v>
      </c>
      <c r="BE142" t="s">
        <v>0</v>
      </c>
      <c r="BF142" t="s">
        <v>260</v>
      </c>
      <c r="BG142" t="s">
        <v>17</v>
      </c>
      <c r="BH142" t="s">
        <v>0</v>
      </c>
      <c r="BI142" t="s">
        <v>102</v>
      </c>
      <c r="BJ142" t="s">
        <v>0</v>
      </c>
      <c r="BK142" t="s">
        <v>0</v>
      </c>
      <c r="BL142" s="5">
        <v>0</v>
      </c>
      <c r="BM142" t="s">
        <v>0</v>
      </c>
      <c r="BN142" t="s">
        <v>0</v>
      </c>
      <c r="BO142" t="s">
        <v>0</v>
      </c>
      <c r="BP142" t="s">
        <v>17</v>
      </c>
      <c r="BQ142" t="s">
        <v>0</v>
      </c>
      <c r="BR142" t="s">
        <v>17</v>
      </c>
      <c r="BS142" t="s">
        <v>17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</row>
    <row r="143" spans="1:80" ht="13.95" customHeight="1" x14ac:dyDescent="0.25">
      <c r="A143" t="s">
        <v>258</v>
      </c>
      <c r="B143" s="2">
        <v>45364</v>
      </c>
      <c r="C143" s="2">
        <v>45677</v>
      </c>
      <c r="D143" s="2">
        <v>45736</v>
      </c>
      <c r="E143" t="s">
        <v>2</v>
      </c>
      <c r="F143" t="s">
        <v>82</v>
      </c>
      <c r="G143" t="s">
        <v>0</v>
      </c>
      <c r="H143" t="s">
        <v>4</v>
      </c>
      <c r="I143" t="s">
        <v>252</v>
      </c>
      <c r="J143" t="s">
        <v>6</v>
      </c>
      <c r="K143" t="s">
        <v>38</v>
      </c>
      <c r="L143" t="s">
        <v>261</v>
      </c>
      <c r="M143" t="s">
        <v>133</v>
      </c>
      <c r="N143" t="s">
        <v>10</v>
      </c>
      <c r="O143" t="s">
        <v>0</v>
      </c>
      <c r="P143" t="s">
        <v>102</v>
      </c>
      <c r="Q143" s="3">
        <v>84.1</v>
      </c>
      <c r="R143" s="4">
        <v>4205</v>
      </c>
      <c r="S143" s="5">
        <v>1</v>
      </c>
      <c r="T143" s="4">
        <v>353640.5</v>
      </c>
      <c r="U143" s="3">
        <v>42.44</v>
      </c>
      <c r="V143" s="4">
        <v>178460.2</v>
      </c>
      <c r="W143" s="3">
        <v>42.44</v>
      </c>
      <c r="X143" s="4">
        <v>178460.2</v>
      </c>
      <c r="Y143" s="4">
        <f t="shared" si="4"/>
        <v>175180.3</v>
      </c>
      <c r="Z143" s="6" t="s">
        <v>0</v>
      </c>
      <c r="AA143" t="s">
        <v>2</v>
      </c>
      <c r="AB143" t="s">
        <v>103</v>
      </c>
      <c r="AC143">
        <f>_xlfn.XLOOKUP(AB143,'[1]GST Codes'!$A:$A,'[1]GST Codes'!$C:$C,0,0)</f>
        <v>18</v>
      </c>
      <c r="AD143">
        <f t="shared" si="5"/>
        <v>206712.75399999999</v>
      </c>
      <c r="AE143" t="s">
        <v>13</v>
      </c>
      <c r="AF143" t="s">
        <v>0</v>
      </c>
      <c r="AG143" t="s">
        <v>14</v>
      </c>
      <c r="AH143" t="s">
        <v>15</v>
      </c>
      <c r="AI143" t="s">
        <v>16</v>
      </c>
      <c r="AJ143" t="s">
        <v>17</v>
      </c>
      <c r="AK143" t="s">
        <v>18</v>
      </c>
      <c r="AL143" t="s">
        <v>104</v>
      </c>
      <c r="AM143" t="s">
        <v>254</v>
      </c>
      <c r="AN143" t="s">
        <v>0</v>
      </c>
      <c r="AO143" t="s">
        <v>0</v>
      </c>
      <c r="AP143" t="s">
        <v>0</v>
      </c>
      <c r="AQ143" s="3">
        <v>84.1</v>
      </c>
      <c r="AR143" t="s">
        <v>102</v>
      </c>
      <c r="AS143" t="s">
        <v>0</v>
      </c>
      <c r="AT143" t="s">
        <v>17</v>
      </c>
      <c r="AU143" s="4">
        <v>0</v>
      </c>
      <c r="AV143" s="4">
        <v>0</v>
      </c>
      <c r="AW143" s="4">
        <v>0</v>
      </c>
      <c r="AX143" s="4">
        <v>0</v>
      </c>
      <c r="AY143" s="5">
        <v>0</v>
      </c>
      <c r="AZ143" s="5">
        <v>0</v>
      </c>
      <c r="BA143" s="5">
        <v>0</v>
      </c>
      <c r="BB143" s="2"/>
      <c r="BC143" t="s">
        <v>0</v>
      </c>
      <c r="BD143" s="5">
        <v>1</v>
      </c>
      <c r="BE143" t="s">
        <v>0</v>
      </c>
      <c r="BF143" t="s">
        <v>262</v>
      </c>
      <c r="BG143" t="s">
        <v>17</v>
      </c>
      <c r="BH143" t="s">
        <v>0</v>
      </c>
      <c r="BI143" t="s">
        <v>102</v>
      </c>
      <c r="BJ143" t="s">
        <v>0</v>
      </c>
      <c r="BK143" t="s">
        <v>0</v>
      </c>
      <c r="BL143" s="5">
        <v>0</v>
      </c>
      <c r="BM143" t="s">
        <v>0</v>
      </c>
      <c r="BN143" t="s">
        <v>0</v>
      </c>
      <c r="BO143" t="s">
        <v>0</v>
      </c>
      <c r="BP143" t="s">
        <v>17</v>
      </c>
      <c r="BQ143" t="s">
        <v>0</v>
      </c>
      <c r="BR143" t="s">
        <v>17</v>
      </c>
      <c r="BS143" t="s">
        <v>17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</row>
    <row r="144" spans="1:80" x14ac:dyDescent="0.25">
      <c r="A144" t="s">
        <v>263</v>
      </c>
      <c r="B144" s="2">
        <v>45372</v>
      </c>
      <c r="C144" s="2">
        <v>45383</v>
      </c>
      <c r="D144" s="2"/>
      <c r="E144" t="s">
        <v>2</v>
      </c>
      <c r="F144" t="s">
        <v>82</v>
      </c>
      <c r="G144" t="s">
        <v>0</v>
      </c>
      <c r="H144" t="s">
        <v>4</v>
      </c>
      <c r="I144" t="s">
        <v>252</v>
      </c>
      <c r="J144" t="s">
        <v>6</v>
      </c>
      <c r="K144" t="s">
        <v>7</v>
      </c>
      <c r="L144" t="s">
        <v>256</v>
      </c>
      <c r="M144" t="s">
        <v>264</v>
      </c>
      <c r="N144" t="s">
        <v>10</v>
      </c>
      <c r="O144" t="s">
        <v>0</v>
      </c>
      <c r="P144" t="s">
        <v>102</v>
      </c>
      <c r="Q144" s="5">
        <v>1500</v>
      </c>
      <c r="R144" s="4">
        <v>4617.5</v>
      </c>
      <c r="S144" s="5">
        <v>1</v>
      </c>
      <c r="T144" s="4">
        <v>6926250</v>
      </c>
      <c r="U144" s="5">
        <v>1500</v>
      </c>
      <c r="V144" s="4">
        <v>6926250</v>
      </c>
      <c r="W144" s="5">
        <v>1500</v>
      </c>
      <c r="X144" s="4">
        <v>6926250</v>
      </c>
      <c r="Y144" s="4">
        <f t="shared" si="4"/>
        <v>0</v>
      </c>
      <c r="Z144" t="s">
        <v>0</v>
      </c>
      <c r="AA144" t="s">
        <v>2</v>
      </c>
      <c r="AB144" t="s">
        <v>103</v>
      </c>
      <c r="AC144">
        <f>_xlfn.XLOOKUP(AB144,'[1]GST Codes'!$A:$A,'[1]GST Codes'!$C:$C,0,0)</f>
        <v>18</v>
      </c>
      <c r="AD144">
        <f t="shared" si="5"/>
        <v>0</v>
      </c>
      <c r="AE144" t="s">
        <v>13</v>
      </c>
      <c r="AF144" t="s">
        <v>265</v>
      </c>
      <c r="AG144" t="s">
        <v>14</v>
      </c>
      <c r="AH144" t="s">
        <v>15</v>
      </c>
      <c r="AI144" t="s">
        <v>16</v>
      </c>
      <c r="AJ144" t="s">
        <v>17</v>
      </c>
      <c r="AK144" t="s">
        <v>18</v>
      </c>
      <c r="AL144" t="s">
        <v>104</v>
      </c>
      <c r="AM144" t="s">
        <v>254</v>
      </c>
      <c r="AN144" t="s">
        <v>0</v>
      </c>
      <c r="AO144" t="s">
        <v>20</v>
      </c>
      <c r="AP144" t="s">
        <v>0</v>
      </c>
      <c r="AQ144" s="5">
        <v>1500</v>
      </c>
      <c r="AR144" t="s">
        <v>102</v>
      </c>
      <c r="AS144" t="s">
        <v>0</v>
      </c>
      <c r="AT144" t="s">
        <v>17</v>
      </c>
      <c r="AU144" s="4">
        <v>0</v>
      </c>
      <c r="AV144" s="4">
        <v>0</v>
      </c>
      <c r="AW144" s="4">
        <v>0</v>
      </c>
      <c r="AX144" s="4">
        <v>0</v>
      </c>
      <c r="AY144" s="5">
        <v>0</v>
      </c>
      <c r="AZ144" s="5">
        <v>0</v>
      </c>
      <c r="BA144" s="5">
        <v>0</v>
      </c>
      <c r="BB144" s="2"/>
      <c r="BC144" t="s">
        <v>0</v>
      </c>
      <c r="BD144" s="5">
        <v>1</v>
      </c>
      <c r="BE144" t="s">
        <v>0</v>
      </c>
      <c r="BF144" t="s">
        <v>257</v>
      </c>
      <c r="BG144" t="s">
        <v>17</v>
      </c>
      <c r="BH144" t="s">
        <v>0</v>
      </c>
      <c r="BI144" t="s">
        <v>102</v>
      </c>
      <c r="BJ144" t="s">
        <v>0</v>
      </c>
      <c r="BK144" t="s">
        <v>0</v>
      </c>
      <c r="BL144" s="5">
        <v>0</v>
      </c>
      <c r="BM144" t="s">
        <v>0</v>
      </c>
      <c r="BN144" t="s">
        <v>0</v>
      </c>
      <c r="BO144" t="s">
        <v>0</v>
      </c>
      <c r="BP144" t="s">
        <v>17</v>
      </c>
      <c r="BQ144" t="s">
        <v>0</v>
      </c>
      <c r="BR144" t="s">
        <v>17</v>
      </c>
      <c r="BS144" t="s">
        <v>17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</row>
    <row r="145" spans="1:80" ht="13.95" customHeight="1" x14ac:dyDescent="0.25">
      <c r="A145" t="s">
        <v>266</v>
      </c>
      <c r="B145" s="2">
        <v>45425</v>
      </c>
      <c r="C145" s="2">
        <v>45677</v>
      </c>
      <c r="D145" s="2">
        <v>45736</v>
      </c>
      <c r="E145" t="s">
        <v>2</v>
      </c>
      <c r="F145" t="s">
        <v>82</v>
      </c>
      <c r="G145" t="s">
        <v>0</v>
      </c>
      <c r="H145" t="s">
        <v>4</v>
      </c>
      <c r="I145" t="s">
        <v>252</v>
      </c>
      <c r="J145" t="s">
        <v>6</v>
      </c>
      <c r="K145" t="s">
        <v>7</v>
      </c>
      <c r="L145" t="s">
        <v>139</v>
      </c>
      <c r="M145" t="s">
        <v>267</v>
      </c>
      <c r="N145" t="s">
        <v>10</v>
      </c>
      <c r="O145" t="s">
        <v>0</v>
      </c>
      <c r="P145" t="s">
        <v>102</v>
      </c>
      <c r="Q145" s="5">
        <v>30</v>
      </c>
      <c r="R145" s="4">
        <v>200</v>
      </c>
      <c r="S145" s="5">
        <v>1</v>
      </c>
      <c r="T145" s="4">
        <v>6000</v>
      </c>
      <c r="U145" s="3">
        <v>6.27</v>
      </c>
      <c r="V145" s="4">
        <v>1254</v>
      </c>
      <c r="W145" s="3">
        <v>6.27</v>
      </c>
      <c r="X145" s="4">
        <v>1254</v>
      </c>
      <c r="Y145" s="4">
        <f t="shared" si="4"/>
        <v>4746</v>
      </c>
      <c r="Z145" s="6" t="s">
        <v>0</v>
      </c>
      <c r="AA145" t="s">
        <v>2</v>
      </c>
      <c r="AB145" t="s">
        <v>103</v>
      </c>
      <c r="AC145">
        <f>_xlfn.XLOOKUP(AB145,'[1]GST Codes'!$A:$A,'[1]GST Codes'!$C:$C,0,0)</f>
        <v>18</v>
      </c>
      <c r="AD145">
        <f t="shared" si="5"/>
        <v>5600.28</v>
      </c>
      <c r="AE145" t="s">
        <v>13</v>
      </c>
      <c r="AF145" t="s">
        <v>268</v>
      </c>
      <c r="AG145" t="s">
        <v>14</v>
      </c>
      <c r="AH145" t="s">
        <v>15</v>
      </c>
      <c r="AI145" t="s">
        <v>16</v>
      </c>
      <c r="AJ145" t="s">
        <v>17</v>
      </c>
      <c r="AK145" t="s">
        <v>18</v>
      </c>
      <c r="AL145" t="s">
        <v>104</v>
      </c>
      <c r="AM145" t="s">
        <v>254</v>
      </c>
      <c r="AN145" t="s">
        <v>0</v>
      </c>
      <c r="AO145" t="s">
        <v>20</v>
      </c>
      <c r="AP145" t="s">
        <v>0</v>
      </c>
      <c r="AQ145" s="5">
        <v>30</v>
      </c>
      <c r="AR145" t="s">
        <v>102</v>
      </c>
      <c r="AS145" t="s">
        <v>0</v>
      </c>
      <c r="AT145" t="s">
        <v>17</v>
      </c>
      <c r="AU145" s="4">
        <v>0</v>
      </c>
      <c r="AV145" s="4">
        <v>0</v>
      </c>
      <c r="AW145" s="4">
        <v>0</v>
      </c>
      <c r="AX145" s="4">
        <v>0</v>
      </c>
      <c r="AY145" s="5">
        <v>0</v>
      </c>
      <c r="AZ145" s="5">
        <v>0</v>
      </c>
      <c r="BA145" s="5">
        <v>0</v>
      </c>
      <c r="BB145" s="2"/>
      <c r="BC145" t="s">
        <v>0</v>
      </c>
      <c r="BD145" s="5">
        <v>1</v>
      </c>
      <c r="BE145" t="s">
        <v>0</v>
      </c>
      <c r="BF145" t="s">
        <v>269</v>
      </c>
      <c r="BG145" t="s">
        <v>17</v>
      </c>
      <c r="BH145" t="s">
        <v>0</v>
      </c>
      <c r="BI145" t="s">
        <v>102</v>
      </c>
      <c r="BJ145" t="s">
        <v>0</v>
      </c>
      <c r="BK145" t="s">
        <v>0</v>
      </c>
      <c r="BL145" s="5">
        <v>0</v>
      </c>
      <c r="BM145" t="s">
        <v>0</v>
      </c>
      <c r="BN145" t="s">
        <v>0</v>
      </c>
      <c r="BO145" t="s">
        <v>0</v>
      </c>
      <c r="BP145" t="s">
        <v>17</v>
      </c>
      <c r="BQ145" t="s">
        <v>0</v>
      </c>
      <c r="BR145" t="s">
        <v>17</v>
      </c>
      <c r="BS145" t="s">
        <v>17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</row>
    <row r="146" spans="1:80" ht="13.95" customHeight="1" x14ac:dyDescent="0.25">
      <c r="A146" t="s">
        <v>266</v>
      </c>
      <c r="B146" s="2">
        <v>45425</v>
      </c>
      <c r="C146" s="2">
        <v>45677</v>
      </c>
      <c r="D146" s="2">
        <v>45736</v>
      </c>
      <c r="E146" t="s">
        <v>2</v>
      </c>
      <c r="F146" t="s">
        <v>82</v>
      </c>
      <c r="G146" t="s">
        <v>0</v>
      </c>
      <c r="H146" t="s">
        <v>4</v>
      </c>
      <c r="I146" t="s">
        <v>252</v>
      </c>
      <c r="J146" t="s">
        <v>6</v>
      </c>
      <c r="K146" t="s">
        <v>22</v>
      </c>
      <c r="L146" t="s">
        <v>139</v>
      </c>
      <c r="M146" t="s">
        <v>267</v>
      </c>
      <c r="N146" t="s">
        <v>10</v>
      </c>
      <c r="O146" t="s">
        <v>0</v>
      </c>
      <c r="P146" t="s">
        <v>102</v>
      </c>
      <c r="Q146" s="5">
        <v>180</v>
      </c>
      <c r="R146" s="4">
        <v>200</v>
      </c>
      <c r="S146" s="5">
        <v>1</v>
      </c>
      <c r="T146" s="4">
        <v>36000</v>
      </c>
      <c r="U146" s="3">
        <v>62.5</v>
      </c>
      <c r="V146" s="4">
        <v>12500</v>
      </c>
      <c r="W146" s="3">
        <v>62.5</v>
      </c>
      <c r="X146" s="4">
        <v>12500</v>
      </c>
      <c r="Y146" s="4">
        <f t="shared" si="4"/>
        <v>23500</v>
      </c>
      <c r="Z146" s="6" t="s">
        <v>0</v>
      </c>
      <c r="AA146" t="s">
        <v>2</v>
      </c>
      <c r="AB146" t="s">
        <v>103</v>
      </c>
      <c r="AC146">
        <f>_xlfn.XLOOKUP(AB146,'[1]GST Codes'!$A:$A,'[1]GST Codes'!$C:$C,0,0)</f>
        <v>18</v>
      </c>
      <c r="AD146">
        <f t="shared" si="5"/>
        <v>27730</v>
      </c>
      <c r="AE146" t="s">
        <v>13</v>
      </c>
      <c r="AF146" t="s">
        <v>268</v>
      </c>
      <c r="AG146" t="s">
        <v>14</v>
      </c>
      <c r="AH146" t="s">
        <v>15</v>
      </c>
      <c r="AI146" t="s">
        <v>16</v>
      </c>
      <c r="AJ146" t="s">
        <v>17</v>
      </c>
      <c r="AK146" t="s">
        <v>18</v>
      </c>
      <c r="AL146" t="s">
        <v>104</v>
      </c>
      <c r="AM146" t="s">
        <v>254</v>
      </c>
      <c r="AN146" t="s">
        <v>0</v>
      </c>
      <c r="AO146" t="s">
        <v>20</v>
      </c>
      <c r="AP146" t="s">
        <v>0</v>
      </c>
      <c r="AQ146" s="5">
        <v>180</v>
      </c>
      <c r="AR146" t="s">
        <v>102</v>
      </c>
      <c r="AS146" t="s">
        <v>0</v>
      </c>
      <c r="AT146" t="s">
        <v>17</v>
      </c>
      <c r="AU146" s="4">
        <v>0</v>
      </c>
      <c r="AV146" s="4">
        <v>0</v>
      </c>
      <c r="AW146" s="4">
        <v>0</v>
      </c>
      <c r="AX146" s="4">
        <v>0</v>
      </c>
      <c r="AY146" s="5">
        <v>0</v>
      </c>
      <c r="AZ146" s="5">
        <v>0</v>
      </c>
      <c r="BA146" s="5">
        <v>0</v>
      </c>
      <c r="BB146" s="2"/>
      <c r="BC146" t="s">
        <v>0</v>
      </c>
      <c r="BD146" s="5">
        <v>1</v>
      </c>
      <c r="BE146" t="s">
        <v>0</v>
      </c>
      <c r="BF146" t="s">
        <v>269</v>
      </c>
      <c r="BG146" t="s">
        <v>17</v>
      </c>
      <c r="BH146" t="s">
        <v>0</v>
      </c>
      <c r="BI146" t="s">
        <v>102</v>
      </c>
      <c r="BJ146" t="s">
        <v>0</v>
      </c>
      <c r="BK146" t="s">
        <v>0</v>
      </c>
      <c r="BL146" s="5">
        <v>0</v>
      </c>
      <c r="BM146" t="s">
        <v>0</v>
      </c>
      <c r="BN146" t="s">
        <v>0</v>
      </c>
      <c r="BO146" t="s">
        <v>0</v>
      </c>
      <c r="BP146" t="s">
        <v>17</v>
      </c>
      <c r="BQ146" t="s">
        <v>0</v>
      </c>
      <c r="BR146" t="s">
        <v>17</v>
      </c>
      <c r="BS146" t="s">
        <v>17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</row>
    <row r="147" spans="1:80" ht="13.95" customHeight="1" x14ac:dyDescent="0.25">
      <c r="A147" t="s">
        <v>270</v>
      </c>
      <c r="B147" s="2">
        <v>45509</v>
      </c>
      <c r="C147" s="2">
        <v>45509</v>
      </c>
      <c r="D147" s="2">
        <v>45540</v>
      </c>
      <c r="E147" t="s">
        <v>2</v>
      </c>
      <c r="F147" t="s">
        <v>82</v>
      </c>
      <c r="G147" t="s">
        <v>0</v>
      </c>
      <c r="H147" t="s">
        <v>4</v>
      </c>
      <c r="I147" t="s">
        <v>252</v>
      </c>
      <c r="J147" t="s">
        <v>6</v>
      </c>
      <c r="K147" t="s">
        <v>7</v>
      </c>
      <c r="L147" t="s">
        <v>259</v>
      </c>
      <c r="M147" t="s">
        <v>128</v>
      </c>
      <c r="N147" t="s">
        <v>10</v>
      </c>
      <c r="O147" t="s">
        <v>0</v>
      </c>
      <c r="P147" t="s">
        <v>102</v>
      </c>
      <c r="Q147" s="5">
        <v>200</v>
      </c>
      <c r="R147" s="4">
        <v>3572.5</v>
      </c>
      <c r="S147" s="5">
        <v>1</v>
      </c>
      <c r="T147" s="4">
        <v>714500</v>
      </c>
      <c r="U147" s="3">
        <v>163.28</v>
      </c>
      <c r="V147" s="4">
        <v>583317.80000000005</v>
      </c>
      <c r="W147" s="3">
        <v>163.28</v>
      </c>
      <c r="X147" s="4">
        <v>583317.80000000005</v>
      </c>
      <c r="Y147" s="4">
        <f t="shared" si="4"/>
        <v>131182.19999999995</v>
      </c>
      <c r="Z147" s="6" t="s">
        <v>0</v>
      </c>
      <c r="AA147" t="s">
        <v>2</v>
      </c>
      <c r="AB147" t="s">
        <v>103</v>
      </c>
      <c r="AC147">
        <f>_xlfn.XLOOKUP(AB147,'[1]GST Codes'!$A:$A,'[1]GST Codes'!$C:$C,0,0)</f>
        <v>18</v>
      </c>
      <c r="AD147">
        <f t="shared" si="5"/>
        <v>154794.99599999996</v>
      </c>
      <c r="AE147" t="s">
        <v>13</v>
      </c>
      <c r="AF147" t="s">
        <v>0</v>
      </c>
      <c r="AG147" t="s">
        <v>14</v>
      </c>
      <c r="AH147" t="s">
        <v>15</v>
      </c>
      <c r="AI147" t="s">
        <v>16</v>
      </c>
      <c r="AJ147" t="s">
        <v>17</v>
      </c>
      <c r="AK147" t="s">
        <v>18</v>
      </c>
      <c r="AL147" t="s">
        <v>104</v>
      </c>
      <c r="AM147" t="s">
        <v>254</v>
      </c>
      <c r="AN147" t="s">
        <v>0</v>
      </c>
      <c r="AO147" t="s">
        <v>20</v>
      </c>
      <c r="AP147" t="s">
        <v>0</v>
      </c>
      <c r="AQ147" s="5">
        <v>200</v>
      </c>
      <c r="AR147" t="s">
        <v>102</v>
      </c>
      <c r="AS147" t="s">
        <v>0</v>
      </c>
      <c r="AT147" t="s">
        <v>17</v>
      </c>
      <c r="AU147" s="4">
        <v>0</v>
      </c>
      <c r="AV147" s="4">
        <v>0</v>
      </c>
      <c r="AW147" s="4">
        <v>0</v>
      </c>
      <c r="AX147" s="4">
        <v>0</v>
      </c>
      <c r="AY147" s="5">
        <v>0</v>
      </c>
      <c r="AZ147" s="5">
        <v>0</v>
      </c>
      <c r="BA147" s="5">
        <v>0</v>
      </c>
      <c r="BB147" s="2"/>
      <c r="BC147" t="s">
        <v>0</v>
      </c>
      <c r="BD147" s="5">
        <v>1</v>
      </c>
      <c r="BE147" t="s">
        <v>0</v>
      </c>
      <c r="BF147" t="s">
        <v>260</v>
      </c>
      <c r="BG147" t="s">
        <v>17</v>
      </c>
      <c r="BH147" t="s">
        <v>0</v>
      </c>
      <c r="BI147" t="s">
        <v>102</v>
      </c>
      <c r="BJ147" t="s">
        <v>0</v>
      </c>
      <c r="BK147" t="s">
        <v>0</v>
      </c>
      <c r="BL147" s="5">
        <v>0</v>
      </c>
      <c r="BM147" t="s">
        <v>0</v>
      </c>
      <c r="BN147" t="s">
        <v>0</v>
      </c>
      <c r="BO147" t="s">
        <v>0</v>
      </c>
      <c r="BP147" t="s">
        <v>17</v>
      </c>
      <c r="BQ147" t="s">
        <v>0</v>
      </c>
      <c r="BR147" t="s">
        <v>17</v>
      </c>
      <c r="BS147" t="s">
        <v>17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</row>
    <row r="148" spans="1:80" ht="13.95" customHeight="1" x14ac:dyDescent="0.25">
      <c r="A148" t="s">
        <v>270</v>
      </c>
      <c r="B148" s="2">
        <v>45509</v>
      </c>
      <c r="C148" s="2">
        <v>45509</v>
      </c>
      <c r="D148" s="2">
        <v>45540</v>
      </c>
      <c r="E148" t="s">
        <v>2</v>
      </c>
      <c r="F148" t="s">
        <v>82</v>
      </c>
      <c r="G148" t="s">
        <v>0</v>
      </c>
      <c r="H148" t="s">
        <v>4</v>
      </c>
      <c r="I148" t="s">
        <v>252</v>
      </c>
      <c r="J148" t="s">
        <v>6</v>
      </c>
      <c r="K148" t="s">
        <v>22</v>
      </c>
      <c r="L148" t="s">
        <v>261</v>
      </c>
      <c r="M148" t="s">
        <v>133</v>
      </c>
      <c r="N148" t="s">
        <v>10</v>
      </c>
      <c r="O148" t="s">
        <v>0</v>
      </c>
      <c r="P148" t="s">
        <v>102</v>
      </c>
      <c r="Q148" s="5">
        <v>50</v>
      </c>
      <c r="R148" s="4">
        <v>4205</v>
      </c>
      <c r="S148" s="5">
        <v>1</v>
      </c>
      <c r="T148" s="4">
        <v>210250</v>
      </c>
      <c r="U148" s="3">
        <v>9.0399999999999991</v>
      </c>
      <c r="V148" s="4">
        <v>38013.199999999997</v>
      </c>
      <c r="W148" s="3">
        <v>9.0399999999999991</v>
      </c>
      <c r="X148" s="4">
        <v>38013.199999999997</v>
      </c>
      <c r="Y148" s="4">
        <f t="shared" si="4"/>
        <v>172236.79999999999</v>
      </c>
      <c r="Z148" s="6" t="s">
        <v>0</v>
      </c>
      <c r="AA148" t="s">
        <v>2</v>
      </c>
      <c r="AB148" t="s">
        <v>103</v>
      </c>
      <c r="AC148">
        <f>_xlfn.XLOOKUP(AB148,'[1]GST Codes'!$A:$A,'[1]GST Codes'!$C:$C,0,0)</f>
        <v>18</v>
      </c>
      <c r="AD148">
        <f t="shared" si="5"/>
        <v>203239.424</v>
      </c>
      <c r="AE148" t="s">
        <v>13</v>
      </c>
      <c r="AF148" t="s">
        <v>0</v>
      </c>
      <c r="AG148" t="s">
        <v>14</v>
      </c>
      <c r="AH148" t="s">
        <v>15</v>
      </c>
      <c r="AI148" t="s">
        <v>16</v>
      </c>
      <c r="AJ148" t="s">
        <v>17</v>
      </c>
      <c r="AK148" t="s">
        <v>18</v>
      </c>
      <c r="AL148" t="s">
        <v>104</v>
      </c>
      <c r="AM148" t="s">
        <v>254</v>
      </c>
      <c r="AN148" t="s">
        <v>0</v>
      </c>
      <c r="AO148" t="s">
        <v>20</v>
      </c>
      <c r="AP148" t="s">
        <v>0</v>
      </c>
      <c r="AQ148" s="5">
        <v>50</v>
      </c>
      <c r="AR148" t="s">
        <v>102</v>
      </c>
      <c r="AS148" t="s">
        <v>0</v>
      </c>
      <c r="AT148" t="s">
        <v>17</v>
      </c>
      <c r="AU148" s="4">
        <v>0</v>
      </c>
      <c r="AV148" s="4">
        <v>0</v>
      </c>
      <c r="AW148" s="4">
        <v>0</v>
      </c>
      <c r="AX148" s="4">
        <v>0</v>
      </c>
      <c r="AY148" s="5">
        <v>0</v>
      </c>
      <c r="AZ148" s="5">
        <v>0</v>
      </c>
      <c r="BA148" s="5">
        <v>0</v>
      </c>
      <c r="BB148" s="2"/>
      <c r="BC148" t="s">
        <v>0</v>
      </c>
      <c r="BD148" s="5">
        <v>1</v>
      </c>
      <c r="BE148" t="s">
        <v>0</v>
      </c>
      <c r="BF148" t="s">
        <v>262</v>
      </c>
      <c r="BG148" t="s">
        <v>17</v>
      </c>
      <c r="BH148" t="s">
        <v>0</v>
      </c>
      <c r="BI148" t="s">
        <v>102</v>
      </c>
      <c r="BJ148" t="s">
        <v>0</v>
      </c>
      <c r="BK148" t="s">
        <v>0</v>
      </c>
      <c r="BL148" s="5">
        <v>0</v>
      </c>
      <c r="BM148" t="s">
        <v>0</v>
      </c>
      <c r="BN148" t="s">
        <v>0</v>
      </c>
      <c r="BO148" t="s">
        <v>0</v>
      </c>
      <c r="BP148" t="s">
        <v>17</v>
      </c>
      <c r="BQ148" t="s">
        <v>0</v>
      </c>
      <c r="BR148" t="s">
        <v>17</v>
      </c>
      <c r="BS148" t="s">
        <v>17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</row>
    <row r="149" spans="1:80" ht="13.95" customHeight="1" x14ac:dyDescent="0.25">
      <c r="A149" t="s">
        <v>271</v>
      </c>
      <c r="B149" s="2">
        <v>45351</v>
      </c>
      <c r="C149" s="2">
        <v>45677</v>
      </c>
      <c r="D149" s="2">
        <v>45736</v>
      </c>
      <c r="E149" t="s">
        <v>2</v>
      </c>
      <c r="F149" t="s">
        <v>82</v>
      </c>
      <c r="G149" t="s">
        <v>0</v>
      </c>
      <c r="H149" t="s">
        <v>4</v>
      </c>
      <c r="I149" t="s">
        <v>272</v>
      </c>
      <c r="J149" t="s">
        <v>6</v>
      </c>
      <c r="K149" t="s">
        <v>7</v>
      </c>
      <c r="L149" t="s">
        <v>273</v>
      </c>
      <c r="M149" t="s">
        <v>274</v>
      </c>
      <c r="N149" t="s">
        <v>10</v>
      </c>
      <c r="O149" t="s">
        <v>0</v>
      </c>
      <c r="P149" t="s">
        <v>275</v>
      </c>
      <c r="Q149" s="5">
        <v>60</v>
      </c>
      <c r="R149" s="4">
        <v>269.52999999999997</v>
      </c>
      <c r="S149" s="5">
        <v>1</v>
      </c>
      <c r="T149" s="4">
        <v>16171.8</v>
      </c>
      <c r="U149" s="5">
        <v>0</v>
      </c>
      <c r="V149" s="4">
        <v>0</v>
      </c>
      <c r="W149" s="5">
        <v>0</v>
      </c>
      <c r="X149" s="4">
        <v>0</v>
      </c>
      <c r="Y149" s="4">
        <f t="shared" si="4"/>
        <v>16171.8</v>
      </c>
      <c r="Z149" s="6" t="s">
        <v>0</v>
      </c>
      <c r="AA149" t="s">
        <v>2</v>
      </c>
      <c r="AB149" t="s">
        <v>276</v>
      </c>
      <c r="AC149">
        <f>_xlfn.XLOOKUP(AB149,'[1]GST Codes'!$A:$A,'[1]GST Codes'!$C:$C,0,0)</f>
        <v>28</v>
      </c>
      <c r="AD149">
        <f t="shared" si="5"/>
        <v>20699.903999999999</v>
      </c>
      <c r="AE149" t="s">
        <v>13</v>
      </c>
      <c r="AF149" t="s">
        <v>277</v>
      </c>
      <c r="AG149" t="s">
        <v>14</v>
      </c>
      <c r="AH149" t="s">
        <v>50</v>
      </c>
      <c r="AI149" t="s">
        <v>16</v>
      </c>
      <c r="AJ149" t="s">
        <v>17</v>
      </c>
      <c r="AK149" t="s">
        <v>18</v>
      </c>
      <c r="AL149" t="s">
        <v>278</v>
      </c>
      <c r="AM149" t="s">
        <v>272</v>
      </c>
      <c r="AN149" t="s">
        <v>0</v>
      </c>
      <c r="AO149" t="s">
        <v>20</v>
      </c>
      <c r="AP149" t="s">
        <v>0</v>
      </c>
      <c r="AQ149" s="5">
        <v>60</v>
      </c>
      <c r="AR149" t="s">
        <v>275</v>
      </c>
      <c r="AS149" t="s">
        <v>0</v>
      </c>
      <c r="AT149" t="s">
        <v>17</v>
      </c>
      <c r="AU149" s="4">
        <v>0</v>
      </c>
      <c r="AV149" s="4">
        <v>0</v>
      </c>
      <c r="AW149" s="4">
        <v>0</v>
      </c>
      <c r="AX149" s="4">
        <v>0</v>
      </c>
      <c r="AY149" s="5">
        <v>0</v>
      </c>
      <c r="AZ149" s="5">
        <v>0</v>
      </c>
      <c r="BA149" s="5">
        <v>0</v>
      </c>
      <c r="BB149" s="2"/>
      <c r="BC149" t="s">
        <v>0</v>
      </c>
      <c r="BD149" s="5">
        <v>1</v>
      </c>
      <c r="BE149" t="s">
        <v>0</v>
      </c>
      <c r="BF149" t="s">
        <v>279</v>
      </c>
      <c r="BG149" t="s">
        <v>17</v>
      </c>
      <c r="BH149" t="s">
        <v>0</v>
      </c>
      <c r="BI149" t="s">
        <v>275</v>
      </c>
      <c r="BJ149" t="s">
        <v>0</v>
      </c>
      <c r="BK149" t="s">
        <v>0</v>
      </c>
      <c r="BL149" s="5">
        <v>0</v>
      </c>
      <c r="BM149" t="s">
        <v>0</v>
      </c>
      <c r="BN149" t="s">
        <v>0</v>
      </c>
      <c r="BO149" t="s">
        <v>0</v>
      </c>
      <c r="BP149" t="s">
        <v>17</v>
      </c>
      <c r="BQ149" t="s">
        <v>0</v>
      </c>
      <c r="BR149" t="s">
        <v>17</v>
      </c>
      <c r="BS149" t="s">
        <v>17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</row>
    <row r="150" spans="1:80" ht="13.95" customHeight="1" x14ac:dyDescent="0.25">
      <c r="A150" t="s">
        <v>280</v>
      </c>
      <c r="B150" s="2">
        <v>45367</v>
      </c>
      <c r="C150" s="2">
        <v>45677</v>
      </c>
      <c r="D150" s="2">
        <v>45736</v>
      </c>
      <c r="E150" t="s">
        <v>2</v>
      </c>
      <c r="F150" t="s">
        <v>3</v>
      </c>
      <c r="G150" t="s">
        <v>0</v>
      </c>
      <c r="H150" t="s">
        <v>4</v>
      </c>
      <c r="I150" t="s">
        <v>281</v>
      </c>
      <c r="J150" t="s">
        <v>6</v>
      </c>
      <c r="K150" t="s">
        <v>7</v>
      </c>
      <c r="L150" t="s">
        <v>282</v>
      </c>
      <c r="M150" t="s">
        <v>283</v>
      </c>
      <c r="N150" t="s">
        <v>10</v>
      </c>
      <c r="O150" t="s">
        <v>0</v>
      </c>
      <c r="P150" t="s">
        <v>275</v>
      </c>
      <c r="Q150" s="5">
        <v>9967</v>
      </c>
      <c r="R150" s="4">
        <v>253.91</v>
      </c>
      <c r="S150" s="5">
        <v>1</v>
      </c>
      <c r="T150" s="4">
        <v>2530720.9700000002</v>
      </c>
      <c r="U150" s="5">
        <v>0</v>
      </c>
      <c r="V150" s="4">
        <v>0</v>
      </c>
      <c r="W150" s="5">
        <v>0</v>
      </c>
      <c r="X150" s="4">
        <v>0</v>
      </c>
      <c r="Y150" s="4">
        <f t="shared" si="4"/>
        <v>2530720.9700000002</v>
      </c>
      <c r="Z150" s="6" t="s">
        <v>0</v>
      </c>
      <c r="AA150" t="s">
        <v>2</v>
      </c>
      <c r="AB150" t="s">
        <v>276</v>
      </c>
      <c r="AC150">
        <f>_xlfn.XLOOKUP(AB150,'[1]GST Codes'!$A:$A,'[1]GST Codes'!$C:$C,0,0)</f>
        <v>28</v>
      </c>
      <c r="AD150">
        <f t="shared" si="5"/>
        <v>3239322.8416000004</v>
      </c>
      <c r="AE150" t="s">
        <v>13</v>
      </c>
      <c r="AF150" t="s">
        <v>284</v>
      </c>
      <c r="AG150" t="s">
        <v>58</v>
      </c>
      <c r="AH150" t="s">
        <v>59</v>
      </c>
      <c r="AI150" t="s">
        <v>16</v>
      </c>
      <c r="AJ150" t="s">
        <v>17</v>
      </c>
      <c r="AK150" t="s">
        <v>18</v>
      </c>
      <c r="AL150" t="s">
        <v>278</v>
      </c>
      <c r="AM150" t="s">
        <v>281</v>
      </c>
      <c r="AN150" t="s">
        <v>0</v>
      </c>
      <c r="AO150" t="s">
        <v>20</v>
      </c>
      <c r="AP150" t="s">
        <v>0</v>
      </c>
      <c r="AQ150" s="5">
        <v>9967</v>
      </c>
      <c r="AR150" t="s">
        <v>275</v>
      </c>
      <c r="AS150" t="s">
        <v>0</v>
      </c>
      <c r="AT150" t="s">
        <v>17</v>
      </c>
      <c r="AU150" s="4">
        <v>0</v>
      </c>
      <c r="AV150" s="4">
        <v>0</v>
      </c>
      <c r="AW150" s="4">
        <v>0</v>
      </c>
      <c r="AX150" s="4">
        <v>0</v>
      </c>
      <c r="AY150" s="5">
        <v>0</v>
      </c>
      <c r="AZ150" s="5">
        <v>0</v>
      </c>
      <c r="BA150" s="5">
        <v>0</v>
      </c>
      <c r="BB150" s="2"/>
      <c r="BC150" t="s">
        <v>0</v>
      </c>
      <c r="BD150" s="5">
        <v>1</v>
      </c>
      <c r="BE150" t="s">
        <v>0</v>
      </c>
      <c r="BF150" t="s">
        <v>285</v>
      </c>
      <c r="BG150" t="s">
        <v>17</v>
      </c>
      <c r="BH150" t="s">
        <v>0</v>
      </c>
      <c r="BI150" t="s">
        <v>275</v>
      </c>
      <c r="BJ150" t="s">
        <v>0</v>
      </c>
      <c r="BK150" t="s">
        <v>0</v>
      </c>
      <c r="BL150" s="5">
        <v>0</v>
      </c>
      <c r="BM150" t="s">
        <v>0</v>
      </c>
      <c r="BN150" t="s">
        <v>0</v>
      </c>
      <c r="BO150" t="s">
        <v>0</v>
      </c>
      <c r="BP150" t="s">
        <v>17</v>
      </c>
      <c r="BQ150" t="s">
        <v>0</v>
      </c>
      <c r="BR150" t="s">
        <v>17</v>
      </c>
      <c r="BS150" t="s">
        <v>17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</row>
    <row r="151" spans="1:80" ht="13.95" customHeight="1" x14ac:dyDescent="0.25">
      <c r="A151" t="s">
        <v>286</v>
      </c>
      <c r="B151" s="2">
        <v>45502</v>
      </c>
      <c r="C151" s="2">
        <v>45677</v>
      </c>
      <c r="D151" s="2">
        <v>45736</v>
      </c>
      <c r="E151" t="s">
        <v>2</v>
      </c>
      <c r="F151" t="s">
        <v>3</v>
      </c>
      <c r="G151" t="s">
        <v>0</v>
      </c>
      <c r="H151" t="s">
        <v>4</v>
      </c>
      <c r="I151" t="s">
        <v>281</v>
      </c>
      <c r="J151" t="s">
        <v>6</v>
      </c>
      <c r="K151" t="s">
        <v>7</v>
      </c>
      <c r="L151" t="s">
        <v>282</v>
      </c>
      <c r="M151" t="s">
        <v>287</v>
      </c>
      <c r="N151" t="s">
        <v>10</v>
      </c>
      <c r="O151" t="s">
        <v>0</v>
      </c>
      <c r="P151" t="s">
        <v>275</v>
      </c>
      <c r="Q151" s="5">
        <v>1800</v>
      </c>
      <c r="R151" s="4">
        <v>2382.8200000000002</v>
      </c>
      <c r="S151" s="5">
        <v>10</v>
      </c>
      <c r="T151" s="4">
        <v>428907.6</v>
      </c>
      <c r="U151" s="5">
        <v>1000</v>
      </c>
      <c r="V151" s="4">
        <v>238282</v>
      </c>
      <c r="W151" s="5">
        <v>1000</v>
      </c>
      <c r="X151" s="4">
        <v>238282</v>
      </c>
      <c r="Y151" s="4">
        <f t="shared" si="4"/>
        <v>190625.59999999998</v>
      </c>
      <c r="Z151" s="6" t="s">
        <v>0</v>
      </c>
      <c r="AA151" t="s">
        <v>2</v>
      </c>
      <c r="AB151" t="s">
        <v>276</v>
      </c>
      <c r="AC151">
        <f>_xlfn.XLOOKUP(AB151,'[1]GST Codes'!$A:$A,'[1]GST Codes'!$C:$C,0,0)</f>
        <v>28</v>
      </c>
      <c r="AD151">
        <f t="shared" si="5"/>
        <v>244000.76799999998</v>
      </c>
      <c r="AE151" t="s">
        <v>13</v>
      </c>
      <c r="AF151" t="s">
        <v>0</v>
      </c>
      <c r="AG151" t="s">
        <v>14</v>
      </c>
      <c r="AH151" t="s">
        <v>15</v>
      </c>
      <c r="AI151" t="s">
        <v>16</v>
      </c>
      <c r="AJ151" t="s">
        <v>17</v>
      </c>
      <c r="AK151" t="s">
        <v>18</v>
      </c>
      <c r="AL151" t="s">
        <v>278</v>
      </c>
      <c r="AM151" t="s">
        <v>281</v>
      </c>
      <c r="AN151" t="s">
        <v>0</v>
      </c>
      <c r="AO151" t="s">
        <v>20</v>
      </c>
      <c r="AP151" t="s">
        <v>0</v>
      </c>
      <c r="AQ151" s="5">
        <v>1800</v>
      </c>
      <c r="AR151" t="s">
        <v>275</v>
      </c>
      <c r="AS151" t="s">
        <v>0</v>
      </c>
      <c r="AT151" t="s">
        <v>17</v>
      </c>
      <c r="AU151" s="4">
        <v>0</v>
      </c>
      <c r="AV151" s="4">
        <v>0</v>
      </c>
      <c r="AW151" s="4">
        <v>0</v>
      </c>
      <c r="AX151" s="4">
        <v>0</v>
      </c>
      <c r="AY151" s="5">
        <v>0</v>
      </c>
      <c r="AZ151" s="5">
        <v>0</v>
      </c>
      <c r="BA151" s="5">
        <v>0</v>
      </c>
      <c r="BB151" s="2"/>
      <c r="BC151" t="s">
        <v>0</v>
      </c>
      <c r="BD151" s="5">
        <v>1</v>
      </c>
      <c r="BE151" t="s">
        <v>0</v>
      </c>
      <c r="BF151" t="s">
        <v>285</v>
      </c>
      <c r="BG151" t="s">
        <v>17</v>
      </c>
      <c r="BH151" t="s">
        <v>0</v>
      </c>
      <c r="BI151" t="s">
        <v>275</v>
      </c>
      <c r="BJ151" t="s">
        <v>0</v>
      </c>
      <c r="BK151" t="s">
        <v>0</v>
      </c>
      <c r="BL151" s="5">
        <v>0</v>
      </c>
      <c r="BM151" t="s">
        <v>0</v>
      </c>
      <c r="BN151" t="s">
        <v>0</v>
      </c>
      <c r="BO151" t="s">
        <v>0</v>
      </c>
      <c r="BP151" t="s">
        <v>17</v>
      </c>
      <c r="BQ151" t="s">
        <v>0</v>
      </c>
      <c r="BR151" t="s">
        <v>17</v>
      </c>
      <c r="BS151" t="s">
        <v>17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</row>
    <row r="152" spans="1:80" ht="13.95" customHeight="1" x14ac:dyDescent="0.25">
      <c r="A152" t="s">
        <v>288</v>
      </c>
      <c r="B152" s="2">
        <v>45520</v>
      </c>
      <c r="C152" s="2">
        <v>45524</v>
      </c>
      <c r="D152" s="2">
        <v>45554</v>
      </c>
      <c r="E152" t="s">
        <v>2</v>
      </c>
      <c r="F152" t="s">
        <v>3</v>
      </c>
      <c r="G152" t="s">
        <v>0</v>
      </c>
      <c r="H152" t="s">
        <v>4</v>
      </c>
      <c r="I152" t="s">
        <v>281</v>
      </c>
      <c r="J152" t="s">
        <v>6</v>
      </c>
      <c r="K152" t="s">
        <v>7</v>
      </c>
      <c r="L152" t="s">
        <v>282</v>
      </c>
      <c r="M152" t="s">
        <v>283</v>
      </c>
      <c r="N152" t="s">
        <v>10</v>
      </c>
      <c r="O152" t="s">
        <v>0</v>
      </c>
      <c r="P152" t="s">
        <v>275</v>
      </c>
      <c r="Q152" s="5">
        <v>800</v>
      </c>
      <c r="R152" s="4">
        <v>2265.62</v>
      </c>
      <c r="S152" s="5">
        <v>10</v>
      </c>
      <c r="T152" s="4">
        <v>181249.6</v>
      </c>
      <c r="U152" s="5">
        <v>0</v>
      </c>
      <c r="V152" s="4">
        <v>0</v>
      </c>
      <c r="W152" s="5">
        <v>0</v>
      </c>
      <c r="X152" s="4">
        <v>0</v>
      </c>
      <c r="Y152" s="4">
        <f t="shared" si="4"/>
        <v>181249.6</v>
      </c>
      <c r="Z152" s="6" t="s">
        <v>0</v>
      </c>
      <c r="AA152" t="s">
        <v>2</v>
      </c>
      <c r="AB152" t="s">
        <v>276</v>
      </c>
      <c r="AC152">
        <f>_xlfn.XLOOKUP(AB152,'[1]GST Codes'!$A:$A,'[1]GST Codes'!$C:$C,0,0)</f>
        <v>28</v>
      </c>
      <c r="AD152">
        <f t="shared" si="5"/>
        <v>231999.48800000001</v>
      </c>
      <c r="AE152" t="s">
        <v>13</v>
      </c>
      <c r="AF152" t="s">
        <v>0</v>
      </c>
      <c r="AG152" t="s">
        <v>14</v>
      </c>
      <c r="AH152" t="s">
        <v>15</v>
      </c>
      <c r="AI152" t="s">
        <v>16</v>
      </c>
      <c r="AJ152" t="s">
        <v>17</v>
      </c>
      <c r="AK152" t="s">
        <v>18</v>
      </c>
      <c r="AL152" t="s">
        <v>278</v>
      </c>
      <c r="AM152" t="s">
        <v>281</v>
      </c>
      <c r="AN152" t="s">
        <v>0</v>
      </c>
      <c r="AO152" t="s">
        <v>20</v>
      </c>
      <c r="AP152" t="s">
        <v>0</v>
      </c>
      <c r="AQ152" s="5">
        <v>800</v>
      </c>
      <c r="AR152" t="s">
        <v>275</v>
      </c>
      <c r="AS152" t="s">
        <v>0</v>
      </c>
      <c r="AT152" t="s">
        <v>17</v>
      </c>
      <c r="AU152" s="4">
        <v>0</v>
      </c>
      <c r="AV152" s="4">
        <v>0</v>
      </c>
      <c r="AW152" s="4">
        <v>0</v>
      </c>
      <c r="AX152" s="4">
        <v>0</v>
      </c>
      <c r="AY152" s="5">
        <v>0</v>
      </c>
      <c r="AZ152" s="5">
        <v>0</v>
      </c>
      <c r="BA152" s="5">
        <v>0</v>
      </c>
      <c r="BB152" s="2"/>
      <c r="BC152" t="s">
        <v>0</v>
      </c>
      <c r="BD152" s="5">
        <v>1</v>
      </c>
      <c r="BE152" t="s">
        <v>0</v>
      </c>
      <c r="BF152" t="s">
        <v>285</v>
      </c>
      <c r="BG152" t="s">
        <v>17</v>
      </c>
      <c r="BH152" t="s">
        <v>0</v>
      </c>
      <c r="BI152" t="s">
        <v>275</v>
      </c>
      <c r="BJ152" t="s">
        <v>0</v>
      </c>
      <c r="BK152" t="s">
        <v>0</v>
      </c>
      <c r="BL152" s="5">
        <v>0</v>
      </c>
      <c r="BM152" t="s">
        <v>0</v>
      </c>
      <c r="BN152" t="s">
        <v>0</v>
      </c>
      <c r="BO152" t="s">
        <v>0</v>
      </c>
      <c r="BP152" t="s">
        <v>17</v>
      </c>
      <c r="BQ152" t="s">
        <v>0</v>
      </c>
      <c r="BR152" t="s">
        <v>17</v>
      </c>
      <c r="BS152" t="s">
        <v>17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</row>
    <row r="153" spans="1:80" ht="13.95" customHeight="1" x14ac:dyDescent="0.25">
      <c r="A153" t="s">
        <v>289</v>
      </c>
      <c r="B153" s="2">
        <v>45426</v>
      </c>
      <c r="C153" s="2">
        <v>45677</v>
      </c>
      <c r="D153" s="2">
        <v>45736</v>
      </c>
      <c r="E153" t="s">
        <v>2</v>
      </c>
      <c r="F153" t="s">
        <v>82</v>
      </c>
      <c r="G153" t="s">
        <v>0</v>
      </c>
      <c r="H153" t="s">
        <v>4</v>
      </c>
      <c r="I153" t="s">
        <v>290</v>
      </c>
      <c r="J153" t="s">
        <v>6</v>
      </c>
      <c r="K153" t="s">
        <v>7</v>
      </c>
      <c r="L153" t="s">
        <v>282</v>
      </c>
      <c r="M153" t="s">
        <v>283</v>
      </c>
      <c r="N153" t="s">
        <v>10</v>
      </c>
      <c r="O153" t="s">
        <v>0</v>
      </c>
      <c r="P153" t="s">
        <v>275</v>
      </c>
      <c r="Q153" s="5">
        <v>4270</v>
      </c>
      <c r="R153" s="4">
        <v>244.53</v>
      </c>
      <c r="S153" s="5">
        <v>1</v>
      </c>
      <c r="T153" s="4">
        <v>1044143.1</v>
      </c>
      <c r="U153" s="5">
        <v>0</v>
      </c>
      <c r="V153" s="4">
        <v>0</v>
      </c>
      <c r="W153" s="5">
        <v>0</v>
      </c>
      <c r="X153" s="4">
        <v>0</v>
      </c>
      <c r="Y153" s="4">
        <f t="shared" si="4"/>
        <v>1044143.1</v>
      </c>
      <c r="Z153" s="6" t="s">
        <v>0</v>
      </c>
      <c r="AA153" t="s">
        <v>2</v>
      </c>
      <c r="AB153" t="s">
        <v>291</v>
      </c>
      <c r="AC153">
        <f>_xlfn.XLOOKUP(AB153,'[1]GST Codes'!$A:$A,'[1]GST Codes'!$C:$C,0,0)</f>
        <v>28</v>
      </c>
      <c r="AD153">
        <f t="shared" si="5"/>
        <v>1336503.1680000001</v>
      </c>
      <c r="AE153" t="s">
        <v>13</v>
      </c>
      <c r="AF153" t="s">
        <v>0</v>
      </c>
      <c r="AG153" t="s">
        <v>14</v>
      </c>
      <c r="AH153" t="s">
        <v>15</v>
      </c>
      <c r="AI153" t="s">
        <v>16</v>
      </c>
      <c r="AJ153" t="s">
        <v>17</v>
      </c>
      <c r="AK153" t="s">
        <v>18</v>
      </c>
      <c r="AL153" t="s">
        <v>278</v>
      </c>
      <c r="AM153" t="s">
        <v>290</v>
      </c>
      <c r="AN153" t="s">
        <v>0</v>
      </c>
      <c r="AO153" t="s">
        <v>20</v>
      </c>
      <c r="AP153" t="s">
        <v>0</v>
      </c>
      <c r="AQ153" s="5">
        <v>4270</v>
      </c>
      <c r="AR153" t="s">
        <v>275</v>
      </c>
      <c r="AS153" t="s">
        <v>0</v>
      </c>
      <c r="AT153" t="s">
        <v>17</v>
      </c>
      <c r="AU153" s="4">
        <v>0</v>
      </c>
      <c r="AV153" s="4">
        <v>0</v>
      </c>
      <c r="AW153" s="4">
        <v>0</v>
      </c>
      <c r="AX153" s="4">
        <v>0</v>
      </c>
      <c r="AY153" s="5">
        <v>0</v>
      </c>
      <c r="AZ153" s="5">
        <v>0</v>
      </c>
      <c r="BA153" s="5">
        <v>0</v>
      </c>
      <c r="BB153" s="2"/>
      <c r="BC153" t="s">
        <v>0</v>
      </c>
      <c r="BD153" s="5">
        <v>1</v>
      </c>
      <c r="BE153" t="s">
        <v>0</v>
      </c>
      <c r="BF153" t="s">
        <v>292</v>
      </c>
      <c r="BG153" t="s">
        <v>17</v>
      </c>
      <c r="BH153" t="s">
        <v>0</v>
      </c>
      <c r="BI153" t="s">
        <v>275</v>
      </c>
      <c r="BJ153" t="s">
        <v>0</v>
      </c>
      <c r="BK153" t="s">
        <v>0</v>
      </c>
      <c r="BL153" s="5">
        <v>0</v>
      </c>
      <c r="BM153" t="s">
        <v>0</v>
      </c>
      <c r="BN153" t="s">
        <v>0</v>
      </c>
      <c r="BO153" t="s">
        <v>0</v>
      </c>
      <c r="BP153" t="s">
        <v>17</v>
      </c>
      <c r="BQ153" t="s">
        <v>0</v>
      </c>
      <c r="BR153" t="s">
        <v>17</v>
      </c>
      <c r="BS153" t="s">
        <v>17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</row>
    <row r="154" spans="1:80" ht="13.95" customHeight="1" x14ac:dyDescent="0.25">
      <c r="A154" t="s">
        <v>293</v>
      </c>
      <c r="B154" s="2">
        <v>45456</v>
      </c>
      <c r="C154" s="2">
        <v>45677</v>
      </c>
      <c r="D154" s="2">
        <v>45736</v>
      </c>
      <c r="E154" t="s">
        <v>2</v>
      </c>
      <c r="F154" t="s">
        <v>3</v>
      </c>
      <c r="G154" t="s">
        <v>0</v>
      </c>
      <c r="H154" t="s">
        <v>4</v>
      </c>
      <c r="I154" t="s">
        <v>290</v>
      </c>
      <c r="J154" t="s">
        <v>6</v>
      </c>
      <c r="K154" t="s">
        <v>7</v>
      </c>
      <c r="L154" t="s">
        <v>282</v>
      </c>
      <c r="M154" t="s">
        <v>283</v>
      </c>
      <c r="N154" t="s">
        <v>10</v>
      </c>
      <c r="O154" t="s">
        <v>0</v>
      </c>
      <c r="P154" t="s">
        <v>275</v>
      </c>
      <c r="Q154" s="5">
        <v>2520</v>
      </c>
      <c r="R154" s="4">
        <v>2578.13</v>
      </c>
      <c r="S154" s="5">
        <v>10</v>
      </c>
      <c r="T154" s="4">
        <v>649688.76</v>
      </c>
      <c r="U154" s="5">
        <v>0</v>
      </c>
      <c r="V154" s="4">
        <v>0</v>
      </c>
      <c r="W154" s="5">
        <v>0</v>
      </c>
      <c r="X154" s="4">
        <v>0</v>
      </c>
      <c r="Y154" s="4">
        <f t="shared" si="4"/>
        <v>649688.76</v>
      </c>
      <c r="Z154" s="6" t="s">
        <v>0</v>
      </c>
      <c r="AA154" t="s">
        <v>2</v>
      </c>
      <c r="AB154" t="s">
        <v>291</v>
      </c>
      <c r="AC154">
        <f>_xlfn.XLOOKUP(AB154,'[1]GST Codes'!$A:$A,'[1]GST Codes'!$C:$C,0,0)</f>
        <v>28</v>
      </c>
      <c r="AD154">
        <f t="shared" si="5"/>
        <v>831601.6128</v>
      </c>
      <c r="AE154" t="s">
        <v>13</v>
      </c>
      <c r="AF154" t="s">
        <v>294</v>
      </c>
      <c r="AG154" t="s">
        <v>14</v>
      </c>
      <c r="AH154" t="s">
        <v>15</v>
      </c>
      <c r="AI154" t="s">
        <v>16</v>
      </c>
      <c r="AJ154" t="s">
        <v>17</v>
      </c>
      <c r="AK154" t="s">
        <v>18</v>
      </c>
      <c r="AL154" t="s">
        <v>278</v>
      </c>
      <c r="AM154" t="s">
        <v>290</v>
      </c>
      <c r="AN154" t="s">
        <v>0</v>
      </c>
      <c r="AO154" t="s">
        <v>125</v>
      </c>
      <c r="AP154" t="s">
        <v>0</v>
      </c>
      <c r="AQ154" s="5">
        <v>2520</v>
      </c>
      <c r="AR154" t="s">
        <v>275</v>
      </c>
      <c r="AS154" t="s">
        <v>0</v>
      </c>
      <c r="AT154" t="s">
        <v>17</v>
      </c>
      <c r="AU154" s="4">
        <v>0</v>
      </c>
      <c r="AV154" s="4">
        <v>0</v>
      </c>
      <c r="AW154" s="4">
        <v>0</v>
      </c>
      <c r="AX154" s="4">
        <v>0</v>
      </c>
      <c r="AY154" s="5">
        <v>0</v>
      </c>
      <c r="AZ154" s="5">
        <v>0</v>
      </c>
      <c r="BA154" s="5">
        <v>0</v>
      </c>
      <c r="BB154" s="2"/>
      <c r="BC154" t="s">
        <v>0</v>
      </c>
      <c r="BD154" s="5">
        <v>1</v>
      </c>
      <c r="BE154" t="s">
        <v>0</v>
      </c>
      <c r="BF154" t="s">
        <v>292</v>
      </c>
      <c r="BG154" t="s">
        <v>17</v>
      </c>
      <c r="BH154" t="s">
        <v>0</v>
      </c>
      <c r="BI154" t="s">
        <v>275</v>
      </c>
      <c r="BJ154" t="s">
        <v>0</v>
      </c>
      <c r="BK154" t="s">
        <v>0</v>
      </c>
      <c r="BL154" s="5">
        <v>0</v>
      </c>
      <c r="BM154" t="s">
        <v>0</v>
      </c>
      <c r="BN154" t="s">
        <v>0</v>
      </c>
      <c r="BO154" t="s">
        <v>0</v>
      </c>
      <c r="BP154" t="s">
        <v>17</v>
      </c>
      <c r="BQ154" t="s">
        <v>0</v>
      </c>
      <c r="BR154" t="s">
        <v>17</v>
      </c>
      <c r="BS154" t="s">
        <v>17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</row>
    <row r="155" spans="1:80" x14ac:dyDescent="0.25">
      <c r="A155" t="s">
        <v>295</v>
      </c>
      <c r="B155" s="2">
        <v>45477</v>
      </c>
      <c r="C155" s="2">
        <v>45677</v>
      </c>
      <c r="D155" s="2">
        <v>45736</v>
      </c>
      <c r="E155" t="s">
        <v>2</v>
      </c>
      <c r="F155" t="s">
        <v>3</v>
      </c>
      <c r="G155" t="s">
        <v>0</v>
      </c>
      <c r="H155" t="s">
        <v>4</v>
      </c>
      <c r="I155" t="s">
        <v>290</v>
      </c>
      <c r="J155" t="s">
        <v>6</v>
      </c>
      <c r="K155" t="s">
        <v>7</v>
      </c>
      <c r="L155" t="s">
        <v>282</v>
      </c>
      <c r="M155" t="s">
        <v>283</v>
      </c>
      <c r="N155" t="s">
        <v>10</v>
      </c>
      <c r="O155" t="s">
        <v>0</v>
      </c>
      <c r="P155" t="s">
        <v>275</v>
      </c>
      <c r="Q155" s="5">
        <v>980</v>
      </c>
      <c r="R155" s="4">
        <v>250</v>
      </c>
      <c r="S155" s="5">
        <v>1</v>
      </c>
      <c r="T155" s="4">
        <v>245000</v>
      </c>
      <c r="U155" s="5">
        <v>980</v>
      </c>
      <c r="V155" s="4">
        <v>245000</v>
      </c>
      <c r="W155" s="5">
        <v>980</v>
      </c>
      <c r="X155" s="4">
        <v>245000</v>
      </c>
      <c r="Y155" s="4">
        <f t="shared" si="4"/>
        <v>0</v>
      </c>
      <c r="Z155" t="s">
        <v>0</v>
      </c>
      <c r="AA155" t="s">
        <v>2</v>
      </c>
      <c r="AB155" t="s">
        <v>291</v>
      </c>
      <c r="AC155">
        <f>_xlfn.XLOOKUP(AB155,'[1]GST Codes'!$A:$A,'[1]GST Codes'!$C:$C,0,0)</f>
        <v>28</v>
      </c>
      <c r="AD155">
        <f t="shared" si="5"/>
        <v>0</v>
      </c>
      <c r="AE155" t="s">
        <v>13</v>
      </c>
      <c r="AF155" t="s">
        <v>0</v>
      </c>
      <c r="AG155" t="s">
        <v>14</v>
      </c>
      <c r="AH155" t="s">
        <v>15</v>
      </c>
      <c r="AI155" t="s">
        <v>16</v>
      </c>
      <c r="AJ155" t="s">
        <v>17</v>
      </c>
      <c r="AK155" t="s">
        <v>18</v>
      </c>
      <c r="AL155" t="s">
        <v>278</v>
      </c>
      <c r="AM155" t="s">
        <v>290</v>
      </c>
      <c r="AN155" t="s">
        <v>0</v>
      </c>
      <c r="AO155" t="s">
        <v>125</v>
      </c>
      <c r="AP155" t="s">
        <v>0</v>
      </c>
      <c r="AQ155" s="5">
        <v>980</v>
      </c>
      <c r="AR155" t="s">
        <v>275</v>
      </c>
      <c r="AS155" t="s">
        <v>0</v>
      </c>
      <c r="AT155" t="s">
        <v>17</v>
      </c>
      <c r="AU155" s="4">
        <v>0</v>
      </c>
      <c r="AV155" s="4">
        <v>0</v>
      </c>
      <c r="AW155" s="4">
        <v>0</v>
      </c>
      <c r="AX155" s="4">
        <v>0</v>
      </c>
      <c r="AY155" s="5">
        <v>0</v>
      </c>
      <c r="AZ155" s="5">
        <v>0</v>
      </c>
      <c r="BA155" s="5">
        <v>0</v>
      </c>
      <c r="BB155" s="2"/>
      <c r="BC155" t="s">
        <v>0</v>
      </c>
      <c r="BD155" s="5">
        <v>1</v>
      </c>
      <c r="BE155" t="s">
        <v>0</v>
      </c>
      <c r="BF155" t="s">
        <v>292</v>
      </c>
      <c r="BG155" t="s">
        <v>17</v>
      </c>
      <c r="BH155" t="s">
        <v>0</v>
      </c>
      <c r="BI155" t="s">
        <v>275</v>
      </c>
      <c r="BJ155" t="s">
        <v>0</v>
      </c>
      <c r="BK155" t="s">
        <v>0</v>
      </c>
      <c r="BL155" s="5">
        <v>0</v>
      </c>
      <c r="BM155" t="s">
        <v>0</v>
      </c>
      <c r="BN155" t="s">
        <v>0</v>
      </c>
      <c r="BO155" t="s">
        <v>0</v>
      </c>
      <c r="BP155" t="s">
        <v>17</v>
      </c>
      <c r="BQ155" t="s">
        <v>0</v>
      </c>
      <c r="BR155" t="s">
        <v>17</v>
      </c>
      <c r="BS155" t="s">
        <v>17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</row>
    <row r="156" spans="1:80" ht="13.95" customHeight="1" x14ac:dyDescent="0.25">
      <c r="A156" t="s">
        <v>296</v>
      </c>
      <c r="B156" s="2">
        <v>45612</v>
      </c>
      <c r="C156" s="2">
        <v>45612</v>
      </c>
      <c r="D156" s="2">
        <v>45641</v>
      </c>
      <c r="E156" t="s">
        <v>2</v>
      </c>
      <c r="F156" t="s">
        <v>3</v>
      </c>
      <c r="G156" t="s">
        <v>0</v>
      </c>
      <c r="H156" t="s">
        <v>4</v>
      </c>
      <c r="I156" t="s">
        <v>297</v>
      </c>
      <c r="J156" t="s">
        <v>6</v>
      </c>
      <c r="K156" t="s">
        <v>7</v>
      </c>
      <c r="L156" t="s">
        <v>70</v>
      </c>
      <c r="M156" t="s">
        <v>71</v>
      </c>
      <c r="N156" t="s">
        <v>10</v>
      </c>
      <c r="O156" t="s">
        <v>0</v>
      </c>
      <c r="P156" t="s">
        <v>11</v>
      </c>
      <c r="Q156" s="5">
        <v>15</v>
      </c>
      <c r="R156" s="4">
        <v>52500</v>
      </c>
      <c r="S156" s="5">
        <v>1</v>
      </c>
      <c r="T156" s="4">
        <v>787500</v>
      </c>
      <c r="U156" s="5">
        <v>0</v>
      </c>
      <c r="V156" s="4">
        <v>0</v>
      </c>
      <c r="W156" s="5">
        <v>0</v>
      </c>
      <c r="X156" s="4">
        <v>0</v>
      </c>
      <c r="Y156" s="4">
        <f t="shared" si="4"/>
        <v>787500</v>
      </c>
      <c r="Z156" s="6" t="s">
        <v>0</v>
      </c>
      <c r="AA156" t="s">
        <v>2</v>
      </c>
      <c r="AB156" t="s">
        <v>12</v>
      </c>
      <c r="AC156">
        <f>_xlfn.XLOOKUP(AB156,'[1]GST Codes'!$A:$A,'[1]GST Codes'!$C:$C,0,0)</f>
        <v>18</v>
      </c>
      <c r="AD156">
        <f t="shared" si="5"/>
        <v>929250</v>
      </c>
      <c r="AE156" t="s">
        <v>13</v>
      </c>
      <c r="AF156" t="s">
        <v>0</v>
      </c>
      <c r="AG156" t="s">
        <v>14</v>
      </c>
      <c r="AH156" t="s">
        <v>15</v>
      </c>
      <c r="AI156" t="s">
        <v>16</v>
      </c>
      <c r="AJ156" t="s">
        <v>17</v>
      </c>
      <c r="AK156" t="s">
        <v>18</v>
      </c>
      <c r="AL156" t="s">
        <v>19</v>
      </c>
      <c r="AM156" t="s">
        <v>297</v>
      </c>
      <c r="AN156" t="s">
        <v>0</v>
      </c>
      <c r="AO156" t="s">
        <v>0</v>
      </c>
      <c r="AP156" t="s">
        <v>0</v>
      </c>
      <c r="AQ156" s="5">
        <v>15</v>
      </c>
      <c r="AR156" t="s">
        <v>11</v>
      </c>
      <c r="AS156" t="s">
        <v>0</v>
      </c>
      <c r="AT156" t="s">
        <v>17</v>
      </c>
      <c r="AU156" s="4">
        <v>0</v>
      </c>
      <c r="AV156" s="4">
        <v>0</v>
      </c>
      <c r="AW156" s="4">
        <v>0</v>
      </c>
      <c r="AX156" s="4">
        <v>0</v>
      </c>
      <c r="AY156" s="5">
        <v>0</v>
      </c>
      <c r="AZ156" s="5">
        <v>0</v>
      </c>
      <c r="BA156" s="5">
        <v>0</v>
      </c>
      <c r="BB156" s="2"/>
      <c r="BC156" t="s">
        <v>0</v>
      </c>
      <c r="BD156" s="5">
        <v>1</v>
      </c>
      <c r="BE156" t="s">
        <v>0</v>
      </c>
      <c r="BF156" t="s">
        <v>298</v>
      </c>
      <c r="BG156" t="s">
        <v>17</v>
      </c>
      <c r="BH156" t="s">
        <v>0</v>
      </c>
      <c r="BI156" t="s">
        <v>11</v>
      </c>
      <c r="BJ156" t="s">
        <v>0</v>
      </c>
      <c r="BK156" t="s">
        <v>0</v>
      </c>
      <c r="BL156" s="5">
        <v>0</v>
      </c>
      <c r="BM156" t="s">
        <v>0</v>
      </c>
      <c r="BN156" t="s">
        <v>0</v>
      </c>
      <c r="BO156" t="s">
        <v>0</v>
      </c>
      <c r="BP156" t="s">
        <v>17</v>
      </c>
      <c r="BQ156" t="s">
        <v>0</v>
      </c>
      <c r="BR156" t="s">
        <v>17</v>
      </c>
      <c r="BS156" t="s">
        <v>17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</row>
    <row r="157" spans="1:80" ht="13.95" customHeight="1" x14ac:dyDescent="0.25">
      <c r="A157" t="s">
        <v>296</v>
      </c>
      <c r="B157" s="2">
        <v>45612</v>
      </c>
      <c r="C157" s="2">
        <v>45612</v>
      </c>
      <c r="D157" s="2">
        <v>45641</v>
      </c>
      <c r="E157" t="s">
        <v>2</v>
      </c>
      <c r="F157" t="s">
        <v>3</v>
      </c>
      <c r="G157" t="s">
        <v>0</v>
      </c>
      <c r="H157" t="s">
        <v>4</v>
      </c>
      <c r="I157" t="s">
        <v>297</v>
      </c>
      <c r="J157" t="s">
        <v>6</v>
      </c>
      <c r="K157" t="s">
        <v>22</v>
      </c>
      <c r="L157" t="s">
        <v>70</v>
      </c>
      <c r="M157" t="s">
        <v>71</v>
      </c>
      <c r="N157" t="s">
        <v>10</v>
      </c>
      <c r="O157" t="s">
        <v>0</v>
      </c>
      <c r="P157" t="s">
        <v>11</v>
      </c>
      <c r="Q157" s="5">
        <v>9</v>
      </c>
      <c r="R157" s="4">
        <v>52500</v>
      </c>
      <c r="S157" s="5">
        <v>1</v>
      </c>
      <c r="T157" s="4">
        <v>472500</v>
      </c>
      <c r="U157" s="5">
        <v>0</v>
      </c>
      <c r="V157" s="4">
        <v>0</v>
      </c>
      <c r="W157" s="5">
        <v>0</v>
      </c>
      <c r="X157" s="4">
        <v>0</v>
      </c>
      <c r="Y157" s="4">
        <f t="shared" si="4"/>
        <v>472500</v>
      </c>
      <c r="Z157" s="6" t="s">
        <v>0</v>
      </c>
      <c r="AA157" t="s">
        <v>2</v>
      </c>
      <c r="AB157" t="s">
        <v>12</v>
      </c>
      <c r="AC157">
        <f>_xlfn.XLOOKUP(AB157,'[1]GST Codes'!$A:$A,'[1]GST Codes'!$C:$C,0,0)</f>
        <v>18</v>
      </c>
      <c r="AD157">
        <f t="shared" si="5"/>
        <v>557550</v>
      </c>
      <c r="AE157" t="s">
        <v>13</v>
      </c>
      <c r="AF157" t="s">
        <v>0</v>
      </c>
      <c r="AG157" t="s">
        <v>14</v>
      </c>
      <c r="AH157" t="s">
        <v>15</v>
      </c>
      <c r="AI157" t="s">
        <v>16</v>
      </c>
      <c r="AJ157" t="s">
        <v>17</v>
      </c>
      <c r="AK157" t="s">
        <v>18</v>
      </c>
      <c r="AL157" t="s">
        <v>19</v>
      </c>
      <c r="AM157" t="s">
        <v>297</v>
      </c>
      <c r="AN157" t="s">
        <v>0</v>
      </c>
      <c r="AO157" t="s">
        <v>0</v>
      </c>
      <c r="AP157" t="s">
        <v>0</v>
      </c>
      <c r="AQ157" s="5">
        <v>9</v>
      </c>
      <c r="AR157" t="s">
        <v>11</v>
      </c>
      <c r="AS157" t="s">
        <v>0</v>
      </c>
      <c r="AT157" t="s">
        <v>17</v>
      </c>
      <c r="AU157" s="4">
        <v>0</v>
      </c>
      <c r="AV157" s="4">
        <v>0</v>
      </c>
      <c r="AW157" s="4">
        <v>0</v>
      </c>
      <c r="AX157" s="4">
        <v>0</v>
      </c>
      <c r="AY157" s="5">
        <v>0</v>
      </c>
      <c r="AZ157" s="5">
        <v>0</v>
      </c>
      <c r="BA157" s="5">
        <v>0</v>
      </c>
      <c r="BB157" s="2"/>
      <c r="BC157" t="s">
        <v>0</v>
      </c>
      <c r="BD157" s="5">
        <v>1</v>
      </c>
      <c r="BE157" t="s">
        <v>0</v>
      </c>
      <c r="BF157" t="s">
        <v>298</v>
      </c>
      <c r="BG157" t="s">
        <v>17</v>
      </c>
      <c r="BH157" t="s">
        <v>0</v>
      </c>
      <c r="BI157" t="s">
        <v>11</v>
      </c>
      <c r="BJ157" t="s">
        <v>0</v>
      </c>
      <c r="BK157" t="s">
        <v>0</v>
      </c>
      <c r="BL157" s="5">
        <v>0</v>
      </c>
      <c r="BM157" t="s">
        <v>0</v>
      </c>
      <c r="BN157" t="s">
        <v>0</v>
      </c>
      <c r="BO157" t="s">
        <v>0</v>
      </c>
      <c r="BP157" t="s">
        <v>17</v>
      </c>
      <c r="BQ157" t="s">
        <v>0</v>
      </c>
      <c r="BR157" t="s">
        <v>17</v>
      </c>
      <c r="BS157" t="s">
        <v>17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</row>
    <row r="158" spans="1:80" ht="13.95" customHeight="1" x14ac:dyDescent="0.25">
      <c r="A158" t="s">
        <v>296</v>
      </c>
      <c r="B158" s="2">
        <v>45612</v>
      </c>
      <c r="C158" s="2">
        <v>45612</v>
      </c>
      <c r="D158" s="2">
        <v>45641</v>
      </c>
      <c r="E158" t="s">
        <v>2</v>
      </c>
      <c r="F158" t="s">
        <v>3</v>
      </c>
      <c r="G158" t="s">
        <v>0</v>
      </c>
      <c r="H158" t="s">
        <v>4</v>
      </c>
      <c r="I158" t="s">
        <v>297</v>
      </c>
      <c r="J158" t="s">
        <v>6</v>
      </c>
      <c r="K158" t="s">
        <v>26</v>
      </c>
      <c r="L158" t="s">
        <v>70</v>
      </c>
      <c r="M158" t="s">
        <v>71</v>
      </c>
      <c r="N158" t="s">
        <v>10</v>
      </c>
      <c r="O158" t="s">
        <v>0</v>
      </c>
      <c r="P158" t="s">
        <v>11</v>
      </c>
      <c r="Q158" s="5">
        <v>9</v>
      </c>
      <c r="R158" s="4">
        <v>52500</v>
      </c>
      <c r="S158" s="5">
        <v>1</v>
      </c>
      <c r="T158" s="4">
        <v>472500</v>
      </c>
      <c r="U158" s="5">
        <v>0</v>
      </c>
      <c r="V158" s="4">
        <v>0</v>
      </c>
      <c r="W158" s="5">
        <v>0</v>
      </c>
      <c r="X158" s="4">
        <v>0</v>
      </c>
      <c r="Y158" s="4">
        <f t="shared" si="4"/>
        <v>472500</v>
      </c>
      <c r="Z158" s="6" t="s">
        <v>0</v>
      </c>
      <c r="AA158" t="s">
        <v>2</v>
      </c>
      <c r="AB158" t="s">
        <v>12</v>
      </c>
      <c r="AC158">
        <f>_xlfn.XLOOKUP(AB158,'[1]GST Codes'!$A:$A,'[1]GST Codes'!$C:$C,0,0)</f>
        <v>18</v>
      </c>
      <c r="AD158">
        <f t="shared" si="5"/>
        <v>557550</v>
      </c>
      <c r="AE158" t="s">
        <v>13</v>
      </c>
      <c r="AF158" t="s">
        <v>0</v>
      </c>
      <c r="AG158" t="s">
        <v>14</v>
      </c>
      <c r="AH158" t="s">
        <v>15</v>
      </c>
      <c r="AI158" t="s">
        <v>16</v>
      </c>
      <c r="AJ158" t="s">
        <v>17</v>
      </c>
      <c r="AK158" t="s">
        <v>18</v>
      </c>
      <c r="AL158" t="s">
        <v>19</v>
      </c>
      <c r="AM158" t="s">
        <v>297</v>
      </c>
      <c r="AN158" t="s">
        <v>0</v>
      </c>
      <c r="AO158" t="s">
        <v>0</v>
      </c>
      <c r="AP158" t="s">
        <v>0</v>
      </c>
      <c r="AQ158" s="5">
        <v>9</v>
      </c>
      <c r="AR158" t="s">
        <v>11</v>
      </c>
      <c r="AS158" t="s">
        <v>0</v>
      </c>
      <c r="AT158" t="s">
        <v>17</v>
      </c>
      <c r="AU158" s="4">
        <v>0</v>
      </c>
      <c r="AV158" s="4">
        <v>0</v>
      </c>
      <c r="AW158" s="4">
        <v>0</v>
      </c>
      <c r="AX158" s="4">
        <v>0</v>
      </c>
      <c r="AY158" s="5">
        <v>0</v>
      </c>
      <c r="AZ158" s="5">
        <v>0</v>
      </c>
      <c r="BA158" s="5">
        <v>0</v>
      </c>
      <c r="BB158" s="2"/>
      <c r="BC158" t="s">
        <v>0</v>
      </c>
      <c r="BD158" s="5">
        <v>1</v>
      </c>
      <c r="BE158" t="s">
        <v>0</v>
      </c>
      <c r="BF158" t="s">
        <v>298</v>
      </c>
      <c r="BG158" t="s">
        <v>17</v>
      </c>
      <c r="BH158" t="s">
        <v>0</v>
      </c>
      <c r="BI158" t="s">
        <v>11</v>
      </c>
      <c r="BJ158" t="s">
        <v>0</v>
      </c>
      <c r="BK158" t="s">
        <v>0</v>
      </c>
      <c r="BL158" s="5">
        <v>0</v>
      </c>
      <c r="BM158" t="s">
        <v>0</v>
      </c>
      <c r="BN158" t="s">
        <v>0</v>
      </c>
      <c r="BO158" t="s">
        <v>0</v>
      </c>
      <c r="BP158" t="s">
        <v>17</v>
      </c>
      <c r="BQ158" t="s">
        <v>0</v>
      </c>
      <c r="BR158" t="s">
        <v>17</v>
      </c>
      <c r="BS158" t="s">
        <v>17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</row>
    <row r="159" spans="1:80" ht="13.95" customHeight="1" x14ac:dyDescent="0.25">
      <c r="A159" t="s">
        <v>296</v>
      </c>
      <c r="B159" s="2">
        <v>45612</v>
      </c>
      <c r="C159" s="2">
        <v>45612</v>
      </c>
      <c r="D159" s="2">
        <v>45641</v>
      </c>
      <c r="E159" t="s">
        <v>2</v>
      </c>
      <c r="F159" t="s">
        <v>3</v>
      </c>
      <c r="G159" t="s">
        <v>0</v>
      </c>
      <c r="H159" t="s">
        <v>4</v>
      </c>
      <c r="I159" t="s">
        <v>297</v>
      </c>
      <c r="J159" t="s">
        <v>6</v>
      </c>
      <c r="K159" t="s">
        <v>30</v>
      </c>
      <c r="L159" t="s">
        <v>70</v>
      </c>
      <c r="M159" t="s">
        <v>71</v>
      </c>
      <c r="N159" t="s">
        <v>10</v>
      </c>
      <c r="O159" t="s">
        <v>0</v>
      </c>
      <c r="P159" t="s">
        <v>11</v>
      </c>
      <c r="Q159" s="5">
        <v>34</v>
      </c>
      <c r="R159" s="4">
        <v>52500</v>
      </c>
      <c r="S159" s="5">
        <v>1</v>
      </c>
      <c r="T159" s="4">
        <v>1785000</v>
      </c>
      <c r="U159" s="5">
        <v>0</v>
      </c>
      <c r="V159" s="4">
        <v>0</v>
      </c>
      <c r="W159" s="5">
        <v>0</v>
      </c>
      <c r="X159" s="4">
        <v>0</v>
      </c>
      <c r="Y159" s="4">
        <f t="shared" si="4"/>
        <v>1785000</v>
      </c>
      <c r="Z159" s="6" t="s">
        <v>0</v>
      </c>
      <c r="AA159" t="s">
        <v>2</v>
      </c>
      <c r="AB159" t="s">
        <v>12</v>
      </c>
      <c r="AC159">
        <f>_xlfn.XLOOKUP(AB159,'[1]GST Codes'!$A:$A,'[1]GST Codes'!$C:$C,0,0)</f>
        <v>18</v>
      </c>
      <c r="AD159">
        <f t="shared" si="5"/>
        <v>2106300</v>
      </c>
      <c r="AE159" t="s">
        <v>13</v>
      </c>
      <c r="AF159" t="s">
        <v>0</v>
      </c>
      <c r="AG159" t="s">
        <v>14</v>
      </c>
      <c r="AH159" t="s">
        <v>15</v>
      </c>
      <c r="AI159" t="s">
        <v>16</v>
      </c>
      <c r="AJ159" t="s">
        <v>17</v>
      </c>
      <c r="AK159" t="s">
        <v>18</v>
      </c>
      <c r="AL159" t="s">
        <v>19</v>
      </c>
      <c r="AM159" t="s">
        <v>297</v>
      </c>
      <c r="AN159" t="s">
        <v>0</v>
      </c>
      <c r="AO159" t="s">
        <v>0</v>
      </c>
      <c r="AP159" t="s">
        <v>0</v>
      </c>
      <c r="AQ159" s="5">
        <v>34</v>
      </c>
      <c r="AR159" t="s">
        <v>11</v>
      </c>
      <c r="AS159" t="s">
        <v>0</v>
      </c>
      <c r="AT159" t="s">
        <v>17</v>
      </c>
      <c r="AU159" s="4">
        <v>0</v>
      </c>
      <c r="AV159" s="4">
        <v>0</v>
      </c>
      <c r="AW159" s="4">
        <v>0</v>
      </c>
      <c r="AX159" s="4">
        <v>0</v>
      </c>
      <c r="AY159" s="5">
        <v>0</v>
      </c>
      <c r="AZ159" s="5">
        <v>0</v>
      </c>
      <c r="BA159" s="5">
        <v>0</v>
      </c>
      <c r="BB159" s="2"/>
      <c r="BC159" t="s">
        <v>0</v>
      </c>
      <c r="BD159" s="5">
        <v>1</v>
      </c>
      <c r="BE159" t="s">
        <v>0</v>
      </c>
      <c r="BF159" t="s">
        <v>298</v>
      </c>
      <c r="BG159" t="s">
        <v>17</v>
      </c>
      <c r="BH159" t="s">
        <v>0</v>
      </c>
      <c r="BI159" t="s">
        <v>11</v>
      </c>
      <c r="BJ159" t="s">
        <v>0</v>
      </c>
      <c r="BK159" t="s">
        <v>0</v>
      </c>
      <c r="BL159" s="5">
        <v>0</v>
      </c>
      <c r="BM159" t="s">
        <v>0</v>
      </c>
      <c r="BN159" t="s">
        <v>0</v>
      </c>
      <c r="BO159" t="s">
        <v>0</v>
      </c>
      <c r="BP159" t="s">
        <v>17</v>
      </c>
      <c r="BQ159" t="s">
        <v>0</v>
      </c>
      <c r="BR159" t="s">
        <v>17</v>
      </c>
      <c r="BS159" t="s">
        <v>17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</row>
    <row r="160" spans="1:80" ht="13.95" customHeight="1" x14ac:dyDescent="0.25">
      <c r="A160" t="s">
        <v>299</v>
      </c>
      <c r="B160" s="2">
        <v>45703</v>
      </c>
      <c r="C160" s="2"/>
      <c r="D160" s="2"/>
      <c r="E160" t="s">
        <v>2</v>
      </c>
      <c r="F160" t="s">
        <v>3</v>
      </c>
      <c r="G160" t="s">
        <v>0</v>
      </c>
      <c r="H160" t="s">
        <v>4</v>
      </c>
      <c r="I160" t="s">
        <v>297</v>
      </c>
      <c r="J160" t="s">
        <v>6</v>
      </c>
      <c r="K160" t="s">
        <v>7</v>
      </c>
      <c r="L160" t="s">
        <v>70</v>
      </c>
      <c r="M160" t="s">
        <v>71</v>
      </c>
      <c r="N160" t="s">
        <v>10</v>
      </c>
      <c r="O160" t="s">
        <v>0</v>
      </c>
      <c r="P160" t="s">
        <v>11</v>
      </c>
      <c r="Q160" s="3">
        <v>7.5</v>
      </c>
      <c r="R160" s="4">
        <v>51200</v>
      </c>
      <c r="S160" s="5">
        <v>1</v>
      </c>
      <c r="T160" s="4">
        <v>384000</v>
      </c>
      <c r="U160" s="5">
        <v>0</v>
      </c>
      <c r="V160" s="4">
        <v>0</v>
      </c>
      <c r="W160" s="5">
        <v>0</v>
      </c>
      <c r="X160" s="4">
        <v>0</v>
      </c>
      <c r="Y160" s="4">
        <f t="shared" si="4"/>
        <v>384000</v>
      </c>
      <c r="Z160" s="6" t="s">
        <v>0</v>
      </c>
      <c r="AA160" t="s">
        <v>2</v>
      </c>
      <c r="AB160" t="s">
        <v>12</v>
      </c>
      <c r="AC160">
        <f>_xlfn.XLOOKUP(AB160,'[1]GST Codes'!$A:$A,'[1]GST Codes'!$C:$C,0,0)</f>
        <v>18</v>
      </c>
      <c r="AD160">
        <f t="shared" si="5"/>
        <v>453120</v>
      </c>
      <c r="AE160" t="s">
        <v>13</v>
      </c>
      <c r="AF160" t="s">
        <v>0</v>
      </c>
      <c r="AG160" t="s">
        <v>14</v>
      </c>
      <c r="AH160" t="s">
        <v>15</v>
      </c>
      <c r="AI160" t="s">
        <v>16</v>
      </c>
      <c r="AJ160" t="s">
        <v>17</v>
      </c>
      <c r="AK160" t="s">
        <v>18</v>
      </c>
      <c r="AL160" t="s">
        <v>19</v>
      </c>
      <c r="AM160" t="s">
        <v>297</v>
      </c>
      <c r="AN160" t="s">
        <v>0</v>
      </c>
      <c r="AO160" t="s">
        <v>0</v>
      </c>
      <c r="AP160" t="s">
        <v>0</v>
      </c>
      <c r="AQ160" s="3">
        <v>7.5</v>
      </c>
      <c r="AR160" t="s">
        <v>11</v>
      </c>
      <c r="AS160" t="s">
        <v>0</v>
      </c>
      <c r="AT160" t="s">
        <v>17</v>
      </c>
      <c r="AU160" s="4">
        <v>0</v>
      </c>
      <c r="AV160" s="4">
        <v>0</v>
      </c>
      <c r="AW160" s="4">
        <v>0</v>
      </c>
      <c r="AX160" s="4">
        <v>0</v>
      </c>
      <c r="AY160" s="5">
        <v>0</v>
      </c>
      <c r="AZ160" s="5">
        <v>0</v>
      </c>
      <c r="BA160" s="5">
        <v>0</v>
      </c>
      <c r="BB160" s="2"/>
      <c r="BC160" t="s">
        <v>0</v>
      </c>
      <c r="BD160" s="5">
        <v>1</v>
      </c>
      <c r="BE160" t="s">
        <v>0</v>
      </c>
      <c r="BF160" t="s">
        <v>298</v>
      </c>
      <c r="BG160" t="s">
        <v>17</v>
      </c>
      <c r="BH160" t="s">
        <v>0</v>
      </c>
      <c r="BI160" t="s">
        <v>11</v>
      </c>
      <c r="BJ160" t="s">
        <v>0</v>
      </c>
      <c r="BK160" t="s">
        <v>0</v>
      </c>
      <c r="BL160" s="5">
        <v>0</v>
      </c>
      <c r="BM160" t="s">
        <v>0</v>
      </c>
      <c r="BN160" t="s">
        <v>0</v>
      </c>
      <c r="BO160" t="s">
        <v>0</v>
      </c>
      <c r="BP160" t="s">
        <v>17</v>
      </c>
      <c r="BQ160" t="s">
        <v>0</v>
      </c>
      <c r="BR160" t="s">
        <v>17</v>
      </c>
      <c r="BS160" t="s">
        <v>17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</row>
    <row r="161" spans="1:80" ht="13.95" customHeight="1" x14ac:dyDescent="0.25">
      <c r="A161" t="s">
        <v>299</v>
      </c>
      <c r="B161" s="2">
        <v>45703</v>
      </c>
      <c r="C161" s="2"/>
      <c r="D161" s="2"/>
      <c r="E161" t="s">
        <v>2</v>
      </c>
      <c r="F161" t="s">
        <v>3</v>
      </c>
      <c r="G161" t="s">
        <v>0</v>
      </c>
      <c r="H161" t="s">
        <v>4</v>
      </c>
      <c r="I161" t="s">
        <v>297</v>
      </c>
      <c r="J161" t="s">
        <v>6</v>
      </c>
      <c r="K161" t="s">
        <v>22</v>
      </c>
      <c r="L161" t="s">
        <v>70</v>
      </c>
      <c r="M161" t="s">
        <v>71</v>
      </c>
      <c r="N161" t="s">
        <v>10</v>
      </c>
      <c r="O161" t="s">
        <v>0</v>
      </c>
      <c r="P161" t="s">
        <v>11</v>
      </c>
      <c r="Q161" s="3">
        <v>7.5</v>
      </c>
      <c r="R161" s="4">
        <v>51200</v>
      </c>
      <c r="S161" s="5">
        <v>1</v>
      </c>
      <c r="T161" s="4">
        <v>384000</v>
      </c>
      <c r="U161" s="5">
        <v>0</v>
      </c>
      <c r="V161" s="4">
        <v>0</v>
      </c>
      <c r="W161" s="5">
        <v>0</v>
      </c>
      <c r="X161" s="4">
        <v>0</v>
      </c>
      <c r="Y161" s="4">
        <f t="shared" si="4"/>
        <v>384000</v>
      </c>
      <c r="Z161" s="6" t="s">
        <v>0</v>
      </c>
      <c r="AA161" t="s">
        <v>2</v>
      </c>
      <c r="AB161" t="s">
        <v>12</v>
      </c>
      <c r="AC161">
        <f>_xlfn.XLOOKUP(AB161,'[1]GST Codes'!$A:$A,'[1]GST Codes'!$C:$C,0,0)</f>
        <v>18</v>
      </c>
      <c r="AD161">
        <f t="shared" si="5"/>
        <v>453120</v>
      </c>
      <c r="AE161" t="s">
        <v>13</v>
      </c>
      <c r="AF161" t="s">
        <v>0</v>
      </c>
      <c r="AG161" t="s">
        <v>14</v>
      </c>
      <c r="AH161" t="s">
        <v>15</v>
      </c>
      <c r="AI161" t="s">
        <v>16</v>
      </c>
      <c r="AJ161" t="s">
        <v>17</v>
      </c>
      <c r="AK161" t="s">
        <v>18</v>
      </c>
      <c r="AL161" t="s">
        <v>19</v>
      </c>
      <c r="AM161" t="s">
        <v>297</v>
      </c>
      <c r="AN161" t="s">
        <v>0</v>
      </c>
      <c r="AO161" t="s">
        <v>0</v>
      </c>
      <c r="AP161" t="s">
        <v>0</v>
      </c>
      <c r="AQ161" s="3">
        <v>7.5</v>
      </c>
      <c r="AR161" t="s">
        <v>11</v>
      </c>
      <c r="AS161" t="s">
        <v>0</v>
      </c>
      <c r="AT161" t="s">
        <v>17</v>
      </c>
      <c r="AU161" s="4">
        <v>0</v>
      </c>
      <c r="AV161" s="4">
        <v>0</v>
      </c>
      <c r="AW161" s="4">
        <v>0</v>
      </c>
      <c r="AX161" s="4">
        <v>0</v>
      </c>
      <c r="AY161" s="5">
        <v>0</v>
      </c>
      <c r="AZ161" s="5">
        <v>0</v>
      </c>
      <c r="BA161" s="5">
        <v>0</v>
      </c>
      <c r="BB161" s="2"/>
      <c r="BC161" t="s">
        <v>0</v>
      </c>
      <c r="BD161" s="5">
        <v>1</v>
      </c>
      <c r="BE161" t="s">
        <v>0</v>
      </c>
      <c r="BF161" t="s">
        <v>298</v>
      </c>
      <c r="BG161" t="s">
        <v>17</v>
      </c>
      <c r="BH161" t="s">
        <v>0</v>
      </c>
      <c r="BI161" t="s">
        <v>11</v>
      </c>
      <c r="BJ161" t="s">
        <v>0</v>
      </c>
      <c r="BK161" t="s">
        <v>0</v>
      </c>
      <c r="BL161" s="5">
        <v>0</v>
      </c>
      <c r="BM161" t="s">
        <v>0</v>
      </c>
      <c r="BN161" t="s">
        <v>0</v>
      </c>
      <c r="BO161" t="s">
        <v>0</v>
      </c>
      <c r="BP161" t="s">
        <v>17</v>
      </c>
      <c r="BQ161" t="s">
        <v>0</v>
      </c>
      <c r="BR161" t="s">
        <v>17</v>
      </c>
      <c r="BS161" t="s">
        <v>17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</row>
    <row r="162" spans="1:80" ht="13.95" customHeight="1" x14ac:dyDescent="0.25">
      <c r="A162" t="s">
        <v>299</v>
      </c>
      <c r="B162" s="2">
        <v>45703</v>
      </c>
      <c r="C162" s="2"/>
      <c r="D162" s="2"/>
      <c r="E162" t="s">
        <v>2</v>
      </c>
      <c r="F162" t="s">
        <v>3</v>
      </c>
      <c r="G162" t="s">
        <v>0</v>
      </c>
      <c r="H162" t="s">
        <v>4</v>
      </c>
      <c r="I162" t="s">
        <v>297</v>
      </c>
      <c r="J162" t="s">
        <v>6</v>
      </c>
      <c r="K162" t="s">
        <v>26</v>
      </c>
      <c r="L162" t="s">
        <v>35</v>
      </c>
      <c r="M162" t="s">
        <v>36</v>
      </c>
      <c r="N162" t="s">
        <v>10</v>
      </c>
      <c r="O162" t="s">
        <v>0</v>
      </c>
      <c r="P162" t="s">
        <v>11</v>
      </c>
      <c r="Q162" s="5">
        <v>39</v>
      </c>
      <c r="R162" s="4">
        <v>50200</v>
      </c>
      <c r="S162" s="5">
        <v>1</v>
      </c>
      <c r="T162" s="4">
        <v>1957800</v>
      </c>
      <c r="U162" s="5">
        <v>0</v>
      </c>
      <c r="V162" s="4">
        <v>0</v>
      </c>
      <c r="W162" s="5">
        <v>0</v>
      </c>
      <c r="X162" s="4">
        <v>0</v>
      </c>
      <c r="Y162" s="4">
        <f t="shared" si="4"/>
        <v>1957800</v>
      </c>
      <c r="Z162" s="6" t="s">
        <v>0</v>
      </c>
      <c r="AA162" t="s">
        <v>2</v>
      </c>
      <c r="AB162" t="s">
        <v>12</v>
      </c>
      <c r="AC162">
        <f>_xlfn.XLOOKUP(AB162,'[1]GST Codes'!$A:$A,'[1]GST Codes'!$C:$C,0,0)</f>
        <v>18</v>
      </c>
      <c r="AD162">
        <f t="shared" si="5"/>
        <v>2310204</v>
      </c>
      <c r="AE162" t="s">
        <v>13</v>
      </c>
      <c r="AF162" t="s">
        <v>0</v>
      </c>
      <c r="AG162" t="s">
        <v>14</v>
      </c>
      <c r="AH162" t="s">
        <v>15</v>
      </c>
      <c r="AI162" t="s">
        <v>16</v>
      </c>
      <c r="AJ162" t="s">
        <v>17</v>
      </c>
      <c r="AK162" t="s">
        <v>18</v>
      </c>
      <c r="AL162" t="s">
        <v>19</v>
      </c>
      <c r="AM162" t="s">
        <v>297</v>
      </c>
      <c r="AN162" t="s">
        <v>0</v>
      </c>
      <c r="AO162" t="s">
        <v>0</v>
      </c>
      <c r="AP162" t="s">
        <v>0</v>
      </c>
      <c r="AQ162" s="5">
        <v>39</v>
      </c>
      <c r="AR162" t="s">
        <v>11</v>
      </c>
      <c r="AS162" t="s">
        <v>0</v>
      </c>
      <c r="AT162" t="s">
        <v>17</v>
      </c>
      <c r="AU162" s="4">
        <v>0</v>
      </c>
      <c r="AV162" s="4">
        <v>0</v>
      </c>
      <c r="AW162" s="4">
        <v>0</v>
      </c>
      <c r="AX162" s="4">
        <v>0</v>
      </c>
      <c r="AY162" s="5">
        <v>0</v>
      </c>
      <c r="AZ162" s="5">
        <v>0</v>
      </c>
      <c r="BA162" s="5">
        <v>0</v>
      </c>
      <c r="BB162" s="2"/>
      <c r="BC162" t="s">
        <v>0</v>
      </c>
      <c r="BD162" s="5">
        <v>1</v>
      </c>
      <c r="BE162" t="s">
        <v>0</v>
      </c>
      <c r="BF162" t="s">
        <v>300</v>
      </c>
      <c r="BG162" t="s">
        <v>17</v>
      </c>
      <c r="BH162" t="s">
        <v>0</v>
      </c>
      <c r="BI162" t="s">
        <v>11</v>
      </c>
      <c r="BJ162" t="s">
        <v>0</v>
      </c>
      <c r="BK162" t="s">
        <v>0</v>
      </c>
      <c r="BL162" s="5">
        <v>0</v>
      </c>
      <c r="BM162" t="s">
        <v>0</v>
      </c>
      <c r="BN162" t="s">
        <v>0</v>
      </c>
      <c r="BO162" t="s">
        <v>0</v>
      </c>
      <c r="BP162" t="s">
        <v>17</v>
      </c>
      <c r="BQ162" t="s">
        <v>0</v>
      </c>
      <c r="BR162" t="s">
        <v>17</v>
      </c>
      <c r="BS162" t="s">
        <v>17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</row>
    <row r="163" spans="1:80" ht="13.95" customHeight="1" x14ac:dyDescent="0.25">
      <c r="A163" t="s">
        <v>299</v>
      </c>
      <c r="B163" s="2">
        <v>45703</v>
      </c>
      <c r="C163" s="2"/>
      <c r="D163" s="2"/>
      <c r="E163" t="s">
        <v>2</v>
      </c>
      <c r="F163" t="s">
        <v>3</v>
      </c>
      <c r="G163" t="s">
        <v>0</v>
      </c>
      <c r="H163" t="s">
        <v>4</v>
      </c>
      <c r="I163" t="s">
        <v>297</v>
      </c>
      <c r="J163" t="s">
        <v>6</v>
      </c>
      <c r="K163" t="s">
        <v>30</v>
      </c>
      <c r="L163" t="s">
        <v>35</v>
      </c>
      <c r="M163" t="s">
        <v>36</v>
      </c>
      <c r="N163" t="s">
        <v>10</v>
      </c>
      <c r="O163" t="s">
        <v>0</v>
      </c>
      <c r="P163" t="s">
        <v>11</v>
      </c>
      <c r="Q163" s="5">
        <v>39</v>
      </c>
      <c r="R163" s="4">
        <v>50200</v>
      </c>
      <c r="S163" s="5">
        <v>1</v>
      </c>
      <c r="T163" s="4">
        <v>1957800</v>
      </c>
      <c r="U163" s="5">
        <v>0</v>
      </c>
      <c r="V163" s="4">
        <v>0</v>
      </c>
      <c r="W163" s="5">
        <v>0</v>
      </c>
      <c r="X163" s="4">
        <v>0</v>
      </c>
      <c r="Y163" s="4">
        <f t="shared" si="4"/>
        <v>1957800</v>
      </c>
      <c r="Z163" s="6" t="s">
        <v>0</v>
      </c>
      <c r="AA163" t="s">
        <v>2</v>
      </c>
      <c r="AB163" t="s">
        <v>12</v>
      </c>
      <c r="AC163">
        <f>_xlfn.XLOOKUP(AB163,'[1]GST Codes'!$A:$A,'[1]GST Codes'!$C:$C,0,0)</f>
        <v>18</v>
      </c>
      <c r="AD163">
        <f t="shared" si="5"/>
        <v>2310204</v>
      </c>
      <c r="AE163" t="s">
        <v>13</v>
      </c>
      <c r="AF163" t="s">
        <v>0</v>
      </c>
      <c r="AG163" t="s">
        <v>14</v>
      </c>
      <c r="AH163" t="s">
        <v>15</v>
      </c>
      <c r="AI163" t="s">
        <v>16</v>
      </c>
      <c r="AJ163" t="s">
        <v>17</v>
      </c>
      <c r="AK163" t="s">
        <v>18</v>
      </c>
      <c r="AL163" t="s">
        <v>19</v>
      </c>
      <c r="AM163" t="s">
        <v>297</v>
      </c>
      <c r="AN163" t="s">
        <v>0</v>
      </c>
      <c r="AO163" t="s">
        <v>0</v>
      </c>
      <c r="AP163" t="s">
        <v>0</v>
      </c>
      <c r="AQ163" s="5">
        <v>39</v>
      </c>
      <c r="AR163" t="s">
        <v>11</v>
      </c>
      <c r="AS163" t="s">
        <v>0</v>
      </c>
      <c r="AT163" t="s">
        <v>17</v>
      </c>
      <c r="AU163" s="4">
        <v>0</v>
      </c>
      <c r="AV163" s="4">
        <v>0</v>
      </c>
      <c r="AW163" s="4">
        <v>0</v>
      </c>
      <c r="AX163" s="4">
        <v>0</v>
      </c>
      <c r="AY163" s="5">
        <v>0</v>
      </c>
      <c r="AZ163" s="5">
        <v>0</v>
      </c>
      <c r="BA163" s="5">
        <v>0</v>
      </c>
      <c r="BB163" s="2"/>
      <c r="BC163" t="s">
        <v>0</v>
      </c>
      <c r="BD163" s="5">
        <v>1</v>
      </c>
      <c r="BE163" t="s">
        <v>0</v>
      </c>
      <c r="BF163" t="s">
        <v>300</v>
      </c>
      <c r="BG163" t="s">
        <v>17</v>
      </c>
      <c r="BH163" t="s">
        <v>0</v>
      </c>
      <c r="BI163" t="s">
        <v>11</v>
      </c>
      <c r="BJ163" t="s">
        <v>0</v>
      </c>
      <c r="BK163" t="s">
        <v>0</v>
      </c>
      <c r="BL163" s="5">
        <v>0</v>
      </c>
      <c r="BM163" t="s">
        <v>0</v>
      </c>
      <c r="BN163" t="s">
        <v>0</v>
      </c>
      <c r="BO163" t="s">
        <v>0</v>
      </c>
      <c r="BP163" t="s">
        <v>17</v>
      </c>
      <c r="BQ163" t="s">
        <v>0</v>
      </c>
      <c r="BR163" t="s">
        <v>17</v>
      </c>
      <c r="BS163" t="s">
        <v>17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</row>
    <row r="164" spans="1:80" ht="13.95" customHeight="1" x14ac:dyDescent="0.25">
      <c r="A164" t="s">
        <v>299</v>
      </c>
      <c r="B164" s="2">
        <v>45703</v>
      </c>
      <c r="C164" s="2"/>
      <c r="D164" s="2"/>
      <c r="E164" t="s">
        <v>2</v>
      </c>
      <c r="F164" t="s">
        <v>3</v>
      </c>
      <c r="G164" t="s">
        <v>0</v>
      </c>
      <c r="H164" t="s">
        <v>4</v>
      </c>
      <c r="I164" t="s">
        <v>297</v>
      </c>
      <c r="J164" t="s">
        <v>6</v>
      </c>
      <c r="K164" t="s">
        <v>34</v>
      </c>
      <c r="L164" t="s">
        <v>35</v>
      </c>
      <c r="M164" t="s">
        <v>36</v>
      </c>
      <c r="N164" t="s">
        <v>10</v>
      </c>
      <c r="O164" t="s">
        <v>0</v>
      </c>
      <c r="P164" t="s">
        <v>11</v>
      </c>
      <c r="Q164" s="5">
        <v>60</v>
      </c>
      <c r="R164" s="4">
        <v>50200</v>
      </c>
      <c r="S164" s="5">
        <v>1</v>
      </c>
      <c r="T164" s="4">
        <v>3012000</v>
      </c>
      <c r="U164" s="5">
        <v>0</v>
      </c>
      <c r="V164" s="4">
        <v>0</v>
      </c>
      <c r="W164" s="5">
        <v>0</v>
      </c>
      <c r="X164" s="4">
        <v>0</v>
      </c>
      <c r="Y164" s="4">
        <f t="shared" si="4"/>
        <v>3012000</v>
      </c>
      <c r="Z164" s="6" t="s">
        <v>0</v>
      </c>
      <c r="AA164" t="s">
        <v>2</v>
      </c>
      <c r="AB164" t="s">
        <v>12</v>
      </c>
      <c r="AC164">
        <f>_xlfn.XLOOKUP(AB164,'[1]GST Codes'!$A:$A,'[1]GST Codes'!$C:$C,0,0)</f>
        <v>18</v>
      </c>
      <c r="AD164">
        <f t="shared" si="5"/>
        <v>3554160</v>
      </c>
      <c r="AE164" t="s">
        <v>13</v>
      </c>
      <c r="AF164" t="s">
        <v>0</v>
      </c>
      <c r="AG164" t="s">
        <v>14</v>
      </c>
      <c r="AH164" t="s">
        <v>15</v>
      </c>
      <c r="AI164" t="s">
        <v>16</v>
      </c>
      <c r="AJ164" t="s">
        <v>17</v>
      </c>
      <c r="AK164" t="s">
        <v>18</v>
      </c>
      <c r="AL164" t="s">
        <v>19</v>
      </c>
      <c r="AM164" t="s">
        <v>297</v>
      </c>
      <c r="AN164" t="s">
        <v>0</v>
      </c>
      <c r="AO164" t="s">
        <v>0</v>
      </c>
      <c r="AP164" t="s">
        <v>0</v>
      </c>
      <c r="AQ164" s="5">
        <v>60</v>
      </c>
      <c r="AR164" t="s">
        <v>11</v>
      </c>
      <c r="AS164" t="s">
        <v>0</v>
      </c>
      <c r="AT164" t="s">
        <v>17</v>
      </c>
      <c r="AU164" s="4">
        <v>0</v>
      </c>
      <c r="AV164" s="4">
        <v>0</v>
      </c>
      <c r="AW164" s="4">
        <v>0</v>
      </c>
      <c r="AX164" s="4">
        <v>0</v>
      </c>
      <c r="AY164" s="5">
        <v>0</v>
      </c>
      <c r="AZ164" s="5">
        <v>0</v>
      </c>
      <c r="BA164" s="5">
        <v>0</v>
      </c>
      <c r="BB164" s="2"/>
      <c r="BC164" t="s">
        <v>0</v>
      </c>
      <c r="BD164" s="5">
        <v>1</v>
      </c>
      <c r="BE164" t="s">
        <v>0</v>
      </c>
      <c r="BF164" t="s">
        <v>300</v>
      </c>
      <c r="BG164" t="s">
        <v>17</v>
      </c>
      <c r="BH164" t="s">
        <v>0</v>
      </c>
      <c r="BI164" t="s">
        <v>11</v>
      </c>
      <c r="BJ164" t="s">
        <v>0</v>
      </c>
      <c r="BK164" t="s">
        <v>0</v>
      </c>
      <c r="BL164" s="5">
        <v>0</v>
      </c>
      <c r="BM164" t="s">
        <v>0</v>
      </c>
      <c r="BN164" t="s">
        <v>0</v>
      </c>
      <c r="BO164" t="s">
        <v>0</v>
      </c>
      <c r="BP164" t="s">
        <v>17</v>
      </c>
      <c r="BQ164" t="s">
        <v>0</v>
      </c>
      <c r="BR164" t="s">
        <v>17</v>
      </c>
      <c r="BS164" t="s">
        <v>17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</row>
    <row r="165" spans="1:80" ht="13.95" customHeight="1" x14ac:dyDescent="0.25">
      <c r="A165" t="s">
        <v>299</v>
      </c>
      <c r="B165" s="2">
        <v>45703</v>
      </c>
      <c r="C165" s="2"/>
      <c r="D165" s="2"/>
      <c r="E165" t="s">
        <v>2</v>
      </c>
      <c r="F165" t="s">
        <v>3</v>
      </c>
      <c r="G165" t="s">
        <v>0</v>
      </c>
      <c r="H165" t="s">
        <v>4</v>
      </c>
      <c r="I165" t="s">
        <v>297</v>
      </c>
      <c r="J165" t="s">
        <v>6</v>
      </c>
      <c r="K165" t="s">
        <v>38</v>
      </c>
      <c r="L165" t="s">
        <v>35</v>
      </c>
      <c r="M165" t="s">
        <v>36</v>
      </c>
      <c r="N165" t="s">
        <v>10</v>
      </c>
      <c r="O165" t="s">
        <v>0</v>
      </c>
      <c r="P165" t="s">
        <v>11</v>
      </c>
      <c r="Q165" s="5">
        <v>60</v>
      </c>
      <c r="R165" s="4">
        <v>50200</v>
      </c>
      <c r="S165" s="5">
        <v>1</v>
      </c>
      <c r="T165" s="4">
        <v>3012000</v>
      </c>
      <c r="U165" s="5">
        <v>0</v>
      </c>
      <c r="V165" s="4">
        <v>0</v>
      </c>
      <c r="W165" s="5">
        <v>0</v>
      </c>
      <c r="X165" s="4">
        <v>0</v>
      </c>
      <c r="Y165" s="4">
        <f t="shared" si="4"/>
        <v>3012000</v>
      </c>
      <c r="Z165" s="6" t="s">
        <v>0</v>
      </c>
      <c r="AA165" t="s">
        <v>2</v>
      </c>
      <c r="AB165" t="s">
        <v>12</v>
      </c>
      <c r="AC165">
        <f>_xlfn.XLOOKUP(AB165,'[1]GST Codes'!$A:$A,'[1]GST Codes'!$C:$C,0,0)</f>
        <v>18</v>
      </c>
      <c r="AD165">
        <f t="shared" si="5"/>
        <v>3554160</v>
      </c>
      <c r="AE165" t="s">
        <v>13</v>
      </c>
      <c r="AF165" t="s">
        <v>0</v>
      </c>
      <c r="AG165" t="s">
        <v>14</v>
      </c>
      <c r="AH165" t="s">
        <v>15</v>
      </c>
      <c r="AI165" t="s">
        <v>16</v>
      </c>
      <c r="AJ165" t="s">
        <v>17</v>
      </c>
      <c r="AK165" t="s">
        <v>18</v>
      </c>
      <c r="AL165" t="s">
        <v>19</v>
      </c>
      <c r="AM165" t="s">
        <v>297</v>
      </c>
      <c r="AN165" t="s">
        <v>0</v>
      </c>
      <c r="AO165" t="s">
        <v>0</v>
      </c>
      <c r="AP165" t="s">
        <v>0</v>
      </c>
      <c r="AQ165" s="5">
        <v>60</v>
      </c>
      <c r="AR165" t="s">
        <v>11</v>
      </c>
      <c r="AS165" t="s">
        <v>0</v>
      </c>
      <c r="AT165" t="s">
        <v>17</v>
      </c>
      <c r="AU165" s="4">
        <v>0</v>
      </c>
      <c r="AV165" s="4">
        <v>0</v>
      </c>
      <c r="AW165" s="4">
        <v>0</v>
      </c>
      <c r="AX165" s="4">
        <v>0</v>
      </c>
      <c r="AY165" s="5">
        <v>0</v>
      </c>
      <c r="AZ165" s="5">
        <v>0</v>
      </c>
      <c r="BA165" s="5">
        <v>0</v>
      </c>
      <c r="BB165" s="2"/>
      <c r="BC165" t="s">
        <v>0</v>
      </c>
      <c r="BD165" s="5">
        <v>1</v>
      </c>
      <c r="BE165" t="s">
        <v>0</v>
      </c>
      <c r="BF165" t="s">
        <v>300</v>
      </c>
      <c r="BG165" t="s">
        <v>17</v>
      </c>
      <c r="BH165" t="s">
        <v>0</v>
      </c>
      <c r="BI165" t="s">
        <v>11</v>
      </c>
      <c r="BJ165" t="s">
        <v>0</v>
      </c>
      <c r="BK165" t="s">
        <v>0</v>
      </c>
      <c r="BL165" s="5">
        <v>0</v>
      </c>
      <c r="BM165" t="s">
        <v>0</v>
      </c>
      <c r="BN165" t="s">
        <v>0</v>
      </c>
      <c r="BO165" t="s">
        <v>0</v>
      </c>
      <c r="BP165" t="s">
        <v>17</v>
      </c>
      <c r="BQ165" t="s">
        <v>0</v>
      </c>
      <c r="BR165" t="s">
        <v>17</v>
      </c>
      <c r="BS165" t="s">
        <v>17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</row>
    <row r="166" spans="1:80" ht="13.95" customHeight="1" x14ac:dyDescent="0.25">
      <c r="A166" t="s">
        <v>299</v>
      </c>
      <c r="B166" s="2">
        <v>45703</v>
      </c>
      <c r="C166" s="2"/>
      <c r="D166" s="2"/>
      <c r="E166" t="s">
        <v>2</v>
      </c>
      <c r="F166" t="s">
        <v>3</v>
      </c>
      <c r="G166" t="s">
        <v>0</v>
      </c>
      <c r="H166" t="s">
        <v>4</v>
      </c>
      <c r="I166" t="s">
        <v>297</v>
      </c>
      <c r="J166" t="s">
        <v>6</v>
      </c>
      <c r="K166" t="s">
        <v>42</v>
      </c>
      <c r="L166" t="s">
        <v>35</v>
      </c>
      <c r="M166" t="s">
        <v>36</v>
      </c>
      <c r="N166" t="s">
        <v>10</v>
      </c>
      <c r="O166" t="s">
        <v>0</v>
      </c>
      <c r="P166" t="s">
        <v>11</v>
      </c>
      <c r="Q166" s="5">
        <v>27</v>
      </c>
      <c r="R166" s="4">
        <v>50200</v>
      </c>
      <c r="S166" s="5">
        <v>1</v>
      </c>
      <c r="T166" s="4">
        <v>1355400</v>
      </c>
      <c r="U166" s="5">
        <v>0</v>
      </c>
      <c r="V166" s="4">
        <v>0</v>
      </c>
      <c r="W166" s="5">
        <v>0</v>
      </c>
      <c r="X166" s="4">
        <v>0</v>
      </c>
      <c r="Y166" s="4">
        <f t="shared" si="4"/>
        <v>1355400</v>
      </c>
      <c r="Z166" s="6" t="s">
        <v>0</v>
      </c>
      <c r="AA166" t="s">
        <v>2</v>
      </c>
      <c r="AB166" t="s">
        <v>12</v>
      </c>
      <c r="AC166">
        <f>_xlfn.XLOOKUP(AB166,'[1]GST Codes'!$A:$A,'[1]GST Codes'!$C:$C,0,0)</f>
        <v>18</v>
      </c>
      <c r="AD166">
        <f t="shared" si="5"/>
        <v>1599372</v>
      </c>
      <c r="AE166" t="s">
        <v>13</v>
      </c>
      <c r="AF166" t="s">
        <v>0</v>
      </c>
      <c r="AG166" t="s">
        <v>14</v>
      </c>
      <c r="AH166" t="s">
        <v>15</v>
      </c>
      <c r="AI166" t="s">
        <v>16</v>
      </c>
      <c r="AJ166" t="s">
        <v>17</v>
      </c>
      <c r="AK166" t="s">
        <v>18</v>
      </c>
      <c r="AL166" t="s">
        <v>19</v>
      </c>
      <c r="AM166" t="s">
        <v>297</v>
      </c>
      <c r="AN166" t="s">
        <v>0</v>
      </c>
      <c r="AO166" t="s">
        <v>0</v>
      </c>
      <c r="AP166" t="s">
        <v>0</v>
      </c>
      <c r="AQ166" s="5">
        <v>27</v>
      </c>
      <c r="AR166" t="s">
        <v>11</v>
      </c>
      <c r="AS166" t="s">
        <v>0</v>
      </c>
      <c r="AT166" t="s">
        <v>17</v>
      </c>
      <c r="AU166" s="4">
        <v>0</v>
      </c>
      <c r="AV166" s="4">
        <v>0</v>
      </c>
      <c r="AW166" s="4">
        <v>0</v>
      </c>
      <c r="AX166" s="4">
        <v>0</v>
      </c>
      <c r="AY166" s="5">
        <v>0</v>
      </c>
      <c r="AZ166" s="5">
        <v>0</v>
      </c>
      <c r="BA166" s="5">
        <v>0</v>
      </c>
      <c r="BB166" s="2"/>
      <c r="BC166" t="s">
        <v>0</v>
      </c>
      <c r="BD166" s="5">
        <v>1</v>
      </c>
      <c r="BE166" t="s">
        <v>0</v>
      </c>
      <c r="BF166" t="s">
        <v>300</v>
      </c>
      <c r="BG166" t="s">
        <v>17</v>
      </c>
      <c r="BH166" t="s">
        <v>0</v>
      </c>
      <c r="BI166" t="s">
        <v>11</v>
      </c>
      <c r="BJ166" t="s">
        <v>0</v>
      </c>
      <c r="BK166" t="s">
        <v>0</v>
      </c>
      <c r="BL166" s="5">
        <v>0</v>
      </c>
      <c r="BM166" t="s">
        <v>0</v>
      </c>
      <c r="BN166" t="s">
        <v>0</v>
      </c>
      <c r="BO166" t="s">
        <v>0</v>
      </c>
      <c r="BP166" t="s">
        <v>17</v>
      </c>
      <c r="BQ166" t="s">
        <v>0</v>
      </c>
      <c r="BR166" t="s">
        <v>17</v>
      </c>
      <c r="BS166" t="s">
        <v>17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</row>
    <row r="167" spans="1:80" ht="13.95" customHeight="1" x14ac:dyDescent="0.25">
      <c r="A167" t="s">
        <v>299</v>
      </c>
      <c r="B167" s="2">
        <v>45703</v>
      </c>
      <c r="C167" s="2"/>
      <c r="D167" s="2"/>
      <c r="E167" t="s">
        <v>2</v>
      </c>
      <c r="F167" t="s">
        <v>3</v>
      </c>
      <c r="G167" t="s">
        <v>0</v>
      </c>
      <c r="H167" t="s">
        <v>4</v>
      </c>
      <c r="I167" t="s">
        <v>297</v>
      </c>
      <c r="J167" t="s">
        <v>6</v>
      </c>
      <c r="K167" t="s">
        <v>86</v>
      </c>
      <c r="L167" t="s">
        <v>35</v>
      </c>
      <c r="M167" t="s">
        <v>36</v>
      </c>
      <c r="N167" t="s">
        <v>10</v>
      </c>
      <c r="O167" t="s">
        <v>0</v>
      </c>
      <c r="P167" t="s">
        <v>11</v>
      </c>
      <c r="Q167" s="5">
        <v>27</v>
      </c>
      <c r="R167" s="4">
        <v>50200</v>
      </c>
      <c r="S167" s="5">
        <v>1</v>
      </c>
      <c r="T167" s="4">
        <v>1355400</v>
      </c>
      <c r="U167" s="5">
        <v>0</v>
      </c>
      <c r="V167" s="4">
        <v>0</v>
      </c>
      <c r="W167" s="5">
        <v>0</v>
      </c>
      <c r="X167" s="4">
        <v>0</v>
      </c>
      <c r="Y167" s="4">
        <f t="shared" si="4"/>
        <v>1355400</v>
      </c>
      <c r="Z167" s="6" t="s">
        <v>0</v>
      </c>
      <c r="AA167" t="s">
        <v>2</v>
      </c>
      <c r="AB167" t="s">
        <v>12</v>
      </c>
      <c r="AC167">
        <f>_xlfn.XLOOKUP(AB167,'[1]GST Codes'!$A:$A,'[1]GST Codes'!$C:$C,0,0)</f>
        <v>18</v>
      </c>
      <c r="AD167">
        <f t="shared" si="5"/>
        <v>1599372</v>
      </c>
      <c r="AE167" t="s">
        <v>13</v>
      </c>
      <c r="AF167" t="s">
        <v>0</v>
      </c>
      <c r="AG167" t="s">
        <v>14</v>
      </c>
      <c r="AH167" t="s">
        <v>15</v>
      </c>
      <c r="AI167" t="s">
        <v>16</v>
      </c>
      <c r="AJ167" t="s">
        <v>17</v>
      </c>
      <c r="AK167" t="s">
        <v>18</v>
      </c>
      <c r="AL167" t="s">
        <v>19</v>
      </c>
      <c r="AM167" t="s">
        <v>297</v>
      </c>
      <c r="AN167" t="s">
        <v>0</v>
      </c>
      <c r="AO167" t="s">
        <v>0</v>
      </c>
      <c r="AP167" t="s">
        <v>0</v>
      </c>
      <c r="AQ167" s="5">
        <v>27</v>
      </c>
      <c r="AR167" t="s">
        <v>11</v>
      </c>
      <c r="AS167" t="s">
        <v>0</v>
      </c>
      <c r="AT167" t="s">
        <v>17</v>
      </c>
      <c r="AU167" s="4">
        <v>0</v>
      </c>
      <c r="AV167" s="4">
        <v>0</v>
      </c>
      <c r="AW167" s="4">
        <v>0</v>
      </c>
      <c r="AX167" s="4">
        <v>0</v>
      </c>
      <c r="AY167" s="5">
        <v>0</v>
      </c>
      <c r="AZ167" s="5">
        <v>0</v>
      </c>
      <c r="BA167" s="5">
        <v>0</v>
      </c>
      <c r="BB167" s="2"/>
      <c r="BC167" t="s">
        <v>0</v>
      </c>
      <c r="BD167" s="5">
        <v>1</v>
      </c>
      <c r="BE167" t="s">
        <v>0</v>
      </c>
      <c r="BF167" t="s">
        <v>300</v>
      </c>
      <c r="BG167" t="s">
        <v>17</v>
      </c>
      <c r="BH167" t="s">
        <v>0</v>
      </c>
      <c r="BI167" t="s">
        <v>11</v>
      </c>
      <c r="BJ167" t="s">
        <v>0</v>
      </c>
      <c r="BK167" t="s">
        <v>0</v>
      </c>
      <c r="BL167" s="5">
        <v>0</v>
      </c>
      <c r="BM167" t="s">
        <v>0</v>
      </c>
      <c r="BN167" t="s">
        <v>0</v>
      </c>
      <c r="BO167" t="s">
        <v>0</v>
      </c>
      <c r="BP167" t="s">
        <v>17</v>
      </c>
      <c r="BQ167" t="s">
        <v>0</v>
      </c>
      <c r="BR167" t="s">
        <v>17</v>
      </c>
      <c r="BS167" t="s">
        <v>17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</row>
    <row r="168" spans="1:80" ht="13.95" customHeight="1" x14ac:dyDescent="0.25">
      <c r="A168" t="s">
        <v>299</v>
      </c>
      <c r="B168" s="2">
        <v>45703</v>
      </c>
      <c r="C168" s="2"/>
      <c r="D168" s="2"/>
      <c r="E168" t="s">
        <v>2</v>
      </c>
      <c r="F168" t="s">
        <v>3</v>
      </c>
      <c r="G168" t="s">
        <v>0</v>
      </c>
      <c r="H168" t="s">
        <v>4</v>
      </c>
      <c r="I168" t="s">
        <v>297</v>
      </c>
      <c r="J168" t="s">
        <v>6</v>
      </c>
      <c r="K168" t="s">
        <v>87</v>
      </c>
      <c r="L168" t="s">
        <v>35</v>
      </c>
      <c r="M168" t="s">
        <v>36</v>
      </c>
      <c r="N168" t="s">
        <v>10</v>
      </c>
      <c r="O168" t="s">
        <v>0</v>
      </c>
      <c r="P168" t="s">
        <v>11</v>
      </c>
      <c r="Q168" s="5">
        <v>34</v>
      </c>
      <c r="R168" s="4">
        <v>50200</v>
      </c>
      <c r="S168" s="5">
        <v>1</v>
      </c>
      <c r="T168" s="4">
        <v>1706800</v>
      </c>
      <c r="U168" s="5">
        <v>0</v>
      </c>
      <c r="V168" s="4">
        <v>0</v>
      </c>
      <c r="W168" s="5">
        <v>0</v>
      </c>
      <c r="X168" s="4">
        <v>0</v>
      </c>
      <c r="Y168" s="4">
        <f t="shared" si="4"/>
        <v>1706800</v>
      </c>
      <c r="Z168" s="6" t="s">
        <v>0</v>
      </c>
      <c r="AA168" t="s">
        <v>2</v>
      </c>
      <c r="AB168" t="s">
        <v>12</v>
      </c>
      <c r="AC168">
        <f>_xlfn.XLOOKUP(AB168,'[1]GST Codes'!$A:$A,'[1]GST Codes'!$C:$C,0,0)</f>
        <v>18</v>
      </c>
      <c r="AD168">
        <f t="shared" si="5"/>
        <v>2014024</v>
      </c>
      <c r="AE168" t="s">
        <v>13</v>
      </c>
      <c r="AF168" t="s">
        <v>0</v>
      </c>
      <c r="AG168" t="s">
        <v>14</v>
      </c>
      <c r="AH168" t="s">
        <v>15</v>
      </c>
      <c r="AI168" t="s">
        <v>16</v>
      </c>
      <c r="AJ168" t="s">
        <v>17</v>
      </c>
      <c r="AK168" t="s">
        <v>18</v>
      </c>
      <c r="AL168" t="s">
        <v>19</v>
      </c>
      <c r="AM168" t="s">
        <v>297</v>
      </c>
      <c r="AN168" t="s">
        <v>0</v>
      </c>
      <c r="AO168" t="s">
        <v>0</v>
      </c>
      <c r="AP168" t="s">
        <v>0</v>
      </c>
      <c r="AQ168" s="5">
        <v>34</v>
      </c>
      <c r="AR168" t="s">
        <v>11</v>
      </c>
      <c r="AS168" t="s">
        <v>0</v>
      </c>
      <c r="AT168" t="s">
        <v>17</v>
      </c>
      <c r="AU168" s="4">
        <v>0</v>
      </c>
      <c r="AV168" s="4">
        <v>0</v>
      </c>
      <c r="AW168" s="4">
        <v>0</v>
      </c>
      <c r="AX168" s="4">
        <v>0</v>
      </c>
      <c r="AY168" s="5">
        <v>0</v>
      </c>
      <c r="AZ168" s="5">
        <v>0</v>
      </c>
      <c r="BA168" s="5">
        <v>0</v>
      </c>
      <c r="BB168" s="2"/>
      <c r="BC168" t="s">
        <v>0</v>
      </c>
      <c r="BD168" s="5">
        <v>1</v>
      </c>
      <c r="BE168" t="s">
        <v>0</v>
      </c>
      <c r="BF168" t="s">
        <v>300</v>
      </c>
      <c r="BG168" t="s">
        <v>17</v>
      </c>
      <c r="BH168" t="s">
        <v>0</v>
      </c>
      <c r="BI168" t="s">
        <v>11</v>
      </c>
      <c r="BJ168" t="s">
        <v>0</v>
      </c>
      <c r="BK168" t="s">
        <v>0</v>
      </c>
      <c r="BL168" s="5">
        <v>0</v>
      </c>
      <c r="BM168" t="s">
        <v>0</v>
      </c>
      <c r="BN168" t="s">
        <v>0</v>
      </c>
      <c r="BO168" t="s">
        <v>0</v>
      </c>
      <c r="BP168" t="s">
        <v>17</v>
      </c>
      <c r="BQ168" t="s">
        <v>0</v>
      </c>
      <c r="BR168" t="s">
        <v>17</v>
      </c>
      <c r="BS168" t="s">
        <v>17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</row>
    <row r="169" spans="1:80" ht="13.95" customHeight="1" x14ac:dyDescent="0.25">
      <c r="A169" t="s">
        <v>301</v>
      </c>
      <c r="B169" s="2">
        <v>45728</v>
      </c>
      <c r="C169" s="2"/>
      <c r="D169" s="2"/>
      <c r="E169" t="s">
        <v>2</v>
      </c>
      <c r="F169" t="s">
        <v>3</v>
      </c>
      <c r="G169" t="s">
        <v>0</v>
      </c>
      <c r="H169" t="s">
        <v>4</v>
      </c>
      <c r="I169" t="s">
        <v>297</v>
      </c>
      <c r="J169" t="s">
        <v>6</v>
      </c>
      <c r="K169" t="s">
        <v>7</v>
      </c>
      <c r="L169" t="s">
        <v>35</v>
      </c>
      <c r="M169" t="s">
        <v>36</v>
      </c>
      <c r="N169" t="s">
        <v>10</v>
      </c>
      <c r="O169" t="s">
        <v>0</v>
      </c>
      <c r="P169" t="s">
        <v>11</v>
      </c>
      <c r="Q169" s="3">
        <v>10.5</v>
      </c>
      <c r="R169" s="4">
        <v>52900</v>
      </c>
      <c r="S169" s="5">
        <v>1</v>
      </c>
      <c r="T169" s="4">
        <v>555450</v>
      </c>
      <c r="U169" s="5">
        <v>0</v>
      </c>
      <c r="V169" s="4">
        <v>0</v>
      </c>
      <c r="W169" s="5">
        <v>0</v>
      </c>
      <c r="X169" s="4">
        <v>0</v>
      </c>
      <c r="Y169" s="4">
        <f t="shared" si="4"/>
        <v>555450</v>
      </c>
      <c r="Z169" s="6" t="s">
        <v>0</v>
      </c>
      <c r="AA169" t="s">
        <v>2</v>
      </c>
      <c r="AB169" t="s">
        <v>12</v>
      </c>
      <c r="AC169">
        <f>_xlfn.XLOOKUP(AB169,'[1]GST Codes'!$A:$A,'[1]GST Codes'!$C:$C,0,0)</f>
        <v>18</v>
      </c>
      <c r="AD169">
        <f t="shared" si="5"/>
        <v>655431</v>
      </c>
      <c r="AE169" t="s">
        <v>13</v>
      </c>
      <c r="AF169" t="s">
        <v>0</v>
      </c>
      <c r="AG169" t="s">
        <v>14</v>
      </c>
      <c r="AH169" t="s">
        <v>15</v>
      </c>
      <c r="AI169" t="s">
        <v>16</v>
      </c>
      <c r="AJ169" t="s">
        <v>17</v>
      </c>
      <c r="AK169" t="s">
        <v>18</v>
      </c>
      <c r="AL169" t="s">
        <v>19</v>
      </c>
      <c r="AM169" t="s">
        <v>297</v>
      </c>
      <c r="AN169" t="s">
        <v>0</v>
      </c>
      <c r="AO169" t="s">
        <v>0</v>
      </c>
      <c r="AP169" t="s">
        <v>0</v>
      </c>
      <c r="AQ169" s="3">
        <v>10.5</v>
      </c>
      <c r="AR169" t="s">
        <v>11</v>
      </c>
      <c r="AS169" t="s">
        <v>0</v>
      </c>
      <c r="AT169" t="s">
        <v>17</v>
      </c>
      <c r="AU169" s="4">
        <v>0</v>
      </c>
      <c r="AV169" s="4">
        <v>0</v>
      </c>
      <c r="AW169" s="4">
        <v>0</v>
      </c>
      <c r="AX169" s="4">
        <v>0</v>
      </c>
      <c r="AY169" s="5">
        <v>0</v>
      </c>
      <c r="AZ169" s="5">
        <v>0</v>
      </c>
      <c r="BA169" s="5">
        <v>0</v>
      </c>
      <c r="BB169" s="2"/>
      <c r="BC169" t="s">
        <v>0</v>
      </c>
      <c r="BD169" s="5">
        <v>1</v>
      </c>
      <c r="BE169" t="s">
        <v>0</v>
      </c>
      <c r="BF169" t="s">
        <v>300</v>
      </c>
      <c r="BG169" t="s">
        <v>17</v>
      </c>
      <c r="BH169" t="s">
        <v>0</v>
      </c>
      <c r="BI169" t="s">
        <v>11</v>
      </c>
      <c r="BJ169" t="s">
        <v>0</v>
      </c>
      <c r="BK169" t="s">
        <v>0</v>
      </c>
      <c r="BL169" s="5">
        <v>0</v>
      </c>
      <c r="BM169" t="s">
        <v>0</v>
      </c>
      <c r="BN169" t="s">
        <v>0</v>
      </c>
      <c r="BO169" t="s">
        <v>0</v>
      </c>
      <c r="BP169" t="s">
        <v>17</v>
      </c>
      <c r="BQ169" t="s">
        <v>0</v>
      </c>
      <c r="BR169" t="s">
        <v>17</v>
      </c>
      <c r="BS169" t="s">
        <v>17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</row>
    <row r="170" spans="1:80" ht="13.95" customHeight="1" x14ac:dyDescent="0.25">
      <c r="A170" t="s">
        <v>301</v>
      </c>
      <c r="B170" s="2">
        <v>45728</v>
      </c>
      <c r="C170" s="2"/>
      <c r="D170" s="2"/>
      <c r="E170" t="s">
        <v>2</v>
      </c>
      <c r="F170" t="s">
        <v>3</v>
      </c>
      <c r="G170" t="s">
        <v>0</v>
      </c>
      <c r="H170" t="s">
        <v>4</v>
      </c>
      <c r="I170" t="s">
        <v>297</v>
      </c>
      <c r="J170" t="s">
        <v>6</v>
      </c>
      <c r="K170" t="s">
        <v>22</v>
      </c>
      <c r="L170" t="s">
        <v>35</v>
      </c>
      <c r="M170" t="s">
        <v>36</v>
      </c>
      <c r="N170" t="s">
        <v>10</v>
      </c>
      <c r="O170" t="s">
        <v>0</v>
      </c>
      <c r="P170" t="s">
        <v>11</v>
      </c>
      <c r="Q170" s="3">
        <v>10.5</v>
      </c>
      <c r="R170" s="4">
        <v>52900</v>
      </c>
      <c r="S170" s="5">
        <v>1</v>
      </c>
      <c r="T170" s="4">
        <v>555450</v>
      </c>
      <c r="U170" s="5">
        <v>0</v>
      </c>
      <c r="V170" s="4">
        <v>0</v>
      </c>
      <c r="W170" s="5">
        <v>0</v>
      </c>
      <c r="X170" s="4">
        <v>0</v>
      </c>
      <c r="Y170" s="4">
        <f t="shared" si="4"/>
        <v>555450</v>
      </c>
      <c r="Z170" s="6" t="s">
        <v>0</v>
      </c>
      <c r="AA170" t="s">
        <v>2</v>
      </c>
      <c r="AB170" t="s">
        <v>12</v>
      </c>
      <c r="AC170">
        <f>_xlfn.XLOOKUP(AB170,'[1]GST Codes'!$A:$A,'[1]GST Codes'!$C:$C,0,0)</f>
        <v>18</v>
      </c>
      <c r="AD170">
        <f t="shared" si="5"/>
        <v>655431</v>
      </c>
      <c r="AE170" t="s">
        <v>13</v>
      </c>
      <c r="AF170" t="s">
        <v>0</v>
      </c>
      <c r="AG170" t="s">
        <v>14</v>
      </c>
      <c r="AH170" t="s">
        <v>15</v>
      </c>
      <c r="AI170" t="s">
        <v>16</v>
      </c>
      <c r="AJ170" t="s">
        <v>17</v>
      </c>
      <c r="AK170" t="s">
        <v>18</v>
      </c>
      <c r="AL170" t="s">
        <v>19</v>
      </c>
      <c r="AM170" t="s">
        <v>297</v>
      </c>
      <c r="AN170" t="s">
        <v>0</v>
      </c>
      <c r="AO170" t="s">
        <v>0</v>
      </c>
      <c r="AP170" t="s">
        <v>0</v>
      </c>
      <c r="AQ170" s="3">
        <v>10.5</v>
      </c>
      <c r="AR170" t="s">
        <v>11</v>
      </c>
      <c r="AS170" t="s">
        <v>0</v>
      </c>
      <c r="AT170" t="s">
        <v>17</v>
      </c>
      <c r="AU170" s="4">
        <v>0</v>
      </c>
      <c r="AV170" s="4">
        <v>0</v>
      </c>
      <c r="AW170" s="4">
        <v>0</v>
      </c>
      <c r="AX170" s="4">
        <v>0</v>
      </c>
      <c r="AY170" s="5">
        <v>0</v>
      </c>
      <c r="AZ170" s="5">
        <v>0</v>
      </c>
      <c r="BA170" s="5">
        <v>0</v>
      </c>
      <c r="BB170" s="2"/>
      <c r="BC170" t="s">
        <v>0</v>
      </c>
      <c r="BD170" s="5">
        <v>1</v>
      </c>
      <c r="BE170" t="s">
        <v>0</v>
      </c>
      <c r="BF170" t="s">
        <v>300</v>
      </c>
      <c r="BG170" t="s">
        <v>17</v>
      </c>
      <c r="BH170" t="s">
        <v>0</v>
      </c>
      <c r="BI170" t="s">
        <v>11</v>
      </c>
      <c r="BJ170" t="s">
        <v>0</v>
      </c>
      <c r="BK170" t="s">
        <v>0</v>
      </c>
      <c r="BL170" s="5">
        <v>0</v>
      </c>
      <c r="BM170" t="s">
        <v>0</v>
      </c>
      <c r="BN170" t="s">
        <v>0</v>
      </c>
      <c r="BO170" t="s">
        <v>0</v>
      </c>
      <c r="BP170" t="s">
        <v>17</v>
      </c>
      <c r="BQ170" t="s">
        <v>0</v>
      </c>
      <c r="BR170" t="s">
        <v>17</v>
      </c>
      <c r="BS170" t="s">
        <v>17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</row>
    <row r="171" spans="1:80" ht="13.95" customHeight="1" x14ac:dyDescent="0.25">
      <c r="A171" t="s">
        <v>301</v>
      </c>
      <c r="B171" s="2">
        <v>45728</v>
      </c>
      <c r="C171" s="2"/>
      <c r="D171" s="2"/>
      <c r="E171" t="s">
        <v>2</v>
      </c>
      <c r="F171" t="s">
        <v>3</v>
      </c>
      <c r="G171" t="s">
        <v>0</v>
      </c>
      <c r="H171" t="s">
        <v>4</v>
      </c>
      <c r="I171" t="s">
        <v>297</v>
      </c>
      <c r="J171" t="s">
        <v>6</v>
      </c>
      <c r="K171" t="s">
        <v>26</v>
      </c>
      <c r="L171" t="s">
        <v>35</v>
      </c>
      <c r="M171" t="s">
        <v>36</v>
      </c>
      <c r="N171" t="s">
        <v>10</v>
      </c>
      <c r="O171" t="s">
        <v>0</v>
      </c>
      <c r="P171" t="s">
        <v>11</v>
      </c>
      <c r="Q171" s="3">
        <v>10.5</v>
      </c>
      <c r="R171" s="4">
        <v>52900</v>
      </c>
      <c r="S171" s="5">
        <v>1</v>
      </c>
      <c r="T171" s="4">
        <v>555450</v>
      </c>
      <c r="U171" s="5">
        <v>0</v>
      </c>
      <c r="V171" s="4">
        <v>0</v>
      </c>
      <c r="W171" s="5">
        <v>0</v>
      </c>
      <c r="X171" s="4">
        <v>0</v>
      </c>
      <c r="Y171" s="4">
        <f t="shared" si="4"/>
        <v>555450</v>
      </c>
      <c r="Z171" s="6" t="s">
        <v>0</v>
      </c>
      <c r="AA171" t="s">
        <v>2</v>
      </c>
      <c r="AB171" t="s">
        <v>12</v>
      </c>
      <c r="AC171">
        <f>_xlfn.XLOOKUP(AB171,'[1]GST Codes'!$A:$A,'[1]GST Codes'!$C:$C,0,0)</f>
        <v>18</v>
      </c>
      <c r="AD171">
        <f t="shared" si="5"/>
        <v>655431</v>
      </c>
      <c r="AE171" t="s">
        <v>13</v>
      </c>
      <c r="AF171" t="s">
        <v>0</v>
      </c>
      <c r="AG171" t="s">
        <v>14</v>
      </c>
      <c r="AH171" t="s">
        <v>15</v>
      </c>
      <c r="AI171" t="s">
        <v>16</v>
      </c>
      <c r="AJ171" t="s">
        <v>17</v>
      </c>
      <c r="AK171" t="s">
        <v>18</v>
      </c>
      <c r="AL171" t="s">
        <v>19</v>
      </c>
      <c r="AM171" t="s">
        <v>297</v>
      </c>
      <c r="AN171" t="s">
        <v>0</v>
      </c>
      <c r="AO171" t="s">
        <v>0</v>
      </c>
      <c r="AP171" t="s">
        <v>0</v>
      </c>
      <c r="AQ171" s="3">
        <v>10.5</v>
      </c>
      <c r="AR171" t="s">
        <v>11</v>
      </c>
      <c r="AS171" t="s">
        <v>0</v>
      </c>
      <c r="AT171" t="s">
        <v>17</v>
      </c>
      <c r="AU171" s="4">
        <v>0</v>
      </c>
      <c r="AV171" s="4">
        <v>0</v>
      </c>
      <c r="AW171" s="4">
        <v>0</v>
      </c>
      <c r="AX171" s="4">
        <v>0</v>
      </c>
      <c r="AY171" s="5">
        <v>0</v>
      </c>
      <c r="AZ171" s="5">
        <v>0</v>
      </c>
      <c r="BA171" s="5">
        <v>0</v>
      </c>
      <c r="BB171" s="2"/>
      <c r="BC171" t="s">
        <v>0</v>
      </c>
      <c r="BD171" s="5">
        <v>1</v>
      </c>
      <c r="BE171" t="s">
        <v>0</v>
      </c>
      <c r="BF171" t="s">
        <v>300</v>
      </c>
      <c r="BG171" t="s">
        <v>17</v>
      </c>
      <c r="BH171" t="s">
        <v>0</v>
      </c>
      <c r="BI171" t="s">
        <v>11</v>
      </c>
      <c r="BJ171" t="s">
        <v>0</v>
      </c>
      <c r="BK171" t="s">
        <v>0</v>
      </c>
      <c r="BL171" s="5">
        <v>0</v>
      </c>
      <c r="BM171" t="s">
        <v>0</v>
      </c>
      <c r="BN171" t="s">
        <v>0</v>
      </c>
      <c r="BO171" t="s">
        <v>0</v>
      </c>
      <c r="BP171" t="s">
        <v>17</v>
      </c>
      <c r="BQ171" t="s">
        <v>0</v>
      </c>
      <c r="BR171" t="s">
        <v>17</v>
      </c>
      <c r="BS171" t="s">
        <v>17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</row>
    <row r="172" spans="1:80" ht="13.95" customHeight="1" x14ac:dyDescent="0.25">
      <c r="A172" t="s">
        <v>301</v>
      </c>
      <c r="B172" s="2">
        <v>45728</v>
      </c>
      <c r="C172" s="2"/>
      <c r="D172" s="2"/>
      <c r="E172" t="s">
        <v>2</v>
      </c>
      <c r="F172" t="s">
        <v>3</v>
      </c>
      <c r="G172" t="s">
        <v>0</v>
      </c>
      <c r="H172" t="s">
        <v>4</v>
      </c>
      <c r="I172" t="s">
        <v>297</v>
      </c>
      <c r="J172" t="s">
        <v>6</v>
      </c>
      <c r="K172" t="s">
        <v>30</v>
      </c>
      <c r="L172" t="s">
        <v>35</v>
      </c>
      <c r="M172" t="s">
        <v>36</v>
      </c>
      <c r="N172" t="s">
        <v>10</v>
      </c>
      <c r="O172" t="s">
        <v>0</v>
      </c>
      <c r="P172" t="s">
        <v>11</v>
      </c>
      <c r="Q172" s="3">
        <v>10.5</v>
      </c>
      <c r="R172" s="4">
        <v>52900</v>
      </c>
      <c r="S172" s="5">
        <v>1</v>
      </c>
      <c r="T172" s="4">
        <v>555450</v>
      </c>
      <c r="U172" s="5">
        <v>0</v>
      </c>
      <c r="V172" s="4">
        <v>0</v>
      </c>
      <c r="W172" s="5">
        <v>0</v>
      </c>
      <c r="X172" s="4">
        <v>0</v>
      </c>
      <c r="Y172" s="4">
        <f t="shared" si="4"/>
        <v>555450</v>
      </c>
      <c r="Z172" s="6" t="s">
        <v>0</v>
      </c>
      <c r="AA172" t="s">
        <v>2</v>
      </c>
      <c r="AB172" t="s">
        <v>12</v>
      </c>
      <c r="AC172">
        <f>_xlfn.XLOOKUP(AB172,'[1]GST Codes'!$A:$A,'[1]GST Codes'!$C:$C,0,0)</f>
        <v>18</v>
      </c>
      <c r="AD172">
        <f t="shared" si="5"/>
        <v>655431</v>
      </c>
      <c r="AE172" t="s">
        <v>13</v>
      </c>
      <c r="AF172" t="s">
        <v>0</v>
      </c>
      <c r="AG172" t="s">
        <v>14</v>
      </c>
      <c r="AH172" t="s">
        <v>15</v>
      </c>
      <c r="AI172" t="s">
        <v>16</v>
      </c>
      <c r="AJ172" t="s">
        <v>17</v>
      </c>
      <c r="AK172" t="s">
        <v>18</v>
      </c>
      <c r="AL172" t="s">
        <v>19</v>
      </c>
      <c r="AM172" t="s">
        <v>297</v>
      </c>
      <c r="AN172" t="s">
        <v>0</v>
      </c>
      <c r="AO172" t="s">
        <v>0</v>
      </c>
      <c r="AP172" t="s">
        <v>0</v>
      </c>
      <c r="AQ172" s="3">
        <v>10.5</v>
      </c>
      <c r="AR172" t="s">
        <v>11</v>
      </c>
      <c r="AS172" t="s">
        <v>0</v>
      </c>
      <c r="AT172" t="s">
        <v>17</v>
      </c>
      <c r="AU172" s="4">
        <v>0</v>
      </c>
      <c r="AV172" s="4">
        <v>0</v>
      </c>
      <c r="AW172" s="4">
        <v>0</v>
      </c>
      <c r="AX172" s="4">
        <v>0</v>
      </c>
      <c r="AY172" s="5">
        <v>0</v>
      </c>
      <c r="AZ172" s="5">
        <v>0</v>
      </c>
      <c r="BA172" s="5">
        <v>0</v>
      </c>
      <c r="BB172" s="2"/>
      <c r="BC172" t="s">
        <v>0</v>
      </c>
      <c r="BD172" s="5">
        <v>1</v>
      </c>
      <c r="BE172" t="s">
        <v>0</v>
      </c>
      <c r="BF172" t="s">
        <v>300</v>
      </c>
      <c r="BG172" t="s">
        <v>17</v>
      </c>
      <c r="BH172" t="s">
        <v>0</v>
      </c>
      <c r="BI172" t="s">
        <v>11</v>
      </c>
      <c r="BJ172" t="s">
        <v>0</v>
      </c>
      <c r="BK172" t="s">
        <v>0</v>
      </c>
      <c r="BL172" s="5">
        <v>0</v>
      </c>
      <c r="BM172" t="s">
        <v>0</v>
      </c>
      <c r="BN172" t="s">
        <v>0</v>
      </c>
      <c r="BO172" t="s">
        <v>0</v>
      </c>
      <c r="BP172" t="s">
        <v>17</v>
      </c>
      <c r="BQ172" t="s">
        <v>0</v>
      </c>
      <c r="BR172" t="s">
        <v>17</v>
      </c>
      <c r="BS172" t="s">
        <v>17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</row>
    <row r="173" spans="1:80" ht="13.95" customHeight="1" x14ac:dyDescent="0.25">
      <c r="A173" t="s">
        <v>301</v>
      </c>
      <c r="B173" s="2">
        <v>45728</v>
      </c>
      <c r="C173" s="2"/>
      <c r="D173" s="2"/>
      <c r="E173" t="s">
        <v>2</v>
      </c>
      <c r="F173" t="s">
        <v>3</v>
      </c>
      <c r="G173" t="s">
        <v>0</v>
      </c>
      <c r="H173" t="s">
        <v>4</v>
      </c>
      <c r="I173" t="s">
        <v>297</v>
      </c>
      <c r="J173" t="s">
        <v>6</v>
      </c>
      <c r="K173" t="s">
        <v>34</v>
      </c>
      <c r="L173" t="s">
        <v>35</v>
      </c>
      <c r="M173" t="s">
        <v>36</v>
      </c>
      <c r="N173" t="s">
        <v>10</v>
      </c>
      <c r="O173" t="s">
        <v>0</v>
      </c>
      <c r="P173" t="s">
        <v>11</v>
      </c>
      <c r="Q173" s="5">
        <v>14</v>
      </c>
      <c r="R173" s="4">
        <v>52900</v>
      </c>
      <c r="S173" s="5">
        <v>1</v>
      </c>
      <c r="T173" s="4">
        <v>740600</v>
      </c>
      <c r="U173" s="5">
        <v>0</v>
      </c>
      <c r="V173" s="4">
        <v>0</v>
      </c>
      <c r="W173" s="5">
        <v>0</v>
      </c>
      <c r="X173" s="4">
        <v>0</v>
      </c>
      <c r="Y173" s="4">
        <f t="shared" si="4"/>
        <v>740600</v>
      </c>
      <c r="Z173" s="6" t="s">
        <v>0</v>
      </c>
      <c r="AA173" t="s">
        <v>2</v>
      </c>
      <c r="AB173" t="s">
        <v>12</v>
      </c>
      <c r="AC173">
        <f>_xlfn.XLOOKUP(AB173,'[1]GST Codes'!$A:$A,'[1]GST Codes'!$C:$C,0,0)</f>
        <v>18</v>
      </c>
      <c r="AD173">
        <f t="shared" si="5"/>
        <v>873908</v>
      </c>
      <c r="AE173" t="s">
        <v>13</v>
      </c>
      <c r="AF173" t="s">
        <v>0</v>
      </c>
      <c r="AG173" t="s">
        <v>14</v>
      </c>
      <c r="AH173" t="s">
        <v>15</v>
      </c>
      <c r="AI173" t="s">
        <v>16</v>
      </c>
      <c r="AJ173" t="s">
        <v>17</v>
      </c>
      <c r="AK173" t="s">
        <v>18</v>
      </c>
      <c r="AL173" t="s">
        <v>19</v>
      </c>
      <c r="AM173" t="s">
        <v>297</v>
      </c>
      <c r="AN173" t="s">
        <v>0</v>
      </c>
      <c r="AO173" t="s">
        <v>0</v>
      </c>
      <c r="AP173" t="s">
        <v>0</v>
      </c>
      <c r="AQ173" s="5">
        <v>14</v>
      </c>
      <c r="AR173" t="s">
        <v>11</v>
      </c>
      <c r="AS173" t="s">
        <v>0</v>
      </c>
      <c r="AT173" t="s">
        <v>17</v>
      </c>
      <c r="AU173" s="4">
        <v>0</v>
      </c>
      <c r="AV173" s="4">
        <v>0</v>
      </c>
      <c r="AW173" s="4">
        <v>0</v>
      </c>
      <c r="AX173" s="4">
        <v>0</v>
      </c>
      <c r="AY173" s="5">
        <v>0</v>
      </c>
      <c r="AZ173" s="5">
        <v>0</v>
      </c>
      <c r="BA173" s="5">
        <v>0</v>
      </c>
      <c r="BB173" s="2"/>
      <c r="BC173" t="s">
        <v>0</v>
      </c>
      <c r="BD173" s="5">
        <v>1</v>
      </c>
      <c r="BE173" t="s">
        <v>0</v>
      </c>
      <c r="BF173" t="s">
        <v>300</v>
      </c>
      <c r="BG173" t="s">
        <v>17</v>
      </c>
      <c r="BH173" t="s">
        <v>0</v>
      </c>
      <c r="BI173" t="s">
        <v>11</v>
      </c>
      <c r="BJ173" t="s">
        <v>0</v>
      </c>
      <c r="BK173" t="s">
        <v>0</v>
      </c>
      <c r="BL173" s="5">
        <v>0</v>
      </c>
      <c r="BM173" t="s">
        <v>0</v>
      </c>
      <c r="BN173" t="s">
        <v>0</v>
      </c>
      <c r="BO173" t="s">
        <v>0</v>
      </c>
      <c r="BP173" t="s">
        <v>17</v>
      </c>
      <c r="BQ173" t="s">
        <v>0</v>
      </c>
      <c r="BR173" t="s">
        <v>17</v>
      </c>
      <c r="BS173" t="s">
        <v>17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</row>
    <row r="174" spans="1:80" ht="13.95" customHeight="1" x14ac:dyDescent="0.25">
      <c r="A174" t="s">
        <v>301</v>
      </c>
      <c r="B174" s="2">
        <v>45728</v>
      </c>
      <c r="C174" s="2"/>
      <c r="D174" s="2"/>
      <c r="E174" t="s">
        <v>2</v>
      </c>
      <c r="F174" t="s">
        <v>3</v>
      </c>
      <c r="G174" t="s">
        <v>0</v>
      </c>
      <c r="H174" t="s">
        <v>4</v>
      </c>
      <c r="I174" t="s">
        <v>297</v>
      </c>
      <c r="J174" t="s">
        <v>6</v>
      </c>
      <c r="K174" t="s">
        <v>38</v>
      </c>
      <c r="L174" t="s">
        <v>35</v>
      </c>
      <c r="M174" t="s">
        <v>36</v>
      </c>
      <c r="N174" t="s">
        <v>10</v>
      </c>
      <c r="O174" t="s">
        <v>0</v>
      </c>
      <c r="P174" t="s">
        <v>11</v>
      </c>
      <c r="Q174" s="5">
        <v>14</v>
      </c>
      <c r="R174" s="4">
        <v>52900</v>
      </c>
      <c r="S174" s="5">
        <v>1</v>
      </c>
      <c r="T174" s="4">
        <v>740600</v>
      </c>
      <c r="U174" s="5">
        <v>0</v>
      </c>
      <c r="V174" s="4">
        <v>0</v>
      </c>
      <c r="W174" s="5">
        <v>0</v>
      </c>
      <c r="X174" s="4">
        <v>0</v>
      </c>
      <c r="Y174" s="4">
        <f t="shared" si="4"/>
        <v>740600</v>
      </c>
      <c r="Z174" s="6" t="s">
        <v>0</v>
      </c>
      <c r="AA174" t="s">
        <v>2</v>
      </c>
      <c r="AB174" t="s">
        <v>12</v>
      </c>
      <c r="AC174">
        <f>_xlfn.XLOOKUP(AB174,'[1]GST Codes'!$A:$A,'[1]GST Codes'!$C:$C,0,0)</f>
        <v>18</v>
      </c>
      <c r="AD174">
        <f t="shared" si="5"/>
        <v>873908</v>
      </c>
      <c r="AE174" t="s">
        <v>13</v>
      </c>
      <c r="AF174" t="s">
        <v>0</v>
      </c>
      <c r="AG174" t="s">
        <v>14</v>
      </c>
      <c r="AH174" t="s">
        <v>15</v>
      </c>
      <c r="AI174" t="s">
        <v>16</v>
      </c>
      <c r="AJ174" t="s">
        <v>17</v>
      </c>
      <c r="AK174" t="s">
        <v>18</v>
      </c>
      <c r="AL174" t="s">
        <v>19</v>
      </c>
      <c r="AM174" t="s">
        <v>297</v>
      </c>
      <c r="AN174" t="s">
        <v>0</v>
      </c>
      <c r="AO174" t="s">
        <v>0</v>
      </c>
      <c r="AP174" t="s">
        <v>0</v>
      </c>
      <c r="AQ174" s="5">
        <v>14</v>
      </c>
      <c r="AR174" t="s">
        <v>11</v>
      </c>
      <c r="AS174" t="s">
        <v>0</v>
      </c>
      <c r="AT174" t="s">
        <v>17</v>
      </c>
      <c r="AU174" s="4">
        <v>0</v>
      </c>
      <c r="AV174" s="4">
        <v>0</v>
      </c>
      <c r="AW174" s="4">
        <v>0</v>
      </c>
      <c r="AX174" s="4">
        <v>0</v>
      </c>
      <c r="AY174" s="5">
        <v>0</v>
      </c>
      <c r="AZ174" s="5">
        <v>0</v>
      </c>
      <c r="BA174" s="5">
        <v>0</v>
      </c>
      <c r="BB174" s="2"/>
      <c r="BC174" t="s">
        <v>0</v>
      </c>
      <c r="BD174" s="5">
        <v>1</v>
      </c>
      <c r="BE174" t="s">
        <v>0</v>
      </c>
      <c r="BF174" t="s">
        <v>300</v>
      </c>
      <c r="BG174" t="s">
        <v>17</v>
      </c>
      <c r="BH174" t="s">
        <v>0</v>
      </c>
      <c r="BI174" t="s">
        <v>11</v>
      </c>
      <c r="BJ174" t="s">
        <v>0</v>
      </c>
      <c r="BK174" t="s">
        <v>0</v>
      </c>
      <c r="BL174" s="5">
        <v>0</v>
      </c>
      <c r="BM174" t="s">
        <v>0</v>
      </c>
      <c r="BN174" t="s">
        <v>0</v>
      </c>
      <c r="BO174" t="s">
        <v>0</v>
      </c>
      <c r="BP174" t="s">
        <v>17</v>
      </c>
      <c r="BQ174" t="s">
        <v>0</v>
      </c>
      <c r="BR174" t="s">
        <v>17</v>
      </c>
      <c r="BS174" t="s">
        <v>17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</row>
    <row r="175" spans="1:80" ht="13.95" customHeight="1" x14ac:dyDescent="0.25">
      <c r="A175" t="s">
        <v>302</v>
      </c>
      <c r="B175" s="2">
        <v>45764</v>
      </c>
      <c r="C175" s="2"/>
      <c r="D175" s="2"/>
      <c r="E175" t="s">
        <v>2</v>
      </c>
      <c r="F175" t="s">
        <v>82</v>
      </c>
      <c r="G175" t="s">
        <v>0</v>
      </c>
      <c r="H175" t="s">
        <v>4</v>
      </c>
      <c r="I175" t="s">
        <v>297</v>
      </c>
      <c r="J175" t="s">
        <v>6</v>
      </c>
      <c r="K175" t="s">
        <v>7</v>
      </c>
      <c r="L175" t="s">
        <v>70</v>
      </c>
      <c r="M175" t="s">
        <v>71</v>
      </c>
      <c r="N175" t="s">
        <v>10</v>
      </c>
      <c r="O175" t="s">
        <v>0</v>
      </c>
      <c r="P175" t="s">
        <v>11</v>
      </c>
      <c r="Q175" s="5">
        <v>10</v>
      </c>
      <c r="R175" s="4">
        <v>57000</v>
      </c>
      <c r="S175" s="5">
        <v>1</v>
      </c>
      <c r="T175" s="4">
        <v>570000</v>
      </c>
      <c r="U175" s="5">
        <v>0</v>
      </c>
      <c r="V175" s="4">
        <v>0</v>
      </c>
      <c r="W175" s="5">
        <v>0</v>
      </c>
      <c r="X175" s="4">
        <v>0</v>
      </c>
      <c r="Y175" s="4">
        <f t="shared" si="4"/>
        <v>570000</v>
      </c>
      <c r="Z175" s="6" t="s">
        <v>0</v>
      </c>
      <c r="AA175" t="s">
        <v>2</v>
      </c>
      <c r="AB175" t="s">
        <v>12</v>
      </c>
      <c r="AC175">
        <f>_xlfn.XLOOKUP(AB175,'[1]GST Codes'!$A:$A,'[1]GST Codes'!$C:$C,0,0)</f>
        <v>18</v>
      </c>
      <c r="AD175">
        <f t="shared" si="5"/>
        <v>672600</v>
      </c>
      <c r="AE175" t="s">
        <v>13</v>
      </c>
      <c r="AF175" t="s">
        <v>0</v>
      </c>
      <c r="AG175" t="s">
        <v>14</v>
      </c>
      <c r="AH175" t="s">
        <v>15</v>
      </c>
      <c r="AI175" t="s">
        <v>16</v>
      </c>
      <c r="AJ175" t="s">
        <v>17</v>
      </c>
      <c r="AK175" t="s">
        <v>18</v>
      </c>
      <c r="AL175" t="s">
        <v>19</v>
      </c>
      <c r="AM175" t="s">
        <v>297</v>
      </c>
      <c r="AN175" t="s">
        <v>0</v>
      </c>
      <c r="AO175" t="s">
        <v>0</v>
      </c>
      <c r="AP175" t="s">
        <v>0</v>
      </c>
      <c r="AQ175" s="5">
        <v>10</v>
      </c>
      <c r="AR175" t="s">
        <v>11</v>
      </c>
      <c r="AS175" t="s">
        <v>0</v>
      </c>
      <c r="AT175" t="s">
        <v>17</v>
      </c>
      <c r="AU175" s="4">
        <v>0</v>
      </c>
      <c r="AV175" s="4">
        <v>0</v>
      </c>
      <c r="AW175" s="4">
        <v>0</v>
      </c>
      <c r="AX175" s="4">
        <v>0</v>
      </c>
      <c r="AY175" s="5">
        <v>0</v>
      </c>
      <c r="AZ175" s="5">
        <v>0</v>
      </c>
      <c r="BA175" s="5">
        <v>0</v>
      </c>
      <c r="BB175" s="2"/>
      <c r="BC175" t="s">
        <v>0</v>
      </c>
      <c r="BD175" s="5">
        <v>1</v>
      </c>
      <c r="BE175" t="s">
        <v>0</v>
      </c>
      <c r="BF175" t="s">
        <v>298</v>
      </c>
      <c r="BG175" t="s">
        <v>17</v>
      </c>
      <c r="BH175" t="s">
        <v>0</v>
      </c>
      <c r="BI175" t="s">
        <v>11</v>
      </c>
      <c r="BJ175" t="s">
        <v>0</v>
      </c>
      <c r="BK175" t="s">
        <v>0</v>
      </c>
      <c r="BL175" s="5">
        <v>0</v>
      </c>
      <c r="BM175" t="s">
        <v>0</v>
      </c>
      <c r="BN175" t="s">
        <v>0</v>
      </c>
      <c r="BO175" t="s">
        <v>0</v>
      </c>
      <c r="BP175" t="s">
        <v>17</v>
      </c>
      <c r="BQ175" t="s">
        <v>0</v>
      </c>
      <c r="BR175" t="s">
        <v>17</v>
      </c>
      <c r="BS175" t="s">
        <v>17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</row>
    <row r="176" spans="1:80" ht="13.95" customHeight="1" x14ac:dyDescent="0.25">
      <c r="A176" t="s">
        <v>302</v>
      </c>
      <c r="B176" s="2">
        <v>45764</v>
      </c>
      <c r="C176" s="2"/>
      <c r="D176" s="2"/>
      <c r="E176" t="s">
        <v>2</v>
      </c>
      <c r="F176" t="s">
        <v>82</v>
      </c>
      <c r="G176" t="s">
        <v>0</v>
      </c>
      <c r="H176" t="s">
        <v>4</v>
      </c>
      <c r="I176" t="s">
        <v>297</v>
      </c>
      <c r="J176" t="s">
        <v>6</v>
      </c>
      <c r="K176" t="s">
        <v>22</v>
      </c>
      <c r="L176" t="s">
        <v>35</v>
      </c>
      <c r="M176" t="s">
        <v>36</v>
      </c>
      <c r="N176" t="s">
        <v>10</v>
      </c>
      <c r="O176" t="s">
        <v>0</v>
      </c>
      <c r="P176" t="s">
        <v>11</v>
      </c>
      <c r="Q176" s="5">
        <v>60</v>
      </c>
      <c r="R176" s="4">
        <v>56000</v>
      </c>
      <c r="S176" s="5">
        <v>1</v>
      </c>
      <c r="T176" s="4">
        <v>3360000</v>
      </c>
      <c r="U176" s="5">
        <v>0</v>
      </c>
      <c r="V176" s="4">
        <v>0</v>
      </c>
      <c r="W176" s="5">
        <v>0</v>
      </c>
      <c r="X176" s="4">
        <v>0</v>
      </c>
      <c r="Y176" s="4">
        <f t="shared" si="4"/>
        <v>3360000</v>
      </c>
      <c r="Z176" s="6" t="s">
        <v>0</v>
      </c>
      <c r="AA176" t="s">
        <v>2</v>
      </c>
      <c r="AB176" t="s">
        <v>12</v>
      </c>
      <c r="AC176">
        <f>_xlfn.XLOOKUP(AB176,'[1]GST Codes'!$A:$A,'[1]GST Codes'!$C:$C,0,0)</f>
        <v>18</v>
      </c>
      <c r="AD176">
        <f t="shared" si="5"/>
        <v>3964800</v>
      </c>
      <c r="AE176" t="s">
        <v>13</v>
      </c>
      <c r="AF176" t="s">
        <v>0</v>
      </c>
      <c r="AG176" t="s">
        <v>14</v>
      </c>
      <c r="AH176" t="s">
        <v>15</v>
      </c>
      <c r="AI176" t="s">
        <v>16</v>
      </c>
      <c r="AJ176" t="s">
        <v>17</v>
      </c>
      <c r="AK176" t="s">
        <v>18</v>
      </c>
      <c r="AL176" t="s">
        <v>19</v>
      </c>
      <c r="AM176" t="s">
        <v>297</v>
      </c>
      <c r="AN176" t="s">
        <v>0</v>
      </c>
      <c r="AO176" t="s">
        <v>0</v>
      </c>
      <c r="AP176" t="s">
        <v>0</v>
      </c>
      <c r="AQ176" s="5">
        <v>60</v>
      </c>
      <c r="AR176" t="s">
        <v>11</v>
      </c>
      <c r="AS176" t="s">
        <v>0</v>
      </c>
      <c r="AT176" t="s">
        <v>17</v>
      </c>
      <c r="AU176" s="4">
        <v>0</v>
      </c>
      <c r="AV176" s="4">
        <v>0</v>
      </c>
      <c r="AW176" s="4">
        <v>0</v>
      </c>
      <c r="AX176" s="4">
        <v>0</v>
      </c>
      <c r="AY176" s="5">
        <v>0</v>
      </c>
      <c r="AZ176" s="5">
        <v>0</v>
      </c>
      <c r="BA176" s="5">
        <v>0</v>
      </c>
      <c r="BB176" s="2"/>
      <c r="BC176" t="s">
        <v>0</v>
      </c>
      <c r="BD176" s="5">
        <v>1</v>
      </c>
      <c r="BE176" t="s">
        <v>0</v>
      </c>
      <c r="BF176" t="s">
        <v>300</v>
      </c>
      <c r="BG176" t="s">
        <v>17</v>
      </c>
      <c r="BH176" t="s">
        <v>0</v>
      </c>
      <c r="BI176" t="s">
        <v>11</v>
      </c>
      <c r="BJ176" t="s">
        <v>0</v>
      </c>
      <c r="BK176" t="s">
        <v>0</v>
      </c>
      <c r="BL176" s="5">
        <v>0</v>
      </c>
      <c r="BM176" t="s">
        <v>0</v>
      </c>
      <c r="BN176" t="s">
        <v>0</v>
      </c>
      <c r="BO176" t="s">
        <v>0</v>
      </c>
      <c r="BP176" t="s">
        <v>17</v>
      </c>
      <c r="BQ176" t="s">
        <v>0</v>
      </c>
      <c r="BR176" t="s">
        <v>17</v>
      </c>
      <c r="BS176" t="s">
        <v>17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</row>
    <row r="177" spans="1:80" ht="13.95" customHeight="1" x14ac:dyDescent="0.25">
      <c r="A177" t="s">
        <v>302</v>
      </c>
      <c r="B177" s="2">
        <v>45764</v>
      </c>
      <c r="C177" s="2"/>
      <c r="D177" s="2"/>
      <c r="E177" t="s">
        <v>2</v>
      </c>
      <c r="F177" t="s">
        <v>82</v>
      </c>
      <c r="G177" t="s">
        <v>0</v>
      </c>
      <c r="H177" t="s">
        <v>4</v>
      </c>
      <c r="I177" t="s">
        <v>297</v>
      </c>
      <c r="J177" t="s">
        <v>6</v>
      </c>
      <c r="K177" t="s">
        <v>26</v>
      </c>
      <c r="L177" t="s">
        <v>35</v>
      </c>
      <c r="M177" t="s">
        <v>36</v>
      </c>
      <c r="N177" t="s">
        <v>10</v>
      </c>
      <c r="O177" t="s">
        <v>0</v>
      </c>
      <c r="P177" t="s">
        <v>11</v>
      </c>
      <c r="Q177" s="5">
        <v>40</v>
      </c>
      <c r="R177" s="4">
        <v>56000</v>
      </c>
      <c r="S177" s="5">
        <v>1</v>
      </c>
      <c r="T177" s="4">
        <v>2240000</v>
      </c>
      <c r="U177" s="5">
        <v>0</v>
      </c>
      <c r="V177" s="4">
        <v>0</v>
      </c>
      <c r="W177" s="5">
        <v>0</v>
      </c>
      <c r="X177" s="4">
        <v>0</v>
      </c>
      <c r="Y177" s="4">
        <f t="shared" si="4"/>
        <v>2240000</v>
      </c>
      <c r="Z177" s="6" t="s">
        <v>0</v>
      </c>
      <c r="AA177" t="s">
        <v>2</v>
      </c>
      <c r="AB177" t="s">
        <v>12</v>
      </c>
      <c r="AC177">
        <f>_xlfn.XLOOKUP(AB177,'[1]GST Codes'!$A:$A,'[1]GST Codes'!$C:$C,0,0)</f>
        <v>18</v>
      </c>
      <c r="AD177">
        <f t="shared" si="5"/>
        <v>2643200</v>
      </c>
      <c r="AE177" t="s">
        <v>13</v>
      </c>
      <c r="AF177" t="s">
        <v>0</v>
      </c>
      <c r="AG177" t="s">
        <v>14</v>
      </c>
      <c r="AH177" t="s">
        <v>15</v>
      </c>
      <c r="AI177" t="s">
        <v>16</v>
      </c>
      <c r="AJ177" t="s">
        <v>17</v>
      </c>
      <c r="AK177" t="s">
        <v>18</v>
      </c>
      <c r="AL177" t="s">
        <v>19</v>
      </c>
      <c r="AM177" t="s">
        <v>297</v>
      </c>
      <c r="AN177" t="s">
        <v>0</v>
      </c>
      <c r="AO177" t="s">
        <v>0</v>
      </c>
      <c r="AP177" t="s">
        <v>0</v>
      </c>
      <c r="AQ177" s="5">
        <v>40</v>
      </c>
      <c r="AR177" t="s">
        <v>11</v>
      </c>
      <c r="AS177" t="s">
        <v>0</v>
      </c>
      <c r="AT177" t="s">
        <v>17</v>
      </c>
      <c r="AU177" s="4">
        <v>0</v>
      </c>
      <c r="AV177" s="4">
        <v>0</v>
      </c>
      <c r="AW177" s="4">
        <v>0</v>
      </c>
      <c r="AX177" s="4">
        <v>0</v>
      </c>
      <c r="AY177" s="5">
        <v>0</v>
      </c>
      <c r="AZ177" s="5">
        <v>0</v>
      </c>
      <c r="BA177" s="5">
        <v>0</v>
      </c>
      <c r="BB177" s="2"/>
      <c r="BC177" t="s">
        <v>0</v>
      </c>
      <c r="BD177" s="5">
        <v>1</v>
      </c>
      <c r="BE177" t="s">
        <v>0</v>
      </c>
      <c r="BF177" t="s">
        <v>300</v>
      </c>
      <c r="BG177" t="s">
        <v>17</v>
      </c>
      <c r="BH177" t="s">
        <v>0</v>
      </c>
      <c r="BI177" t="s">
        <v>11</v>
      </c>
      <c r="BJ177" t="s">
        <v>0</v>
      </c>
      <c r="BK177" t="s">
        <v>0</v>
      </c>
      <c r="BL177" s="5">
        <v>0</v>
      </c>
      <c r="BM177" t="s">
        <v>0</v>
      </c>
      <c r="BN177" t="s">
        <v>0</v>
      </c>
      <c r="BO177" t="s">
        <v>0</v>
      </c>
      <c r="BP177" t="s">
        <v>17</v>
      </c>
      <c r="BQ177" t="s">
        <v>0</v>
      </c>
      <c r="BR177" t="s">
        <v>17</v>
      </c>
      <c r="BS177" t="s">
        <v>17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</row>
    <row r="178" spans="1:80" ht="13.95" customHeight="1" x14ac:dyDescent="0.25">
      <c r="A178" t="s">
        <v>302</v>
      </c>
      <c r="B178" s="2">
        <v>45764</v>
      </c>
      <c r="C178" s="2"/>
      <c r="D178" s="2"/>
      <c r="E178" t="s">
        <v>2</v>
      </c>
      <c r="F178" t="s">
        <v>82</v>
      </c>
      <c r="G178" t="s">
        <v>0</v>
      </c>
      <c r="H178" t="s">
        <v>4</v>
      </c>
      <c r="I178" t="s">
        <v>297</v>
      </c>
      <c r="J178" t="s">
        <v>6</v>
      </c>
      <c r="K178" t="s">
        <v>30</v>
      </c>
      <c r="L178" t="s">
        <v>35</v>
      </c>
      <c r="M178" t="s">
        <v>36</v>
      </c>
      <c r="N178" t="s">
        <v>10</v>
      </c>
      <c r="O178" t="s">
        <v>0</v>
      </c>
      <c r="P178" t="s">
        <v>11</v>
      </c>
      <c r="Q178" s="5">
        <v>40</v>
      </c>
      <c r="R178" s="4">
        <v>56000</v>
      </c>
      <c r="S178" s="5">
        <v>1</v>
      </c>
      <c r="T178" s="4">
        <v>2240000</v>
      </c>
      <c r="U178" s="5">
        <v>0</v>
      </c>
      <c r="V178" s="4">
        <v>0</v>
      </c>
      <c r="W178" s="5">
        <v>0</v>
      </c>
      <c r="X178" s="4">
        <v>0</v>
      </c>
      <c r="Y178" s="4">
        <f t="shared" si="4"/>
        <v>2240000</v>
      </c>
      <c r="Z178" s="6" t="s">
        <v>0</v>
      </c>
      <c r="AA178" t="s">
        <v>2</v>
      </c>
      <c r="AB178" t="s">
        <v>12</v>
      </c>
      <c r="AC178">
        <f>_xlfn.XLOOKUP(AB178,'[1]GST Codes'!$A:$A,'[1]GST Codes'!$C:$C,0,0)</f>
        <v>18</v>
      </c>
      <c r="AD178">
        <f t="shared" si="5"/>
        <v>2643200</v>
      </c>
      <c r="AE178" t="s">
        <v>13</v>
      </c>
      <c r="AF178" t="s">
        <v>0</v>
      </c>
      <c r="AG178" t="s">
        <v>14</v>
      </c>
      <c r="AH178" t="s">
        <v>15</v>
      </c>
      <c r="AI178" t="s">
        <v>16</v>
      </c>
      <c r="AJ178" t="s">
        <v>17</v>
      </c>
      <c r="AK178" t="s">
        <v>18</v>
      </c>
      <c r="AL178" t="s">
        <v>19</v>
      </c>
      <c r="AM178" t="s">
        <v>297</v>
      </c>
      <c r="AN178" t="s">
        <v>0</v>
      </c>
      <c r="AO178" t="s">
        <v>0</v>
      </c>
      <c r="AP178" t="s">
        <v>0</v>
      </c>
      <c r="AQ178" s="5">
        <v>40</v>
      </c>
      <c r="AR178" t="s">
        <v>11</v>
      </c>
      <c r="AS178" t="s">
        <v>0</v>
      </c>
      <c r="AT178" t="s">
        <v>17</v>
      </c>
      <c r="AU178" s="4">
        <v>0</v>
      </c>
      <c r="AV178" s="4">
        <v>0</v>
      </c>
      <c r="AW178" s="4">
        <v>0</v>
      </c>
      <c r="AX178" s="4">
        <v>0</v>
      </c>
      <c r="AY178" s="5">
        <v>0</v>
      </c>
      <c r="AZ178" s="5">
        <v>0</v>
      </c>
      <c r="BA178" s="5">
        <v>0</v>
      </c>
      <c r="BB178" s="2"/>
      <c r="BC178" t="s">
        <v>0</v>
      </c>
      <c r="BD178" s="5">
        <v>1</v>
      </c>
      <c r="BE178" t="s">
        <v>0</v>
      </c>
      <c r="BF178" t="s">
        <v>300</v>
      </c>
      <c r="BG178" t="s">
        <v>17</v>
      </c>
      <c r="BH178" t="s">
        <v>0</v>
      </c>
      <c r="BI178" t="s">
        <v>11</v>
      </c>
      <c r="BJ178" t="s">
        <v>0</v>
      </c>
      <c r="BK178" t="s">
        <v>0</v>
      </c>
      <c r="BL178" s="5">
        <v>0</v>
      </c>
      <c r="BM178" t="s">
        <v>0</v>
      </c>
      <c r="BN178" t="s">
        <v>0</v>
      </c>
      <c r="BO178" t="s">
        <v>0</v>
      </c>
      <c r="BP178" t="s">
        <v>17</v>
      </c>
      <c r="BQ178" t="s">
        <v>0</v>
      </c>
      <c r="BR178" t="s">
        <v>17</v>
      </c>
      <c r="BS178" t="s">
        <v>17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</row>
    <row r="179" spans="1:80" ht="13.95" customHeight="1" x14ac:dyDescent="0.25">
      <c r="A179" t="s">
        <v>302</v>
      </c>
      <c r="B179" s="2">
        <v>45764</v>
      </c>
      <c r="C179" s="2"/>
      <c r="D179" s="2"/>
      <c r="E179" t="s">
        <v>2</v>
      </c>
      <c r="F179" t="s">
        <v>82</v>
      </c>
      <c r="G179" t="s">
        <v>0</v>
      </c>
      <c r="H179" t="s">
        <v>4</v>
      </c>
      <c r="I179" t="s">
        <v>297</v>
      </c>
      <c r="J179" t="s">
        <v>6</v>
      </c>
      <c r="K179" t="s">
        <v>34</v>
      </c>
      <c r="L179" t="s">
        <v>35</v>
      </c>
      <c r="M179" t="s">
        <v>36</v>
      </c>
      <c r="N179" t="s">
        <v>10</v>
      </c>
      <c r="O179" t="s">
        <v>0</v>
      </c>
      <c r="P179" t="s">
        <v>11</v>
      </c>
      <c r="Q179" s="5">
        <v>10</v>
      </c>
      <c r="R179" s="4">
        <v>56000</v>
      </c>
      <c r="S179" s="5">
        <v>1</v>
      </c>
      <c r="T179" s="4">
        <v>560000</v>
      </c>
      <c r="U179" s="5">
        <v>0</v>
      </c>
      <c r="V179" s="4">
        <v>0</v>
      </c>
      <c r="W179" s="5">
        <v>0</v>
      </c>
      <c r="X179" s="4">
        <v>0</v>
      </c>
      <c r="Y179" s="4">
        <f t="shared" si="4"/>
        <v>560000</v>
      </c>
      <c r="Z179" s="6" t="s">
        <v>0</v>
      </c>
      <c r="AA179" t="s">
        <v>2</v>
      </c>
      <c r="AB179" t="s">
        <v>12</v>
      </c>
      <c r="AC179">
        <f>_xlfn.XLOOKUP(AB179,'[1]GST Codes'!$A:$A,'[1]GST Codes'!$C:$C,0,0)</f>
        <v>18</v>
      </c>
      <c r="AD179">
        <f t="shared" si="5"/>
        <v>660800</v>
      </c>
      <c r="AE179" t="s">
        <v>13</v>
      </c>
      <c r="AF179" t="s">
        <v>0</v>
      </c>
      <c r="AG179" t="s">
        <v>14</v>
      </c>
      <c r="AH179" t="s">
        <v>15</v>
      </c>
      <c r="AI179" t="s">
        <v>16</v>
      </c>
      <c r="AJ179" t="s">
        <v>17</v>
      </c>
      <c r="AK179" t="s">
        <v>18</v>
      </c>
      <c r="AL179" t="s">
        <v>19</v>
      </c>
      <c r="AM179" t="s">
        <v>297</v>
      </c>
      <c r="AN179" t="s">
        <v>0</v>
      </c>
      <c r="AO179" t="s">
        <v>0</v>
      </c>
      <c r="AP179" t="s">
        <v>0</v>
      </c>
      <c r="AQ179" s="5">
        <v>10</v>
      </c>
      <c r="AR179" t="s">
        <v>11</v>
      </c>
      <c r="AS179" t="s">
        <v>0</v>
      </c>
      <c r="AT179" t="s">
        <v>17</v>
      </c>
      <c r="AU179" s="4">
        <v>0</v>
      </c>
      <c r="AV179" s="4">
        <v>0</v>
      </c>
      <c r="AW179" s="4">
        <v>0</v>
      </c>
      <c r="AX179" s="4">
        <v>0</v>
      </c>
      <c r="AY179" s="5">
        <v>0</v>
      </c>
      <c r="AZ179" s="5">
        <v>0</v>
      </c>
      <c r="BA179" s="5">
        <v>0</v>
      </c>
      <c r="BB179" s="2"/>
      <c r="BC179" t="s">
        <v>0</v>
      </c>
      <c r="BD179" s="5">
        <v>1</v>
      </c>
      <c r="BE179" t="s">
        <v>0</v>
      </c>
      <c r="BF179" t="s">
        <v>300</v>
      </c>
      <c r="BG179" t="s">
        <v>17</v>
      </c>
      <c r="BH179" t="s">
        <v>0</v>
      </c>
      <c r="BI179" t="s">
        <v>11</v>
      </c>
      <c r="BJ179" t="s">
        <v>0</v>
      </c>
      <c r="BK179" t="s">
        <v>0</v>
      </c>
      <c r="BL179" s="5">
        <v>0</v>
      </c>
      <c r="BM179" t="s">
        <v>0</v>
      </c>
      <c r="BN179" t="s">
        <v>0</v>
      </c>
      <c r="BO179" t="s">
        <v>0</v>
      </c>
      <c r="BP179" t="s">
        <v>17</v>
      </c>
      <c r="BQ179" t="s">
        <v>0</v>
      </c>
      <c r="BR179" t="s">
        <v>17</v>
      </c>
      <c r="BS179" t="s">
        <v>17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</row>
    <row r="180" spans="1:80" ht="13.95" customHeight="1" x14ac:dyDescent="0.25">
      <c r="A180" t="s">
        <v>303</v>
      </c>
      <c r="B180" s="2">
        <v>45828</v>
      </c>
      <c r="C180" s="2">
        <v>45828</v>
      </c>
      <c r="D180" s="2">
        <v>45858</v>
      </c>
      <c r="E180" t="s">
        <v>2</v>
      </c>
      <c r="F180" t="s">
        <v>3</v>
      </c>
      <c r="G180" t="s">
        <v>0</v>
      </c>
      <c r="H180" t="s">
        <v>4</v>
      </c>
      <c r="I180" t="s">
        <v>297</v>
      </c>
      <c r="J180" t="s">
        <v>6</v>
      </c>
      <c r="K180" t="s">
        <v>7</v>
      </c>
      <c r="L180" t="s">
        <v>70</v>
      </c>
      <c r="M180" t="s">
        <v>71</v>
      </c>
      <c r="N180" t="s">
        <v>10</v>
      </c>
      <c r="O180" t="s">
        <v>0</v>
      </c>
      <c r="P180" t="s">
        <v>11</v>
      </c>
      <c r="Q180" s="5">
        <v>10</v>
      </c>
      <c r="R180" s="4">
        <v>51000</v>
      </c>
      <c r="S180" s="5">
        <v>1</v>
      </c>
      <c r="T180" s="4">
        <v>510000</v>
      </c>
      <c r="U180" s="5">
        <v>0</v>
      </c>
      <c r="V180" s="4">
        <v>0</v>
      </c>
      <c r="W180" s="5">
        <v>0</v>
      </c>
      <c r="X180" s="4">
        <v>0</v>
      </c>
      <c r="Y180" s="4">
        <f t="shared" si="4"/>
        <v>510000</v>
      </c>
      <c r="Z180" s="6" t="s">
        <v>0</v>
      </c>
      <c r="AA180" t="s">
        <v>2</v>
      </c>
      <c r="AB180" t="s">
        <v>12</v>
      </c>
      <c r="AC180">
        <f>_xlfn.XLOOKUP(AB180,'[1]GST Codes'!$A:$A,'[1]GST Codes'!$C:$C,0,0)</f>
        <v>18</v>
      </c>
      <c r="AD180">
        <f t="shared" si="5"/>
        <v>601800</v>
      </c>
      <c r="AE180" t="s">
        <v>13</v>
      </c>
      <c r="AF180" t="s">
        <v>0</v>
      </c>
      <c r="AG180" t="s">
        <v>14</v>
      </c>
      <c r="AH180" t="s">
        <v>15</v>
      </c>
      <c r="AI180" t="s">
        <v>16</v>
      </c>
      <c r="AJ180" t="s">
        <v>17</v>
      </c>
      <c r="AK180" t="s">
        <v>18</v>
      </c>
      <c r="AL180" t="s">
        <v>19</v>
      </c>
      <c r="AM180" t="s">
        <v>297</v>
      </c>
      <c r="AN180" t="s">
        <v>0</v>
      </c>
      <c r="AO180" t="s">
        <v>0</v>
      </c>
      <c r="AP180" t="s">
        <v>0</v>
      </c>
      <c r="AQ180" s="5">
        <v>10</v>
      </c>
      <c r="AR180" t="s">
        <v>11</v>
      </c>
      <c r="AS180" t="s">
        <v>0</v>
      </c>
      <c r="AT180" t="s">
        <v>17</v>
      </c>
      <c r="AU180" s="4">
        <v>0</v>
      </c>
      <c r="AV180" s="4">
        <v>0</v>
      </c>
      <c r="AW180" s="4">
        <v>0</v>
      </c>
      <c r="AX180" s="4">
        <v>0</v>
      </c>
      <c r="AY180" s="5">
        <v>0</v>
      </c>
      <c r="AZ180" s="5">
        <v>0</v>
      </c>
      <c r="BA180" s="5">
        <v>0</v>
      </c>
      <c r="BB180" s="2"/>
      <c r="BC180" t="s">
        <v>0</v>
      </c>
      <c r="BD180" s="5">
        <v>1</v>
      </c>
      <c r="BE180" t="s">
        <v>0</v>
      </c>
      <c r="BF180" t="s">
        <v>298</v>
      </c>
      <c r="BG180" t="s">
        <v>17</v>
      </c>
      <c r="BH180" t="s">
        <v>0</v>
      </c>
      <c r="BI180" t="s">
        <v>11</v>
      </c>
      <c r="BJ180" t="s">
        <v>0</v>
      </c>
      <c r="BK180" t="s">
        <v>0</v>
      </c>
      <c r="BL180" s="5">
        <v>0</v>
      </c>
      <c r="BM180" t="s">
        <v>0</v>
      </c>
      <c r="BN180" t="s">
        <v>0</v>
      </c>
      <c r="BO180" t="s">
        <v>0</v>
      </c>
      <c r="BP180" t="s">
        <v>17</v>
      </c>
      <c r="BQ180" t="s">
        <v>0</v>
      </c>
      <c r="BR180" t="s">
        <v>17</v>
      </c>
      <c r="BS180" t="s">
        <v>17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</row>
    <row r="181" spans="1:80" ht="13.95" customHeight="1" x14ac:dyDescent="0.25">
      <c r="A181" t="s">
        <v>303</v>
      </c>
      <c r="B181" s="2">
        <v>45828</v>
      </c>
      <c r="C181" s="2">
        <v>45828</v>
      </c>
      <c r="D181" s="2">
        <v>45858</v>
      </c>
      <c r="E181" t="s">
        <v>2</v>
      </c>
      <c r="F181" t="s">
        <v>3</v>
      </c>
      <c r="G181" t="s">
        <v>0</v>
      </c>
      <c r="H181" t="s">
        <v>4</v>
      </c>
      <c r="I181" t="s">
        <v>297</v>
      </c>
      <c r="J181" t="s">
        <v>6</v>
      </c>
      <c r="K181" t="s">
        <v>22</v>
      </c>
      <c r="L181" t="s">
        <v>70</v>
      </c>
      <c r="M181" t="s">
        <v>71</v>
      </c>
      <c r="N181" t="s">
        <v>10</v>
      </c>
      <c r="O181" t="s">
        <v>0</v>
      </c>
      <c r="P181" t="s">
        <v>11</v>
      </c>
      <c r="Q181" s="5">
        <v>10</v>
      </c>
      <c r="R181" s="4">
        <v>51000</v>
      </c>
      <c r="S181" s="5">
        <v>1</v>
      </c>
      <c r="T181" s="4">
        <v>510000</v>
      </c>
      <c r="U181" s="5">
        <v>0</v>
      </c>
      <c r="V181" s="4">
        <v>0</v>
      </c>
      <c r="W181" s="5">
        <v>0</v>
      </c>
      <c r="X181" s="4">
        <v>0</v>
      </c>
      <c r="Y181" s="4">
        <f t="shared" si="4"/>
        <v>510000</v>
      </c>
      <c r="Z181" s="6" t="s">
        <v>0</v>
      </c>
      <c r="AA181" t="s">
        <v>2</v>
      </c>
      <c r="AB181" t="s">
        <v>12</v>
      </c>
      <c r="AC181">
        <f>_xlfn.XLOOKUP(AB181,'[1]GST Codes'!$A:$A,'[1]GST Codes'!$C:$C,0,0)</f>
        <v>18</v>
      </c>
      <c r="AD181">
        <f t="shared" si="5"/>
        <v>601800</v>
      </c>
      <c r="AE181" t="s">
        <v>13</v>
      </c>
      <c r="AF181" t="s">
        <v>0</v>
      </c>
      <c r="AG181" t="s">
        <v>14</v>
      </c>
      <c r="AH181" t="s">
        <v>15</v>
      </c>
      <c r="AI181" t="s">
        <v>16</v>
      </c>
      <c r="AJ181" t="s">
        <v>17</v>
      </c>
      <c r="AK181" t="s">
        <v>18</v>
      </c>
      <c r="AL181" t="s">
        <v>19</v>
      </c>
      <c r="AM181" t="s">
        <v>297</v>
      </c>
      <c r="AN181" t="s">
        <v>0</v>
      </c>
      <c r="AO181" t="s">
        <v>0</v>
      </c>
      <c r="AP181" t="s">
        <v>0</v>
      </c>
      <c r="AQ181" s="5">
        <v>10</v>
      </c>
      <c r="AR181" t="s">
        <v>11</v>
      </c>
      <c r="AS181" t="s">
        <v>0</v>
      </c>
      <c r="AT181" t="s">
        <v>17</v>
      </c>
      <c r="AU181" s="4">
        <v>0</v>
      </c>
      <c r="AV181" s="4">
        <v>0</v>
      </c>
      <c r="AW181" s="4">
        <v>0</v>
      </c>
      <c r="AX181" s="4">
        <v>0</v>
      </c>
      <c r="AY181" s="5">
        <v>0</v>
      </c>
      <c r="AZ181" s="5">
        <v>0</v>
      </c>
      <c r="BA181" s="5">
        <v>0</v>
      </c>
      <c r="BB181" s="2"/>
      <c r="BC181" t="s">
        <v>0</v>
      </c>
      <c r="BD181" s="5">
        <v>1</v>
      </c>
      <c r="BE181" t="s">
        <v>0</v>
      </c>
      <c r="BF181" t="s">
        <v>298</v>
      </c>
      <c r="BG181" t="s">
        <v>17</v>
      </c>
      <c r="BH181" t="s">
        <v>0</v>
      </c>
      <c r="BI181" t="s">
        <v>11</v>
      </c>
      <c r="BJ181" t="s">
        <v>0</v>
      </c>
      <c r="BK181" t="s">
        <v>0</v>
      </c>
      <c r="BL181" s="5">
        <v>0</v>
      </c>
      <c r="BM181" t="s">
        <v>0</v>
      </c>
      <c r="BN181" t="s">
        <v>0</v>
      </c>
      <c r="BO181" t="s">
        <v>0</v>
      </c>
      <c r="BP181" t="s">
        <v>17</v>
      </c>
      <c r="BQ181" t="s">
        <v>0</v>
      </c>
      <c r="BR181" t="s">
        <v>17</v>
      </c>
      <c r="BS181" t="s">
        <v>17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</row>
    <row r="182" spans="1:80" ht="13.95" customHeight="1" x14ac:dyDescent="0.25">
      <c r="A182" t="s">
        <v>303</v>
      </c>
      <c r="B182" s="2">
        <v>45828</v>
      </c>
      <c r="C182" s="2">
        <v>45828</v>
      </c>
      <c r="D182" s="2">
        <v>45858</v>
      </c>
      <c r="E182" t="s">
        <v>2</v>
      </c>
      <c r="F182" t="s">
        <v>3</v>
      </c>
      <c r="G182" t="s">
        <v>0</v>
      </c>
      <c r="H182" t="s">
        <v>4</v>
      </c>
      <c r="I182" t="s">
        <v>297</v>
      </c>
      <c r="J182" t="s">
        <v>6</v>
      </c>
      <c r="K182" t="s">
        <v>26</v>
      </c>
      <c r="L182" t="s">
        <v>70</v>
      </c>
      <c r="M182" t="s">
        <v>71</v>
      </c>
      <c r="N182" t="s">
        <v>10</v>
      </c>
      <c r="O182" t="s">
        <v>0</v>
      </c>
      <c r="P182" t="s">
        <v>11</v>
      </c>
      <c r="Q182" s="5">
        <v>10</v>
      </c>
      <c r="R182" s="4">
        <v>51000</v>
      </c>
      <c r="S182" s="5">
        <v>1</v>
      </c>
      <c r="T182" s="4">
        <v>510000</v>
      </c>
      <c r="U182" s="5">
        <v>0</v>
      </c>
      <c r="V182" s="4">
        <v>0</v>
      </c>
      <c r="W182" s="5">
        <v>0</v>
      </c>
      <c r="X182" s="4">
        <v>0</v>
      </c>
      <c r="Y182" s="4">
        <f t="shared" si="4"/>
        <v>510000</v>
      </c>
      <c r="Z182" s="6" t="s">
        <v>0</v>
      </c>
      <c r="AA182" t="s">
        <v>2</v>
      </c>
      <c r="AB182" t="s">
        <v>12</v>
      </c>
      <c r="AC182">
        <f>_xlfn.XLOOKUP(AB182,'[1]GST Codes'!$A:$A,'[1]GST Codes'!$C:$C,0,0)</f>
        <v>18</v>
      </c>
      <c r="AD182">
        <f t="shared" si="5"/>
        <v>601800</v>
      </c>
      <c r="AE182" t="s">
        <v>13</v>
      </c>
      <c r="AF182" t="s">
        <v>0</v>
      </c>
      <c r="AG182" t="s">
        <v>14</v>
      </c>
      <c r="AH182" t="s">
        <v>15</v>
      </c>
      <c r="AI182" t="s">
        <v>16</v>
      </c>
      <c r="AJ182" t="s">
        <v>17</v>
      </c>
      <c r="AK182" t="s">
        <v>18</v>
      </c>
      <c r="AL182" t="s">
        <v>19</v>
      </c>
      <c r="AM182" t="s">
        <v>297</v>
      </c>
      <c r="AN182" t="s">
        <v>0</v>
      </c>
      <c r="AO182" t="s">
        <v>0</v>
      </c>
      <c r="AP182" t="s">
        <v>0</v>
      </c>
      <c r="AQ182" s="5">
        <v>10</v>
      </c>
      <c r="AR182" t="s">
        <v>11</v>
      </c>
      <c r="AS182" t="s">
        <v>0</v>
      </c>
      <c r="AT182" t="s">
        <v>17</v>
      </c>
      <c r="AU182" s="4">
        <v>0</v>
      </c>
      <c r="AV182" s="4">
        <v>0</v>
      </c>
      <c r="AW182" s="4">
        <v>0</v>
      </c>
      <c r="AX182" s="4">
        <v>0</v>
      </c>
      <c r="AY182" s="5">
        <v>0</v>
      </c>
      <c r="AZ182" s="5">
        <v>0</v>
      </c>
      <c r="BA182" s="5">
        <v>0</v>
      </c>
      <c r="BB182" s="2"/>
      <c r="BC182" t="s">
        <v>0</v>
      </c>
      <c r="BD182" s="5">
        <v>1</v>
      </c>
      <c r="BE182" t="s">
        <v>0</v>
      </c>
      <c r="BF182" t="s">
        <v>298</v>
      </c>
      <c r="BG182" t="s">
        <v>17</v>
      </c>
      <c r="BH182" t="s">
        <v>0</v>
      </c>
      <c r="BI182" t="s">
        <v>11</v>
      </c>
      <c r="BJ182" t="s">
        <v>0</v>
      </c>
      <c r="BK182" t="s">
        <v>0</v>
      </c>
      <c r="BL182" s="5">
        <v>0</v>
      </c>
      <c r="BM182" t="s">
        <v>0</v>
      </c>
      <c r="BN182" t="s">
        <v>0</v>
      </c>
      <c r="BO182" t="s">
        <v>0</v>
      </c>
      <c r="BP182" t="s">
        <v>17</v>
      </c>
      <c r="BQ182" t="s">
        <v>0</v>
      </c>
      <c r="BR182" t="s">
        <v>17</v>
      </c>
      <c r="BS182" t="s">
        <v>17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</row>
    <row r="183" spans="1:80" ht="13.95" customHeight="1" x14ac:dyDescent="0.25">
      <c r="A183" t="s">
        <v>303</v>
      </c>
      <c r="B183" s="2">
        <v>45828</v>
      </c>
      <c r="C183" s="2">
        <v>45828</v>
      </c>
      <c r="D183" s="2">
        <v>45858</v>
      </c>
      <c r="E183" t="s">
        <v>2</v>
      </c>
      <c r="F183" t="s">
        <v>3</v>
      </c>
      <c r="G183" t="s">
        <v>0</v>
      </c>
      <c r="H183" t="s">
        <v>4</v>
      </c>
      <c r="I183" t="s">
        <v>297</v>
      </c>
      <c r="J183" t="s">
        <v>6</v>
      </c>
      <c r="K183" t="s">
        <v>30</v>
      </c>
      <c r="L183" t="s">
        <v>70</v>
      </c>
      <c r="M183" t="s">
        <v>71</v>
      </c>
      <c r="N183" t="s">
        <v>10</v>
      </c>
      <c r="O183" t="s">
        <v>0</v>
      </c>
      <c r="P183" t="s">
        <v>11</v>
      </c>
      <c r="Q183" s="5">
        <v>10</v>
      </c>
      <c r="R183" s="4">
        <v>51000</v>
      </c>
      <c r="S183" s="5">
        <v>1</v>
      </c>
      <c r="T183" s="4">
        <v>510000</v>
      </c>
      <c r="U183" s="5">
        <v>0</v>
      </c>
      <c r="V183" s="4">
        <v>0</v>
      </c>
      <c r="W183" s="5">
        <v>0</v>
      </c>
      <c r="X183" s="4">
        <v>0</v>
      </c>
      <c r="Y183" s="4">
        <f t="shared" si="4"/>
        <v>510000</v>
      </c>
      <c r="Z183" s="6" t="s">
        <v>0</v>
      </c>
      <c r="AA183" t="s">
        <v>2</v>
      </c>
      <c r="AB183" t="s">
        <v>12</v>
      </c>
      <c r="AC183">
        <f>_xlfn.XLOOKUP(AB183,'[1]GST Codes'!$A:$A,'[1]GST Codes'!$C:$C,0,0)</f>
        <v>18</v>
      </c>
      <c r="AD183">
        <f t="shared" si="5"/>
        <v>601800</v>
      </c>
      <c r="AE183" t="s">
        <v>13</v>
      </c>
      <c r="AF183" t="s">
        <v>0</v>
      </c>
      <c r="AG183" t="s">
        <v>14</v>
      </c>
      <c r="AH183" t="s">
        <v>15</v>
      </c>
      <c r="AI183" t="s">
        <v>16</v>
      </c>
      <c r="AJ183" t="s">
        <v>17</v>
      </c>
      <c r="AK183" t="s">
        <v>18</v>
      </c>
      <c r="AL183" t="s">
        <v>19</v>
      </c>
      <c r="AM183" t="s">
        <v>297</v>
      </c>
      <c r="AN183" t="s">
        <v>0</v>
      </c>
      <c r="AO183" t="s">
        <v>0</v>
      </c>
      <c r="AP183" t="s">
        <v>0</v>
      </c>
      <c r="AQ183" s="5">
        <v>10</v>
      </c>
      <c r="AR183" t="s">
        <v>11</v>
      </c>
      <c r="AS183" t="s">
        <v>0</v>
      </c>
      <c r="AT183" t="s">
        <v>17</v>
      </c>
      <c r="AU183" s="4">
        <v>0</v>
      </c>
      <c r="AV183" s="4">
        <v>0</v>
      </c>
      <c r="AW183" s="4">
        <v>0</v>
      </c>
      <c r="AX183" s="4">
        <v>0</v>
      </c>
      <c r="AY183" s="5">
        <v>0</v>
      </c>
      <c r="AZ183" s="5">
        <v>0</v>
      </c>
      <c r="BA183" s="5">
        <v>0</v>
      </c>
      <c r="BB183" s="2"/>
      <c r="BC183" t="s">
        <v>0</v>
      </c>
      <c r="BD183" s="5">
        <v>1</v>
      </c>
      <c r="BE183" t="s">
        <v>0</v>
      </c>
      <c r="BF183" t="s">
        <v>298</v>
      </c>
      <c r="BG183" t="s">
        <v>17</v>
      </c>
      <c r="BH183" t="s">
        <v>0</v>
      </c>
      <c r="BI183" t="s">
        <v>11</v>
      </c>
      <c r="BJ183" t="s">
        <v>0</v>
      </c>
      <c r="BK183" t="s">
        <v>0</v>
      </c>
      <c r="BL183" s="5">
        <v>0</v>
      </c>
      <c r="BM183" t="s">
        <v>0</v>
      </c>
      <c r="BN183" t="s">
        <v>0</v>
      </c>
      <c r="BO183" t="s">
        <v>0</v>
      </c>
      <c r="BP183" t="s">
        <v>17</v>
      </c>
      <c r="BQ183" t="s">
        <v>0</v>
      </c>
      <c r="BR183" t="s">
        <v>17</v>
      </c>
      <c r="BS183" t="s">
        <v>17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</row>
    <row r="184" spans="1:80" ht="13.95" customHeight="1" x14ac:dyDescent="0.25">
      <c r="A184" t="s">
        <v>303</v>
      </c>
      <c r="B184" s="2">
        <v>45828</v>
      </c>
      <c r="C184" s="2">
        <v>45828</v>
      </c>
      <c r="D184" s="2">
        <v>45858</v>
      </c>
      <c r="E184" t="s">
        <v>2</v>
      </c>
      <c r="F184" t="s">
        <v>3</v>
      </c>
      <c r="G184" t="s">
        <v>0</v>
      </c>
      <c r="H184" t="s">
        <v>4</v>
      </c>
      <c r="I184" t="s">
        <v>297</v>
      </c>
      <c r="J184" t="s">
        <v>6</v>
      </c>
      <c r="K184" t="s">
        <v>34</v>
      </c>
      <c r="L184" t="s">
        <v>70</v>
      </c>
      <c r="M184" t="s">
        <v>71</v>
      </c>
      <c r="N184" t="s">
        <v>10</v>
      </c>
      <c r="O184" t="s">
        <v>0</v>
      </c>
      <c r="P184" t="s">
        <v>11</v>
      </c>
      <c r="Q184" s="5">
        <v>10</v>
      </c>
      <c r="R184" s="4">
        <v>51000</v>
      </c>
      <c r="S184" s="5">
        <v>1</v>
      </c>
      <c r="T184" s="4">
        <v>510000</v>
      </c>
      <c r="U184" s="5">
        <v>0</v>
      </c>
      <c r="V184" s="4">
        <v>0</v>
      </c>
      <c r="W184" s="5">
        <v>0</v>
      </c>
      <c r="X184" s="4">
        <v>0</v>
      </c>
      <c r="Y184" s="4">
        <f t="shared" si="4"/>
        <v>510000</v>
      </c>
      <c r="Z184" s="6" t="s">
        <v>0</v>
      </c>
      <c r="AA184" t="s">
        <v>2</v>
      </c>
      <c r="AB184" t="s">
        <v>12</v>
      </c>
      <c r="AC184">
        <f>_xlfn.XLOOKUP(AB184,'[1]GST Codes'!$A:$A,'[1]GST Codes'!$C:$C,0,0)</f>
        <v>18</v>
      </c>
      <c r="AD184">
        <f t="shared" si="5"/>
        <v>601800</v>
      </c>
      <c r="AE184" t="s">
        <v>13</v>
      </c>
      <c r="AF184" t="s">
        <v>0</v>
      </c>
      <c r="AG184" t="s">
        <v>14</v>
      </c>
      <c r="AH184" t="s">
        <v>15</v>
      </c>
      <c r="AI184" t="s">
        <v>16</v>
      </c>
      <c r="AJ184" t="s">
        <v>17</v>
      </c>
      <c r="AK184" t="s">
        <v>18</v>
      </c>
      <c r="AL184" t="s">
        <v>19</v>
      </c>
      <c r="AM184" t="s">
        <v>297</v>
      </c>
      <c r="AN184" t="s">
        <v>0</v>
      </c>
      <c r="AO184" t="s">
        <v>0</v>
      </c>
      <c r="AP184" t="s">
        <v>0</v>
      </c>
      <c r="AQ184" s="5">
        <v>10</v>
      </c>
      <c r="AR184" t="s">
        <v>11</v>
      </c>
      <c r="AS184" t="s">
        <v>0</v>
      </c>
      <c r="AT184" t="s">
        <v>17</v>
      </c>
      <c r="AU184" s="4">
        <v>0</v>
      </c>
      <c r="AV184" s="4">
        <v>0</v>
      </c>
      <c r="AW184" s="4">
        <v>0</v>
      </c>
      <c r="AX184" s="4">
        <v>0</v>
      </c>
      <c r="AY184" s="5">
        <v>0</v>
      </c>
      <c r="AZ184" s="5">
        <v>0</v>
      </c>
      <c r="BA184" s="5">
        <v>0</v>
      </c>
      <c r="BB184" s="2"/>
      <c r="BC184" t="s">
        <v>0</v>
      </c>
      <c r="BD184" s="5">
        <v>1</v>
      </c>
      <c r="BE184" t="s">
        <v>0</v>
      </c>
      <c r="BF184" t="s">
        <v>298</v>
      </c>
      <c r="BG184" t="s">
        <v>17</v>
      </c>
      <c r="BH184" t="s">
        <v>0</v>
      </c>
      <c r="BI184" t="s">
        <v>11</v>
      </c>
      <c r="BJ184" t="s">
        <v>0</v>
      </c>
      <c r="BK184" t="s">
        <v>0</v>
      </c>
      <c r="BL184" s="5">
        <v>0</v>
      </c>
      <c r="BM184" t="s">
        <v>0</v>
      </c>
      <c r="BN184" t="s">
        <v>0</v>
      </c>
      <c r="BO184" t="s">
        <v>0</v>
      </c>
      <c r="BP184" t="s">
        <v>17</v>
      </c>
      <c r="BQ184" t="s">
        <v>0</v>
      </c>
      <c r="BR184" t="s">
        <v>17</v>
      </c>
      <c r="BS184" t="s">
        <v>17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</row>
    <row r="185" spans="1:80" ht="13.95" customHeight="1" x14ac:dyDescent="0.25">
      <c r="A185" t="s">
        <v>303</v>
      </c>
      <c r="B185" s="2">
        <v>45828</v>
      </c>
      <c r="C185" s="2">
        <v>45828</v>
      </c>
      <c r="D185" s="2">
        <v>45858</v>
      </c>
      <c r="E185" t="s">
        <v>2</v>
      </c>
      <c r="F185" t="s">
        <v>3</v>
      </c>
      <c r="G185" t="s">
        <v>0</v>
      </c>
      <c r="H185" t="s">
        <v>4</v>
      </c>
      <c r="I185" t="s">
        <v>297</v>
      </c>
      <c r="J185" t="s">
        <v>6</v>
      </c>
      <c r="K185" t="s">
        <v>38</v>
      </c>
      <c r="L185" t="s">
        <v>70</v>
      </c>
      <c r="M185" t="s">
        <v>71</v>
      </c>
      <c r="N185" t="s">
        <v>10</v>
      </c>
      <c r="O185" t="s">
        <v>0</v>
      </c>
      <c r="P185" t="s">
        <v>11</v>
      </c>
      <c r="Q185" s="5">
        <v>10</v>
      </c>
      <c r="R185" s="4">
        <v>51000</v>
      </c>
      <c r="S185" s="5">
        <v>1</v>
      </c>
      <c r="T185" s="4">
        <v>510000</v>
      </c>
      <c r="U185" s="5">
        <v>0</v>
      </c>
      <c r="V185" s="4">
        <v>0</v>
      </c>
      <c r="W185" s="5">
        <v>0</v>
      </c>
      <c r="X185" s="4">
        <v>0</v>
      </c>
      <c r="Y185" s="4">
        <f t="shared" si="4"/>
        <v>510000</v>
      </c>
      <c r="Z185" s="6" t="s">
        <v>0</v>
      </c>
      <c r="AA185" t="s">
        <v>2</v>
      </c>
      <c r="AB185" t="s">
        <v>12</v>
      </c>
      <c r="AC185">
        <f>_xlfn.XLOOKUP(AB185,'[1]GST Codes'!$A:$A,'[1]GST Codes'!$C:$C,0,0)</f>
        <v>18</v>
      </c>
      <c r="AD185">
        <f t="shared" si="5"/>
        <v>601800</v>
      </c>
      <c r="AE185" t="s">
        <v>13</v>
      </c>
      <c r="AF185" t="s">
        <v>0</v>
      </c>
      <c r="AG185" t="s">
        <v>14</v>
      </c>
      <c r="AH185" t="s">
        <v>15</v>
      </c>
      <c r="AI185" t="s">
        <v>16</v>
      </c>
      <c r="AJ185" t="s">
        <v>17</v>
      </c>
      <c r="AK185" t="s">
        <v>18</v>
      </c>
      <c r="AL185" t="s">
        <v>19</v>
      </c>
      <c r="AM185" t="s">
        <v>297</v>
      </c>
      <c r="AN185" t="s">
        <v>0</v>
      </c>
      <c r="AO185" t="s">
        <v>0</v>
      </c>
      <c r="AP185" t="s">
        <v>0</v>
      </c>
      <c r="AQ185" s="5">
        <v>10</v>
      </c>
      <c r="AR185" t="s">
        <v>11</v>
      </c>
      <c r="AS185" t="s">
        <v>0</v>
      </c>
      <c r="AT185" t="s">
        <v>17</v>
      </c>
      <c r="AU185" s="4">
        <v>0</v>
      </c>
      <c r="AV185" s="4">
        <v>0</v>
      </c>
      <c r="AW185" s="4">
        <v>0</v>
      </c>
      <c r="AX185" s="4">
        <v>0</v>
      </c>
      <c r="AY185" s="5">
        <v>0</v>
      </c>
      <c r="AZ185" s="5">
        <v>0</v>
      </c>
      <c r="BA185" s="5">
        <v>0</v>
      </c>
      <c r="BB185" s="2"/>
      <c r="BC185" t="s">
        <v>0</v>
      </c>
      <c r="BD185" s="5">
        <v>1</v>
      </c>
      <c r="BE185" t="s">
        <v>0</v>
      </c>
      <c r="BF185" t="s">
        <v>298</v>
      </c>
      <c r="BG185" t="s">
        <v>17</v>
      </c>
      <c r="BH185" t="s">
        <v>0</v>
      </c>
      <c r="BI185" t="s">
        <v>11</v>
      </c>
      <c r="BJ185" t="s">
        <v>0</v>
      </c>
      <c r="BK185" t="s">
        <v>0</v>
      </c>
      <c r="BL185" s="5">
        <v>0</v>
      </c>
      <c r="BM185" t="s">
        <v>0</v>
      </c>
      <c r="BN185" t="s">
        <v>0</v>
      </c>
      <c r="BO185" t="s">
        <v>0</v>
      </c>
      <c r="BP185" t="s">
        <v>17</v>
      </c>
      <c r="BQ185" t="s">
        <v>0</v>
      </c>
      <c r="BR185" t="s">
        <v>17</v>
      </c>
      <c r="BS185" t="s">
        <v>17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</row>
    <row r="186" spans="1:80" ht="13.95" customHeight="1" x14ac:dyDescent="0.25">
      <c r="A186" t="s">
        <v>303</v>
      </c>
      <c r="B186" s="2">
        <v>45828</v>
      </c>
      <c r="C186" s="2">
        <v>45828</v>
      </c>
      <c r="D186" s="2">
        <v>45858</v>
      </c>
      <c r="E186" t="s">
        <v>2</v>
      </c>
      <c r="F186" t="s">
        <v>3</v>
      </c>
      <c r="G186" t="s">
        <v>0</v>
      </c>
      <c r="H186" t="s">
        <v>4</v>
      </c>
      <c r="I186" t="s">
        <v>297</v>
      </c>
      <c r="J186" t="s">
        <v>6</v>
      </c>
      <c r="K186" t="s">
        <v>42</v>
      </c>
      <c r="L186" t="s">
        <v>35</v>
      </c>
      <c r="M186" t="s">
        <v>36</v>
      </c>
      <c r="N186" t="s">
        <v>10</v>
      </c>
      <c r="O186" t="s">
        <v>0</v>
      </c>
      <c r="P186" t="s">
        <v>11</v>
      </c>
      <c r="Q186" s="5">
        <v>25</v>
      </c>
      <c r="R186" s="4">
        <v>50000</v>
      </c>
      <c r="S186" s="5">
        <v>1</v>
      </c>
      <c r="T186" s="4">
        <v>1250000</v>
      </c>
      <c r="U186" s="5">
        <v>0</v>
      </c>
      <c r="V186" s="4">
        <v>0</v>
      </c>
      <c r="W186" s="5">
        <v>0</v>
      </c>
      <c r="X186" s="4">
        <v>0</v>
      </c>
      <c r="Y186" s="4">
        <f t="shared" si="4"/>
        <v>1250000</v>
      </c>
      <c r="Z186" s="6" t="s">
        <v>0</v>
      </c>
      <c r="AA186" t="s">
        <v>2</v>
      </c>
      <c r="AB186" t="s">
        <v>12</v>
      </c>
      <c r="AC186">
        <f>_xlfn.XLOOKUP(AB186,'[1]GST Codes'!$A:$A,'[1]GST Codes'!$C:$C,0,0)</f>
        <v>18</v>
      </c>
      <c r="AD186">
        <f t="shared" si="5"/>
        <v>1475000</v>
      </c>
      <c r="AE186" t="s">
        <v>13</v>
      </c>
      <c r="AF186" t="s">
        <v>0</v>
      </c>
      <c r="AG186" t="s">
        <v>14</v>
      </c>
      <c r="AH186" t="s">
        <v>15</v>
      </c>
      <c r="AI186" t="s">
        <v>16</v>
      </c>
      <c r="AJ186" t="s">
        <v>17</v>
      </c>
      <c r="AK186" t="s">
        <v>18</v>
      </c>
      <c r="AL186" t="s">
        <v>19</v>
      </c>
      <c r="AM186" t="s">
        <v>297</v>
      </c>
      <c r="AN186" t="s">
        <v>0</v>
      </c>
      <c r="AO186" t="s">
        <v>0</v>
      </c>
      <c r="AP186" t="s">
        <v>0</v>
      </c>
      <c r="AQ186" s="5">
        <v>25</v>
      </c>
      <c r="AR186" t="s">
        <v>11</v>
      </c>
      <c r="AS186" t="s">
        <v>0</v>
      </c>
      <c r="AT186" t="s">
        <v>17</v>
      </c>
      <c r="AU186" s="4">
        <v>0</v>
      </c>
      <c r="AV186" s="4">
        <v>0</v>
      </c>
      <c r="AW186" s="4">
        <v>0</v>
      </c>
      <c r="AX186" s="4">
        <v>0</v>
      </c>
      <c r="AY186" s="5">
        <v>0</v>
      </c>
      <c r="AZ186" s="5">
        <v>0</v>
      </c>
      <c r="BA186" s="5">
        <v>0</v>
      </c>
      <c r="BB186" s="2"/>
      <c r="BC186" t="s">
        <v>0</v>
      </c>
      <c r="BD186" s="5">
        <v>1</v>
      </c>
      <c r="BE186" t="s">
        <v>0</v>
      </c>
      <c r="BF186" t="s">
        <v>300</v>
      </c>
      <c r="BG186" t="s">
        <v>17</v>
      </c>
      <c r="BH186" t="s">
        <v>0</v>
      </c>
      <c r="BI186" t="s">
        <v>11</v>
      </c>
      <c r="BJ186" t="s">
        <v>0</v>
      </c>
      <c r="BK186" t="s">
        <v>0</v>
      </c>
      <c r="BL186" s="5">
        <v>0</v>
      </c>
      <c r="BM186" t="s">
        <v>0</v>
      </c>
      <c r="BN186" t="s">
        <v>0</v>
      </c>
      <c r="BO186" t="s">
        <v>0</v>
      </c>
      <c r="BP186" t="s">
        <v>17</v>
      </c>
      <c r="BQ186" t="s">
        <v>0</v>
      </c>
      <c r="BR186" t="s">
        <v>17</v>
      </c>
      <c r="BS186" t="s">
        <v>17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</row>
    <row r="187" spans="1:80" ht="13.95" customHeight="1" x14ac:dyDescent="0.25">
      <c r="A187" t="s">
        <v>304</v>
      </c>
      <c r="B187" s="2">
        <v>45939</v>
      </c>
      <c r="C187" s="2">
        <v>45939</v>
      </c>
      <c r="D187" s="2">
        <v>45969</v>
      </c>
      <c r="E187" t="s">
        <v>2</v>
      </c>
      <c r="F187" t="s">
        <v>3</v>
      </c>
      <c r="G187" t="s">
        <v>0</v>
      </c>
      <c r="H187" t="s">
        <v>4</v>
      </c>
      <c r="I187" t="s">
        <v>297</v>
      </c>
      <c r="J187" t="s">
        <v>6</v>
      </c>
      <c r="K187" t="s">
        <v>7</v>
      </c>
      <c r="L187" t="s">
        <v>70</v>
      </c>
      <c r="M187" t="s">
        <v>71</v>
      </c>
      <c r="N187" t="s">
        <v>10</v>
      </c>
      <c r="O187" t="s">
        <v>0</v>
      </c>
      <c r="P187" t="s">
        <v>11</v>
      </c>
      <c r="Q187" s="5">
        <v>6</v>
      </c>
      <c r="R187" s="4">
        <v>47500</v>
      </c>
      <c r="S187" s="5">
        <v>1</v>
      </c>
      <c r="T187" s="4">
        <v>285000</v>
      </c>
      <c r="U187" s="5">
        <v>0</v>
      </c>
      <c r="V187" s="4">
        <v>0</v>
      </c>
      <c r="W187" s="5">
        <v>0</v>
      </c>
      <c r="X187" s="4">
        <v>0</v>
      </c>
      <c r="Y187" s="4">
        <f t="shared" si="4"/>
        <v>285000</v>
      </c>
      <c r="Z187" s="6" t="s">
        <v>0</v>
      </c>
      <c r="AA187" t="s">
        <v>2</v>
      </c>
      <c r="AB187" t="s">
        <v>12</v>
      </c>
      <c r="AC187">
        <f>_xlfn.XLOOKUP(AB187,'[1]GST Codes'!$A:$A,'[1]GST Codes'!$C:$C,0,0)</f>
        <v>18</v>
      </c>
      <c r="AD187">
        <f t="shared" si="5"/>
        <v>336300</v>
      </c>
      <c r="AE187" t="s">
        <v>13</v>
      </c>
      <c r="AF187" t="s">
        <v>0</v>
      </c>
      <c r="AG187" t="s">
        <v>14</v>
      </c>
      <c r="AH187" t="s">
        <v>15</v>
      </c>
      <c r="AI187" t="s">
        <v>85</v>
      </c>
      <c r="AJ187" t="s">
        <v>17</v>
      </c>
      <c r="AK187" t="s">
        <v>18</v>
      </c>
      <c r="AL187" t="s">
        <v>19</v>
      </c>
      <c r="AM187" t="s">
        <v>297</v>
      </c>
      <c r="AN187" t="s">
        <v>0</v>
      </c>
      <c r="AO187" t="s">
        <v>0</v>
      </c>
      <c r="AP187" t="s">
        <v>0</v>
      </c>
      <c r="AQ187" s="5">
        <v>6</v>
      </c>
      <c r="AR187" t="s">
        <v>11</v>
      </c>
      <c r="AS187" t="s">
        <v>0</v>
      </c>
      <c r="AT187" t="s">
        <v>17</v>
      </c>
      <c r="AU187" s="4">
        <v>0</v>
      </c>
      <c r="AV187" s="4">
        <v>0</v>
      </c>
      <c r="AW187" s="4">
        <v>0</v>
      </c>
      <c r="AX187" s="4">
        <v>0</v>
      </c>
      <c r="AY187" s="5">
        <v>0</v>
      </c>
      <c r="AZ187" s="5">
        <v>0</v>
      </c>
      <c r="BA187" s="5">
        <v>0</v>
      </c>
      <c r="BB187" s="2"/>
      <c r="BC187" t="s">
        <v>0</v>
      </c>
      <c r="BD187" s="5">
        <v>1</v>
      </c>
      <c r="BE187" t="s">
        <v>0</v>
      </c>
      <c r="BF187" t="s">
        <v>298</v>
      </c>
      <c r="BG187" t="s">
        <v>17</v>
      </c>
      <c r="BH187" t="s">
        <v>0</v>
      </c>
      <c r="BI187" t="s">
        <v>11</v>
      </c>
      <c r="BJ187" t="s">
        <v>0</v>
      </c>
      <c r="BK187" t="s">
        <v>0</v>
      </c>
      <c r="BL187" s="5">
        <v>0</v>
      </c>
      <c r="BM187" t="s">
        <v>0</v>
      </c>
      <c r="BN187" t="s">
        <v>0</v>
      </c>
      <c r="BO187" t="s">
        <v>0</v>
      </c>
      <c r="BP187" t="s">
        <v>17</v>
      </c>
      <c r="BQ187" t="s">
        <v>0</v>
      </c>
      <c r="BR187" t="s">
        <v>17</v>
      </c>
      <c r="BS187" t="s">
        <v>17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</row>
    <row r="188" spans="1:80" ht="13.95" customHeight="1" x14ac:dyDescent="0.25">
      <c r="A188" t="s">
        <v>304</v>
      </c>
      <c r="B188" s="2">
        <v>45939</v>
      </c>
      <c r="C188" s="2">
        <v>45939</v>
      </c>
      <c r="D188" s="2">
        <v>45969</v>
      </c>
      <c r="E188" t="s">
        <v>2</v>
      </c>
      <c r="F188" t="s">
        <v>3</v>
      </c>
      <c r="G188" t="s">
        <v>0</v>
      </c>
      <c r="H188" t="s">
        <v>4</v>
      </c>
      <c r="I188" t="s">
        <v>297</v>
      </c>
      <c r="J188" t="s">
        <v>6</v>
      </c>
      <c r="K188" t="s">
        <v>22</v>
      </c>
      <c r="L188" t="s">
        <v>70</v>
      </c>
      <c r="M188" t="s">
        <v>71</v>
      </c>
      <c r="N188" t="s">
        <v>10</v>
      </c>
      <c r="O188" t="s">
        <v>0</v>
      </c>
      <c r="P188" t="s">
        <v>11</v>
      </c>
      <c r="Q188" s="5">
        <v>6</v>
      </c>
      <c r="R188" s="4">
        <v>47500</v>
      </c>
      <c r="S188" s="5">
        <v>1</v>
      </c>
      <c r="T188" s="4">
        <v>285000</v>
      </c>
      <c r="U188" s="5">
        <v>0</v>
      </c>
      <c r="V188" s="4">
        <v>0</v>
      </c>
      <c r="W188" s="5">
        <v>0</v>
      </c>
      <c r="X188" s="4">
        <v>0</v>
      </c>
      <c r="Y188" s="4">
        <f t="shared" si="4"/>
        <v>285000</v>
      </c>
      <c r="Z188" s="6" t="s">
        <v>0</v>
      </c>
      <c r="AA188" t="s">
        <v>2</v>
      </c>
      <c r="AB188" t="s">
        <v>12</v>
      </c>
      <c r="AC188">
        <f>_xlfn.XLOOKUP(AB188,'[1]GST Codes'!$A:$A,'[1]GST Codes'!$C:$C,0,0)</f>
        <v>18</v>
      </c>
      <c r="AD188">
        <f t="shared" si="5"/>
        <v>336300</v>
      </c>
      <c r="AE188" t="s">
        <v>13</v>
      </c>
      <c r="AF188" t="s">
        <v>0</v>
      </c>
      <c r="AG188" t="s">
        <v>14</v>
      </c>
      <c r="AH188" t="s">
        <v>15</v>
      </c>
      <c r="AI188" t="s">
        <v>85</v>
      </c>
      <c r="AJ188" t="s">
        <v>17</v>
      </c>
      <c r="AK188" t="s">
        <v>18</v>
      </c>
      <c r="AL188" t="s">
        <v>19</v>
      </c>
      <c r="AM188" t="s">
        <v>297</v>
      </c>
      <c r="AN188" t="s">
        <v>0</v>
      </c>
      <c r="AO188" t="s">
        <v>0</v>
      </c>
      <c r="AP188" t="s">
        <v>0</v>
      </c>
      <c r="AQ188" s="5">
        <v>6</v>
      </c>
      <c r="AR188" t="s">
        <v>11</v>
      </c>
      <c r="AS188" t="s">
        <v>0</v>
      </c>
      <c r="AT188" t="s">
        <v>17</v>
      </c>
      <c r="AU188" s="4">
        <v>0</v>
      </c>
      <c r="AV188" s="4">
        <v>0</v>
      </c>
      <c r="AW188" s="4">
        <v>0</v>
      </c>
      <c r="AX188" s="4">
        <v>0</v>
      </c>
      <c r="AY188" s="5">
        <v>0</v>
      </c>
      <c r="AZ188" s="5">
        <v>0</v>
      </c>
      <c r="BA188" s="5">
        <v>0</v>
      </c>
      <c r="BB188" s="2"/>
      <c r="BC188" t="s">
        <v>0</v>
      </c>
      <c r="BD188" s="5">
        <v>1</v>
      </c>
      <c r="BE188" t="s">
        <v>0</v>
      </c>
      <c r="BF188" t="s">
        <v>298</v>
      </c>
      <c r="BG188" t="s">
        <v>17</v>
      </c>
      <c r="BH188" t="s">
        <v>0</v>
      </c>
      <c r="BI188" t="s">
        <v>11</v>
      </c>
      <c r="BJ188" t="s">
        <v>0</v>
      </c>
      <c r="BK188" t="s">
        <v>0</v>
      </c>
      <c r="BL188" s="5">
        <v>0</v>
      </c>
      <c r="BM188" t="s">
        <v>0</v>
      </c>
      <c r="BN188" t="s">
        <v>0</v>
      </c>
      <c r="BO188" t="s">
        <v>0</v>
      </c>
      <c r="BP188" t="s">
        <v>17</v>
      </c>
      <c r="BQ188" t="s">
        <v>0</v>
      </c>
      <c r="BR188" t="s">
        <v>17</v>
      </c>
      <c r="BS188" t="s">
        <v>17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</row>
    <row r="189" spans="1:80" ht="13.95" customHeight="1" x14ac:dyDescent="0.25">
      <c r="A189" t="s">
        <v>304</v>
      </c>
      <c r="B189" s="2">
        <v>45939</v>
      </c>
      <c r="C189" s="2">
        <v>45939</v>
      </c>
      <c r="D189" s="2">
        <v>45969</v>
      </c>
      <c r="E189" t="s">
        <v>2</v>
      </c>
      <c r="F189" t="s">
        <v>3</v>
      </c>
      <c r="G189" t="s">
        <v>0</v>
      </c>
      <c r="H189" t="s">
        <v>4</v>
      </c>
      <c r="I189" t="s">
        <v>297</v>
      </c>
      <c r="J189" t="s">
        <v>6</v>
      </c>
      <c r="K189" t="s">
        <v>26</v>
      </c>
      <c r="L189" t="s">
        <v>70</v>
      </c>
      <c r="M189" t="s">
        <v>71</v>
      </c>
      <c r="N189" t="s">
        <v>10</v>
      </c>
      <c r="O189" t="s">
        <v>0</v>
      </c>
      <c r="P189" t="s">
        <v>11</v>
      </c>
      <c r="Q189" s="5">
        <v>6</v>
      </c>
      <c r="R189" s="4">
        <v>47500</v>
      </c>
      <c r="S189" s="5">
        <v>1</v>
      </c>
      <c r="T189" s="4">
        <v>285000</v>
      </c>
      <c r="U189" s="5">
        <v>0</v>
      </c>
      <c r="V189" s="4">
        <v>0</v>
      </c>
      <c r="W189" s="5">
        <v>0</v>
      </c>
      <c r="X189" s="4">
        <v>0</v>
      </c>
      <c r="Y189" s="4">
        <f t="shared" si="4"/>
        <v>285000</v>
      </c>
      <c r="Z189" s="6" t="s">
        <v>0</v>
      </c>
      <c r="AA189" t="s">
        <v>2</v>
      </c>
      <c r="AB189" t="s">
        <v>12</v>
      </c>
      <c r="AC189">
        <f>_xlfn.XLOOKUP(AB189,'[1]GST Codes'!$A:$A,'[1]GST Codes'!$C:$C,0,0)</f>
        <v>18</v>
      </c>
      <c r="AD189">
        <f t="shared" si="5"/>
        <v>336300</v>
      </c>
      <c r="AE189" t="s">
        <v>13</v>
      </c>
      <c r="AF189" t="s">
        <v>0</v>
      </c>
      <c r="AG189" t="s">
        <v>14</v>
      </c>
      <c r="AH189" t="s">
        <v>15</v>
      </c>
      <c r="AI189" t="s">
        <v>85</v>
      </c>
      <c r="AJ189" t="s">
        <v>17</v>
      </c>
      <c r="AK189" t="s">
        <v>18</v>
      </c>
      <c r="AL189" t="s">
        <v>19</v>
      </c>
      <c r="AM189" t="s">
        <v>297</v>
      </c>
      <c r="AN189" t="s">
        <v>0</v>
      </c>
      <c r="AO189" t="s">
        <v>0</v>
      </c>
      <c r="AP189" t="s">
        <v>0</v>
      </c>
      <c r="AQ189" s="5">
        <v>6</v>
      </c>
      <c r="AR189" t="s">
        <v>11</v>
      </c>
      <c r="AS189" t="s">
        <v>0</v>
      </c>
      <c r="AT189" t="s">
        <v>17</v>
      </c>
      <c r="AU189" s="4">
        <v>0</v>
      </c>
      <c r="AV189" s="4">
        <v>0</v>
      </c>
      <c r="AW189" s="4">
        <v>0</v>
      </c>
      <c r="AX189" s="4">
        <v>0</v>
      </c>
      <c r="AY189" s="5">
        <v>0</v>
      </c>
      <c r="AZ189" s="5">
        <v>0</v>
      </c>
      <c r="BA189" s="5">
        <v>0</v>
      </c>
      <c r="BB189" s="2"/>
      <c r="BC189" t="s">
        <v>0</v>
      </c>
      <c r="BD189" s="5">
        <v>1</v>
      </c>
      <c r="BE189" t="s">
        <v>0</v>
      </c>
      <c r="BF189" t="s">
        <v>298</v>
      </c>
      <c r="BG189" t="s">
        <v>17</v>
      </c>
      <c r="BH189" t="s">
        <v>0</v>
      </c>
      <c r="BI189" t="s">
        <v>11</v>
      </c>
      <c r="BJ189" t="s">
        <v>0</v>
      </c>
      <c r="BK189" t="s">
        <v>0</v>
      </c>
      <c r="BL189" s="5">
        <v>0</v>
      </c>
      <c r="BM189" t="s">
        <v>0</v>
      </c>
      <c r="BN189" t="s">
        <v>0</v>
      </c>
      <c r="BO189" t="s">
        <v>0</v>
      </c>
      <c r="BP189" t="s">
        <v>17</v>
      </c>
      <c r="BQ189" t="s">
        <v>0</v>
      </c>
      <c r="BR189" t="s">
        <v>17</v>
      </c>
      <c r="BS189" t="s">
        <v>17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</row>
    <row r="190" spans="1:80" ht="13.95" customHeight="1" x14ac:dyDescent="0.25">
      <c r="A190" t="s">
        <v>304</v>
      </c>
      <c r="B190" s="2">
        <v>45939</v>
      </c>
      <c r="C190" s="2">
        <v>45939</v>
      </c>
      <c r="D190" s="2">
        <v>45969</v>
      </c>
      <c r="E190" t="s">
        <v>2</v>
      </c>
      <c r="F190" t="s">
        <v>3</v>
      </c>
      <c r="G190" t="s">
        <v>0</v>
      </c>
      <c r="H190" t="s">
        <v>4</v>
      </c>
      <c r="I190" t="s">
        <v>297</v>
      </c>
      <c r="J190" t="s">
        <v>6</v>
      </c>
      <c r="K190" t="s">
        <v>30</v>
      </c>
      <c r="L190" t="s">
        <v>70</v>
      </c>
      <c r="M190" t="s">
        <v>71</v>
      </c>
      <c r="N190" t="s">
        <v>10</v>
      </c>
      <c r="O190" t="s">
        <v>0</v>
      </c>
      <c r="P190" t="s">
        <v>11</v>
      </c>
      <c r="Q190" s="5">
        <v>6</v>
      </c>
      <c r="R190" s="4">
        <v>47500</v>
      </c>
      <c r="S190" s="5">
        <v>1</v>
      </c>
      <c r="T190" s="4">
        <v>285000</v>
      </c>
      <c r="U190" s="5">
        <v>0</v>
      </c>
      <c r="V190" s="4">
        <v>0</v>
      </c>
      <c r="W190" s="5">
        <v>0</v>
      </c>
      <c r="X190" s="4">
        <v>0</v>
      </c>
      <c r="Y190" s="4">
        <f t="shared" si="4"/>
        <v>285000</v>
      </c>
      <c r="Z190" s="6" t="s">
        <v>0</v>
      </c>
      <c r="AA190" t="s">
        <v>2</v>
      </c>
      <c r="AB190" t="s">
        <v>12</v>
      </c>
      <c r="AC190">
        <f>_xlfn.XLOOKUP(AB190,'[1]GST Codes'!$A:$A,'[1]GST Codes'!$C:$C,0,0)</f>
        <v>18</v>
      </c>
      <c r="AD190">
        <f t="shared" si="5"/>
        <v>336300</v>
      </c>
      <c r="AE190" t="s">
        <v>13</v>
      </c>
      <c r="AF190" t="s">
        <v>0</v>
      </c>
      <c r="AG190" t="s">
        <v>14</v>
      </c>
      <c r="AH190" t="s">
        <v>15</v>
      </c>
      <c r="AI190" t="s">
        <v>85</v>
      </c>
      <c r="AJ190" t="s">
        <v>17</v>
      </c>
      <c r="AK190" t="s">
        <v>18</v>
      </c>
      <c r="AL190" t="s">
        <v>19</v>
      </c>
      <c r="AM190" t="s">
        <v>297</v>
      </c>
      <c r="AN190" t="s">
        <v>0</v>
      </c>
      <c r="AO190" t="s">
        <v>0</v>
      </c>
      <c r="AP190" t="s">
        <v>0</v>
      </c>
      <c r="AQ190" s="5">
        <v>6</v>
      </c>
      <c r="AR190" t="s">
        <v>11</v>
      </c>
      <c r="AS190" t="s">
        <v>0</v>
      </c>
      <c r="AT190" t="s">
        <v>17</v>
      </c>
      <c r="AU190" s="4">
        <v>0</v>
      </c>
      <c r="AV190" s="4">
        <v>0</v>
      </c>
      <c r="AW190" s="4">
        <v>0</v>
      </c>
      <c r="AX190" s="4">
        <v>0</v>
      </c>
      <c r="AY190" s="5">
        <v>0</v>
      </c>
      <c r="AZ190" s="5">
        <v>0</v>
      </c>
      <c r="BA190" s="5">
        <v>0</v>
      </c>
      <c r="BB190" s="2"/>
      <c r="BC190" t="s">
        <v>0</v>
      </c>
      <c r="BD190" s="5">
        <v>1</v>
      </c>
      <c r="BE190" t="s">
        <v>0</v>
      </c>
      <c r="BF190" t="s">
        <v>298</v>
      </c>
      <c r="BG190" t="s">
        <v>17</v>
      </c>
      <c r="BH190" t="s">
        <v>0</v>
      </c>
      <c r="BI190" t="s">
        <v>11</v>
      </c>
      <c r="BJ190" t="s">
        <v>0</v>
      </c>
      <c r="BK190" t="s">
        <v>0</v>
      </c>
      <c r="BL190" s="5">
        <v>0</v>
      </c>
      <c r="BM190" t="s">
        <v>0</v>
      </c>
      <c r="BN190" t="s">
        <v>0</v>
      </c>
      <c r="BO190" t="s">
        <v>0</v>
      </c>
      <c r="BP190" t="s">
        <v>17</v>
      </c>
      <c r="BQ190" t="s">
        <v>0</v>
      </c>
      <c r="BR190" t="s">
        <v>17</v>
      </c>
      <c r="BS190" t="s">
        <v>17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</row>
    <row r="191" spans="1:80" ht="13.95" customHeight="1" x14ac:dyDescent="0.25">
      <c r="A191" t="s">
        <v>304</v>
      </c>
      <c r="B191" s="2">
        <v>45939</v>
      </c>
      <c r="C191" s="2">
        <v>45939</v>
      </c>
      <c r="D191" s="2">
        <v>45969</v>
      </c>
      <c r="E191" t="s">
        <v>2</v>
      </c>
      <c r="F191" t="s">
        <v>3</v>
      </c>
      <c r="G191" t="s">
        <v>0</v>
      </c>
      <c r="H191" t="s">
        <v>4</v>
      </c>
      <c r="I191" t="s">
        <v>297</v>
      </c>
      <c r="J191" t="s">
        <v>6</v>
      </c>
      <c r="K191" t="s">
        <v>34</v>
      </c>
      <c r="L191" t="s">
        <v>70</v>
      </c>
      <c r="M191" t="s">
        <v>71</v>
      </c>
      <c r="N191" t="s">
        <v>10</v>
      </c>
      <c r="O191" t="s">
        <v>0</v>
      </c>
      <c r="P191" t="s">
        <v>11</v>
      </c>
      <c r="Q191" s="5">
        <v>6</v>
      </c>
      <c r="R191" s="4">
        <v>47500</v>
      </c>
      <c r="S191" s="5">
        <v>1</v>
      </c>
      <c r="T191" s="4">
        <v>285000</v>
      </c>
      <c r="U191" s="5">
        <v>0</v>
      </c>
      <c r="V191" s="4">
        <v>0</v>
      </c>
      <c r="W191" s="5">
        <v>0</v>
      </c>
      <c r="X191" s="4">
        <v>0</v>
      </c>
      <c r="Y191" s="4">
        <f t="shared" si="4"/>
        <v>285000</v>
      </c>
      <c r="Z191" s="6" t="s">
        <v>0</v>
      </c>
      <c r="AA191" t="s">
        <v>2</v>
      </c>
      <c r="AB191" t="s">
        <v>12</v>
      </c>
      <c r="AC191">
        <f>_xlfn.XLOOKUP(AB191,'[1]GST Codes'!$A:$A,'[1]GST Codes'!$C:$C,0,0)</f>
        <v>18</v>
      </c>
      <c r="AD191">
        <f t="shared" si="5"/>
        <v>336300</v>
      </c>
      <c r="AE191" t="s">
        <v>13</v>
      </c>
      <c r="AF191" t="s">
        <v>0</v>
      </c>
      <c r="AG191" t="s">
        <v>14</v>
      </c>
      <c r="AH191" t="s">
        <v>15</v>
      </c>
      <c r="AI191" t="s">
        <v>85</v>
      </c>
      <c r="AJ191" t="s">
        <v>17</v>
      </c>
      <c r="AK191" t="s">
        <v>18</v>
      </c>
      <c r="AL191" t="s">
        <v>19</v>
      </c>
      <c r="AM191" t="s">
        <v>297</v>
      </c>
      <c r="AN191" t="s">
        <v>0</v>
      </c>
      <c r="AO191" t="s">
        <v>0</v>
      </c>
      <c r="AP191" t="s">
        <v>0</v>
      </c>
      <c r="AQ191" s="5">
        <v>6</v>
      </c>
      <c r="AR191" t="s">
        <v>11</v>
      </c>
      <c r="AS191" t="s">
        <v>0</v>
      </c>
      <c r="AT191" t="s">
        <v>17</v>
      </c>
      <c r="AU191" s="4">
        <v>0</v>
      </c>
      <c r="AV191" s="4">
        <v>0</v>
      </c>
      <c r="AW191" s="4">
        <v>0</v>
      </c>
      <c r="AX191" s="4">
        <v>0</v>
      </c>
      <c r="AY191" s="5">
        <v>0</v>
      </c>
      <c r="AZ191" s="5">
        <v>0</v>
      </c>
      <c r="BA191" s="5">
        <v>0</v>
      </c>
      <c r="BB191" s="2"/>
      <c r="BC191" t="s">
        <v>0</v>
      </c>
      <c r="BD191" s="5">
        <v>1</v>
      </c>
      <c r="BE191" t="s">
        <v>0</v>
      </c>
      <c r="BF191" t="s">
        <v>298</v>
      </c>
      <c r="BG191" t="s">
        <v>17</v>
      </c>
      <c r="BH191" t="s">
        <v>0</v>
      </c>
      <c r="BI191" t="s">
        <v>11</v>
      </c>
      <c r="BJ191" t="s">
        <v>0</v>
      </c>
      <c r="BK191" t="s">
        <v>0</v>
      </c>
      <c r="BL191" s="5">
        <v>0</v>
      </c>
      <c r="BM191" t="s">
        <v>0</v>
      </c>
      <c r="BN191" t="s">
        <v>0</v>
      </c>
      <c r="BO191" t="s">
        <v>0</v>
      </c>
      <c r="BP191" t="s">
        <v>17</v>
      </c>
      <c r="BQ191" t="s">
        <v>0</v>
      </c>
      <c r="BR191" t="s">
        <v>17</v>
      </c>
      <c r="BS191" t="s">
        <v>17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</row>
    <row r="192" spans="1:80" ht="13.95" customHeight="1" x14ac:dyDescent="0.25">
      <c r="A192" t="s">
        <v>304</v>
      </c>
      <c r="B192" s="2">
        <v>45939</v>
      </c>
      <c r="C192" s="2">
        <v>45939</v>
      </c>
      <c r="D192" s="2">
        <v>45969</v>
      </c>
      <c r="E192" t="s">
        <v>2</v>
      </c>
      <c r="F192" t="s">
        <v>3</v>
      </c>
      <c r="G192" t="s">
        <v>0</v>
      </c>
      <c r="H192" t="s">
        <v>4</v>
      </c>
      <c r="I192" t="s">
        <v>297</v>
      </c>
      <c r="J192" t="s">
        <v>6</v>
      </c>
      <c r="K192" t="s">
        <v>38</v>
      </c>
      <c r="L192" t="s">
        <v>70</v>
      </c>
      <c r="M192" t="s">
        <v>71</v>
      </c>
      <c r="N192" t="s">
        <v>10</v>
      </c>
      <c r="O192" t="s">
        <v>0</v>
      </c>
      <c r="P192" t="s">
        <v>11</v>
      </c>
      <c r="Q192" s="5">
        <v>6</v>
      </c>
      <c r="R192" s="4">
        <v>47500</v>
      </c>
      <c r="S192" s="5">
        <v>1</v>
      </c>
      <c r="T192" s="4">
        <v>285000</v>
      </c>
      <c r="U192" s="5">
        <v>0</v>
      </c>
      <c r="V192" s="4">
        <v>0</v>
      </c>
      <c r="W192" s="5">
        <v>0</v>
      </c>
      <c r="X192" s="4">
        <v>0</v>
      </c>
      <c r="Y192" s="4">
        <f t="shared" si="4"/>
        <v>285000</v>
      </c>
      <c r="Z192" s="6" t="s">
        <v>0</v>
      </c>
      <c r="AA192" t="s">
        <v>2</v>
      </c>
      <c r="AB192" t="s">
        <v>12</v>
      </c>
      <c r="AC192">
        <f>_xlfn.XLOOKUP(AB192,'[1]GST Codes'!$A:$A,'[1]GST Codes'!$C:$C,0,0)</f>
        <v>18</v>
      </c>
      <c r="AD192">
        <f t="shared" si="5"/>
        <v>336300</v>
      </c>
      <c r="AE192" t="s">
        <v>13</v>
      </c>
      <c r="AF192" t="s">
        <v>0</v>
      </c>
      <c r="AG192" t="s">
        <v>14</v>
      </c>
      <c r="AH192" t="s">
        <v>15</v>
      </c>
      <c r="AI192" t="s">
        <v>85</v>
      </c>
      <c r="AJ192" t="s">
        <v>17</v>
      </c>
      <c r="AK192" t="s">
        <v>18</v>
      </c>
      <c r="AL192" t="s">
        <v>19</v>
      </c>
      <c r="AM192" t="s">
        <v>297</v>
      </c>
      <c r="AN192" t="s">
        <v>0</v>
      </c>
      <c r="AO192" t="s">
        <v>0</v>
      </c>
      <c r="AP192" t="s">
        <v>0</v>
      </c>
      <c r="AQ192" s="5">
        <v>6</v>
      </c>
      <c r="AR192" t="s">
        <v>11</v>
      </c>
      <c r="AS192" t="s">
        <v>0</v>
      </c>
      <c r="AT192" t="s">
        <v>17</v>
      </c>
      <c r="AU192" s="4">
        <v>0</v>
      </c>
      <c r="AV192" s="4">
        <v>0</v>
      </c>
      <c r="AW192" s="4">
        <v>0</v>
      </c>
      <c r="AX192" s="4">
        <v>0</v>
      </c>
      <c r="AY192" s="5">
        <v>0</v>
      </c>
      <c r="AZ192" s="5">
        <v>0</v>
      </c>
      <c r="BA192" s="5">
        <v>0</v>
      </c>
      <c r="BB192" s="2"/>
      <c r="BC192" t="s">
        <v>0</v>
      </c>
      <c r="BD192" s="5">
        <v>1</v>
      </c>
      <c r="BE192" t="s">
        <v>0</v>
      </c>
      <c r="BF192" t="s">
        <v>298</v>
      </c>
      <c r="BG192" t="s">
        <v>17</v>
      </c>
      <c r="BH192" t="s">
        <v>0</v>
      </c>
      <c r="BI192" t="s">
        <v>11</v>
      </c>
      <c r="BJ192" t="s">
        <v>0</v>
      </c>
      <c r="BK192" t="s">
        <v>0</v>
      </c>
      <c r="BL192" s="5">
        <v>0</v>
      </c>
      <c r="BM192" t="s">
        <v>0</v>
      </c>
      <c r="BN192" t="s">
        <v>0</v>
      </c>
      <c r="BO192" t="s">
        <v>0</v>
      </c>
      <c r="BP192" t="s">
        <v>17</v>
      </c>
      <c r="BQ192" t="s">
        <v>0</v>
      </c>
      <c r="BR192" t="s">
        <v>17</v>
      </c>
      <c r="BS192" t="s">
        <v>17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</row>
    <row r="193" spans="1:80" ht="13.95" customHeight="1" x14ac:dyDescent="0.25">
      <c r="A193" t="s">
        <v>304</v>
      </c>
      <c r="B193" s="2">
        <v>45939</v>
      </c>
      <c r="C193" s="2">
        <v>45939</v>
      </c>
      <c r="D193" s="2">
        <v>45969</v>
      </c>
      <c r="E193" t="s">
        <v>2</v>
      </c>
      <c r="F193" t="s">
        <v>3</v>
      </c>
      <c r="G193" t="s">
        <v>0</v>
      </c>
      <c r="H193" t="s">
        <v>4</v>
      </c>
      <c r="I193" t="s">
        <v>297</v>
      </c>
      <c r="J193" t="s">
        <v>6</v>
      </c>
      <c r="K193" t="s">
        <v>42</v>
      </c>
      <c r="L193" t="s">
        <v>35</v>
      </c>
      <c r="M193" t="s">
        <v>36</v>
      </c>
      <c r="N193" t="s">
        <v>10</v>
      </c>
      <c r="O193" t="s">
        <v>0</v>
      </c>
      <c r="P193" t="s">
        <v>11</v>
      </c>
      <c r="Q193" s="5">
        <v>29</v>
      </c>
      <c r="R193" s="4">
        <v>46500</v>
      </c>
      <c r="S193" s="5">
        <v>1</v>
      </c>
      <c r="T193" s="4">
        <v>1348500</v>
      </c>
      <c r="U193" s="5">
        <v>0</v>
      </c>
      <c r="V193" s="4">
        <v>0</v>
      </c>
      <c r="W193" s="5">
        <v>0</v>
      </c>
      <c r="X193" s="4">
        <v>0</v>
      </c>
      <c r="Y193" s="4">
        <f t="shared" si="4"/>
        <v>1348500</v>
      </c>
      <c r="Z193" s="6" t="s">
        <v>0</v>
      </c>
      <c r="AA193" t="s">
        <v>2</v>
      </c>
      <c r="AB193" t="s">
        <v>12</v>
      </c>
      <c r="AC193">
        <f>_xlfn.XLOOKUP(AB193,'[1]GST Codes'!$A:$A,'[1]GST Codes'!$C:$C,0,0)</f>
        <v>18</v>
      </c>
      <c r="AD193">
        <f t="shared" si="5"/>
        <v>1591230</v>
      </c>
      <c r="AE193" t="s">
        <v>13</v>
      </c>
      <c r="AF193" t="s">
        <v>0</v>
      </c>
      <c r="AG193" t="s">
        <v>14</v>
      </c>
      <c r="AH193" t="s">
        <v>15</v>
      </c>
      <c r="AI193" t="s">
        <v>85</v>
      </c>
      <c r="AJ193" t="s">
        <v>17</v>
      </c>
      <c r="AK193" t="s">
        <v>18</v>
      </c>
      <c r="AL193" t="s">
        <v>19</v>
      </c>
      <c r="AM193" t="s">
        <v>297</v>
      </c>
      <c r="AN193" t="s">
        <v>0</v>
      </c>
      <c r="AO193" t="s">
        <v>0</v>
      </c>
      <c r="AP193" t="s">
        <v>0</v>
      </c>
      <c r="AQ193" s="5">
        <v>29</v>
      </c>
      <c r="AR193" t="s">
        <v>11</v>
      </c>
      <c r="AS193" t="s">
        <v>0</v>
      </c>
      <c r="AT193" t="s">
        <v>17</v>
      </c>
      <c r="AU193" s="4">
        <v>0</v>
      </c>
      <c r="AV193" s="4">
        <v>0</v>
      </c>
      <c r="AW193" s="4">
        <v>0</v>
      </c>
      <c r="AX193" s="4">
        <v>0</v>
      </c>
      <c r="AY193" s="5">
        <v>0</v>
      </c>
      <c r="AZ193" s="5">
        <v>0</v>
      </c>
      <c r="BA193" s="5">
        <v>0</v>
      </c>
      <c r="BB193" s="2"/>
      <c r="BC193" t="s">
        <v>0</v>
      </c>
      <c r="BD193" s="5">
        <v>1</v>
      </c>
      <c r="BE193" t="s">
        <v>0</v>
      </c>
      <c r="BF193" t="s">
        <v>300</v>
      </c>
      <c r="BG193" t="s">
        <v>17</v>
      </c>
      <c r="BH193" t="s">
        <v>0</v>
      </c>
      <c r="BI193" t="s">
        <v>11</v>
      </c>
      <c r="BJ193" t="s">
        <v>0</v>
      </c>
      <c r="BK193" t="s">
        <v>0</v>
      </c>
      <c r="BL193" s="5">
        <v>0</v>
      </c>
      <c r="BM193" t="s">
        <v>0</v>
      </c>
      <c r="BN193" t="s">
        <v>0</v>
      </c>
      <c r="BO193" t="s">
        <v>0</v>
      </c>
      <c r="BP193" t="s">
        <v>17</v>
      </c>
      <c r="BQ193" t="s">
        <v>0</v>
      </c>
      <c r="BR193" t="s">
        <v>17</v>
      </c>
      <c r="BS193" t="s">
        <v>17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</row>
    <row r="194" spans="1:80" ht="13.95" customHeight="1" x14ac:dyDescent="0.25">
      <c r="A194" t="s">
        <v>304</v>
      </c>
      <c r="B194" s="2">
        <v>45939</v>
      </c>
      <c r="C194" s="2">
        <v>45939</v>
      </c>
      <c r="D194" s="2">
        <v>45969</v>
      </c>
      <c r="E194" t="s">
        <v>2</v>
      </c>
      <c r="F194" t="s">
        <v>3</v>
      </c>
      <c r="G194" t="s">
        <v>0</v>
      </c>
      <c r="H194" t="s">
        <v>4</v>
      </c>
      <c r="I194" t="s">
        <v>297</v>
      </c>
      <c r="J194" t="s">
        <v>6</v>
      </c>
      <c r="K194" t="s">
        <v>86</v>
      </c>
      <c r="L194" t="s">
        <v>35</v>
      </c>
      <c r="M194" t="s">
        <v>36</v>
      </c>
      <c r="N194" t="s">
        <v>10</v>
      </c>
      <c r="O194" t="s">
        <v>0</v>
      </c>
      <c r="P194" t="s">
        <v>11</v>
      </c>
      <c r="Q194" s="5">
        <v>29</v>
      </c>
      <c r="R194" s="4">
        <v>46500</v>
      </c>
      <c r="S194" s="5">
        <v>1</v>
      </c>
      <c r="T194" s="4">
        <v>1348500</v>
      </c>
      <c r="U194" s="5">
        <v>0</v>
      </c>
      <c r="V194" s="4">
        <v>0</v>
      </c>
      <c r="W194" s="5">
        <v>0</v>
      </c>
      <c r="X194" s="4">
        <v>0</v>
      </c>
      <c r="Y194" s="4">
        <f t="shared" si="4"/>
        <v>1348500</v>
      </c>
      <c r="Z194" s="6" t="s">
        <v>0</v>
      </c>
      <c r="AA194" t="s">
        <v>2</v>
      </c>
      <c r="AB194" t="s">
        <v>12</v>
      </c>
      <c r="AC194">
        <f>_xlfn.XLOOKUP(AB194,'[1]GST Codes'!$A:$A,'[1]GST Codes'!$C:$C,0,0)</f>
        <v>18</v>
      </c>
      <c r="AD194">
        <f t="shared" si="5"/>
        <v>1591230</v>
      </c>
      <c r="AE194" t="s">
        <v>13</v>
      </c>
      <c r="AF194" t="s">
        <v>0</v>
      </c>
      <c r="AG194" t="s">
        <v>14</v>
      </c>
      <c r="AH194" t="s">
        <v>15</v>
      </c>
      <c r="AI194" t="s">
        <v>85</v>
      </c>
      <c r="AJ194" t="s">
        <v>17</v>
      </c>
      <c r="AK194" t="s">
        <v>18</v>
      </c>
      <c r="AL194" t="s">
        <v>19</v>
      </c>
      <c r="AM194" t="s">
        <v>297</v>
      </c>
      <c r="AN194" t="s">
        <v>0</v>
      </c>
      <c r="AO194" t="s">
        <v>0</v>
      </c>
      <c r="AP194" t="s">
        <v>0</v>
      </c>
      <c r="AQ194" s="5">
        <v>29</v>
      </c>
      <c r="AR194" t="s">
        <v>11</v>
      </c>
      <c r="AS194" t="s">
        <v>0</v>
      </c>
      <c r="AT194" t="s">
        <v>17</v>
      </c>
      <c r="AU194" s="4">
        <v>0</v>
      </c>
      <c r="AV194" s="4">
        <v>0</v>
      </c>
      <c r="AW194" s="4">
        <v>0</v>
      </c>
      <c r="AX194" s="4">
        <v>0</v>
      </c>
      <c r="AY194" s="5">
        <v>0</v>
      </c>
      <c r="AZ194" s="5">
        <v>0</v>
      </c>
      <c r="BA194" s="5">
        <v>0</v>
      </c>
      <c r="BB194" s="2"/>
      <c r="BC194" t="s">
        <v>0</v>
      </c>
      <c r="BD194" s="5">
        <v>1</v>
      </c>
      <c r="BE194" t="s">
        <v>0</v>
      </c>
      <c r="BF194" t="s">
        <v>300</v>
      </c>
      <c r="BG194" t="s">
        <v>17</v>
      </c>
      <c r="BH194" t="s">
        <v>0</v>
      </c>
      <c r="BI194" t="s">
        <v>11</v>
      </c>
      <c r="BJ194" t="s">
        <v>0</v>
      </c>
      <c r="BK194" t="s">
        <v>0</v>
      </c>
      <c r="BL194" s="5">
        <v>0</v>
      </c>
      <c r="BM194" t="s">
        <v>0</v>
      </c>
      <c r="BN194" t="s">
        <v>0</v>
      </c>
      <c r="BO194" t="s">
        <v>0</v>
      </c>
      <c r="BP194" t="s">
        <v>17</v>
      </c>
      <c r="BQ194" t="s">
        <v>0</v>
      </c>
      <c r="BR194" t="s">
        <v>17</v>
      </c>
      <c r="BS194" t="s">
        <v>17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</row>
    <row r="195" spans="1:80" ht="13.95" customHeight="1" x14ac:dyDescent="0.25">
      <c r="A195" t="s">
        <v>304</v>
      </c>
      <c r="B195" s="2">
        <v>45939</v>
      </c>
      <c r="C195" s="2">
        <v>45939</v>
      </c>
      <c r="D195" s="2">
        <v>45969</v>
      </c>
      <c r="E195" t="s">
        <v>2</v>
      </c>
      <c r="F195" t="s">
        <v>3</v>
      </c>
      <c r="G195" t="s">
        <v>0</v>
      </c>
      <c r="H195" t="s">
        <v>4</v>
      </c>
      <c r="I195" t="s">
        <v>297</v>
      </c>
      <c r="J195" t="s">
        <v>6</v>
      </c>
      <c r="K195" t="s">
        <v>87</v>
      </c>
      <c r="L195" t="s">
        <v>35</v>
      </c>
      <c r="M195" t="s">
        <v>36</v>
      </c>
      <c r="N195" t="s">
        <v>10</v>
      </c>
      <c r="O195" t="s">
        <v>0</v>
      </c>
      <c r="P195" t="s">
        <v>11</v>
      </c>
      <c r="Q195" s="5">
        <v>28</v>
      </c>
      <c r="R195" s="4">
        <v>46500</v>
      </c>
      <c r="S195" s="5">
        <v>1</v>
      </c>
      <c r="T195" s="4">
        <v>1302000</v>
      </c>
      <c r="U195" s="5">
        <v>0</v>
      </c>
      <c r="V195" s="4">
        <v>0</v>
      </c>
      <c r="W195" s="5">
        <v>0</v>
      </c>
      <c r="X195" s="4">
        <v>0</v>
      </c>
      <c r="Y195" s="4">
        <f t="shared" ref="Y195:Y258" si="6">T195-V195</f>
        <v>1302000</v>
      </c>
      <c r="Z195" s="6" t="s">
        <v>0</v>
      </c>
      <c r="AA195" t="s">
        <v>2</v>
      </c>
      <c r="AB195" t="s">
        <v>12</v>
      </c>
      <c r="AC195">
        <f>_xlfn.XLOOKUP(AB195,'[1]GST Codes'!$A:$A,'[1]GST Codes'!$C:$C,0,0)</f>
        <v>18</v>
      </c>
      <c r="AD195">
        <f t="shared" ref="AD195:AD258" si="7">Y195+(Y195*AC195/100)</f>
        <v>1536360</v>
      </c>
      <c r="AE195" t="s">
        <v>13</v>
      </c>
      <c r="AF195" t="s">
        <v>0</v>
      </c>
      <c r="AG195" t="s">
        <v>14</v>
      </c>
      <c r="AH195" t="s">
        <v>15</v>
      </c>
      <c r="AI195" t="s">
        <v>85</v>
      </c>
      <c r="AJ195" t="s">
        <v>17</v>
      </c>
      <c r="AK195" t="s">
        <v>18</v>
      </c>
      <c r="AL195" t="s">
        <v>19</v>
      </c>
      <c r="AM195" t="s">
        <v>297</v>
      </c>
      <c r="AN195" t="s">
        <v>0</v>
      </c>
      <c r="AO195" t="s">
        <v>0</v>
      </c>
      <c r="AP195" t="s">
        <v>0</v>
      </c>
      <c r="AQ195" s="5">
        <v>28</v>
      </c>
      <c r="AR195" t="s">
        <v>11</v>
      </c>
      <c r="AS195" t="s">
        <v>0</v>
      </c>
      <c r="AT195" t="s">
        <v>17</v>
      </c>
      <c r="AU195" s="4">
        <v>0</v>
      </c>
      <c r="AV195" s="4">
        <v>0</v>
      </c>
      <c r="AW195" s="4">
        <v>0</v>
      </c>
      <c r="AX195" s="4">
        <v>0</v>
      </c>
      <c r="AY195" s="5">
        <v>0</v>
      </c>
      <c r="AZ195" s="5">
        <v>0</v>
      </c>
      <c r="BA195" s="5">
        <v>0</v>
      </c>
      <c r="BB195" s="2"/>
      <c r="BC195" t="s">
        <v>0</v>
      </c>
      <c r="BD195" s="5">
        <v>1</v>
      </c>
      <c r="BE195" t="s">
        <v>0</v>
      </c>
      <c r="BF195" t="s">
        <v>300</v>
      </c>
      <c r="BG195" t="s">
        <v>17</v>
      </c>
      <c r="BH195" t="s">
        <v>0</v>
      </c>
      <c r="BI195" t="s">
        <v>11</v>
      </c>
      <c r="BJ195" t="s">
        <v>0</v>
      </c>
      <c r="BK195" t="s">
        <v>0</v>
      </c>
      <c r="BL195" s="5">
        <v>0</v>
      </c>
      <c r="BM195" t="s">
        <v>0</v>
      </c>
      <c r="BN195" t="s">
        <v>0</v>
      </c>
      <c r="BO195" t="s">
        <v>0</v>
      </c>
      <c r="BP195" t="s">
        <v>17</v>
      </c>
      <c r="BQ195" t="s">
        <v>0</v>
      </c>
      <c r="BR195" t="s">
        <v>17</v>
      </c>
      <c r="BS195" t="s">
        <v>17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</row>
    <row r="196" spans="1:80" ht="13.95" customHeight="1" x14ac:dyDescent="0.25">
      <c r="A196" t="s">
        <v>304</v>
      </c>
      <c r="B196" s="2">
        <v>45939</v>
      </c>
      <c r="C196" s="2">
        <v>45939</v>
      </c>
      <c r="D196" s="2">
        <v>45969</v>
      </c>
      <c r="E196" t="s">
        <v>2</v>
      </c>
      <c r="F196" t="s">
        <v>3</v>
      </c>
      <c r="G196" t="s">
        <v>0</v>
      </c>
      <c r="H196" t="s">
        <v>4</v>
      </c>
      <c r="I196" t="s">
        <v>297</v>
      </c>
      <c r="J196" t="s">
        <v>6</v>
      </c>
      <c r="K196" t="s">
        <v>88</v>
      </c>
      <c r="L196" t="s">
        <v>35</v>
      </c>
      <c r="M196" t="s">
        <v>36</v>
      </c>
      <c r="N196" t="s">
        <v>10</v>
      </c>
      <c r="O196" t="s">
        <v>0</v>
      </c>
      <c r="P196" t="s">
        <v>11</v>
      </c>
      <c r="Q196" s="5">
        <v>28</v>
      </c>
      <c r="R196" s="4">
        <v>46500</v>
      </c>
      <c r="S196" s="5">
        <v>1</v>
      </c>
      <c r="T196" s="4">
        <v>1302000</v>
      </c>
      <c r="U196" s="3">
        <v>4.63</v>
      </c>
      <c r="V196" s="4">
        <v>215295</v>
      </c>
      <c r="W196" s="3">
        <v>4.63</v>
      </c>
      <c r="X196" s="4">
        <v>215295</v>
      </c>
      <c r="Y196" s="4">
        <f t="shared" si="6"/>
        <v>1086705</v>
      </c>
      <c r="Z196" s="6" t="s">
        <v>0</v>
      </c>
      <c r="AA196" t="s">
        <v>2</v>
      </c>
      <c r="AB196" t="s">
        <v>12</v>
      </c>
      <c r="AC196">
        <f>_xlfn.XLOOKUP(AB196,'[1]GST Codes'!$A:$A,'[1]GST Codes'!$C:$C,0,0)</f>
        <v>18</v>
      </c>
      <c r="AD196">
        <f t="shared" si="7"/>
        <v>1282311.8999999999</v>
      </c>
      <c r="AE196" t="s">
        <v>13</v>
      </c>
      <c r="AF196" t="s">
        <v>0</v>
      </c>
      <c r="AG196" t="s">
        <v>14</v>
      </c>
      <c r="AH196" t="s">
        <v>15</v>
      </c>
      <c r="AI196" t="s">
        <v>85</v>
      </c>
      <c r="AJ196" t="s">
        <v>17</v>
      </c>
      <c r="AK196" t="s">
        <v>18</v>
      </c>
      <c r="AL196" t="s">
        <v>19</v>
      </c>
      <c r="AM196" t="s">
        <v>297</v>
      </c>
      <c r="AN196" t="s">
        <v>0</v>
      </c>
      <c r="AO196" t="s">
        <v>0</v>
      </c>
      <c r="AP196" t="s">
        <v>0</v>
      </c>
      <c r="AQ196" s="5">
        <v>28</v>
      </c>
      <c r="AR196" t="s">
        <v>11</v>
      </c>
      <c r="AS196" t="s">
        <v>0</v>
      </c>
      <c r="AT196" t="s">
        <v>17</v>
      </c>
      <c r="AU196" s="4">
        <v>0</v>
      </c>
      <c r="AV196" s="4">
        <v>0</v>
      </c>
      <c r="AW196" s="4">
        <v>0</v>
      </c>
      <c r="AX196" s="4">
        <v>0</v>
      </c>
      <c r="AY196" s="5">
        <v>0</v>
      </c>
      <c r="AZ196" s="5">
        <v>0</v>
      </c>
      <c r="BA196" s="5">
        <v>0</v>
      </c>
      <c r="BB196" s="2"/>
      <c r="BC196" t="s">
        <v>0</v>
      </c>
      <c r="BD196" s="5">
        <v>1</v>
      </c>
      <c r="BE196" t="s">
        <v>0</v>
      </c>
      <c r="BF196" t="s">
        <v>300</v>
      </c>
      <c r="BG196" t="s">
        <v>17</v>
      </c>
      <c r="BH196" t="s">
        <v>0</v>
      </c>
      <c r="BI196" t="s">
        <v>11</v>
      </c>
      <c r="BJ196" t="s">
        <v>0</v>
      </c>
      <c r="BK196" t="s">
        <v>0</v>
      </c>
      <c r="BL196" s="5">
        <v>0</v>
      </c>
      <c r="BM196" t="s">
        <v>0</v>
      </c>
      <c r="BN196" t="s">
        <v>0</v>
      </c>
      <c r="BO196" t="s">
        <v>0</v>
      </c>
      <c r="BP196" t="s">
        <v>17</v>
      </c>
      <c r="BQ196" t="s">
        <v>0</v>
      </c>
      <c r="BR196" t="s">
        <v>17</v>
      </c>
      <c r="BS196" t="s">
        <v>17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</row>
    <row r="197" spans="1:80" ht="13.95" customHeight="1" x14ac:dyDescent="0.25">
      <c r="A197" t="s">
        <v>304</v>
      </c>
      <c r="B197" s="2">
        <v>45939</v>
      </c>
      <c r="C197" s="2">
        <v>45939</v>
      </c>
      <c r="D197" s="2">
        <v>45969</v>
      </c>
      <c r="E197" t="s">
        <v>2</v>
      </c>
      <c r="F197" t="s">
        <v>3</v>
      </c>
      <c r="G197" t="s">
        <v>0</v>
      </c>
      <c r="H197" t="s">
        <v>4</v>
      </c>
      <c r="I197" t="s">
        <v>297</v>
      </c>
      <c r="J197" t="s">
        <v>6</v>
      </c>
      <c r="K197" t="s">
        <v>89</v>
      </c>
      <c r="L197" t="s">
        <v>35</v>
      </c>
      <c r="M197" t="s">
        <v>36</v>
      </c>
      <c r="N197" t="s">
        <v>10</v>
      </c>
      <c r="O197" t="s">
        <v>0</v>
      </c>
      <c r="P197" t="s">
        <v>11</v>
      </c>
      <c r="Q197" s="5">
        <v>28</v>
      </c>
      <c r="R197" s="4">
        <v>46500</v>
      </c>
      <c r="S197" s="5">
        <v>1</v>
      </c>
      <c r="T197" s="4">
        <v>1302000</v>
      </c>
      <c r="U197" s="5">
        <v>0</v>
      </c>
      <c r="V197" s="4">
        <v>0</v>
      </c>
      <c r="W197" s="5">
        <v>0</v>
      </c>
      <c r="X197" s="4">
        <v>0</v>
      </c>
      <c r="Y197" s="4">
        <f t="shared" si="6"/>
        <v>1302000</v>
      </c>
      <c r="Z197" s="6" t="s">
        <v>0</v>
      </c>
      <c r="AA197" t="s">
        <v>2</v>
      </c>
      <c r="AB197" t="s">
        <v>12</v>
      </c>
      <c r="AC197">
        <f>_xlfn.XLOOKUP(AB197,'[1]GST Codes'!$A:$A,'[1]GST Codes'!$C:$C,0,0)</f>
        <v>18</v>
      </c>
      <c r="AD197">
        <f t="shared" si="7"/>
        <v>1536360</v>
      </c>
      <c r="AE197" t="s">
        <v>13</v>
      </c>
      <c r="AF197" t="s">
        <v>0</v>
      </c>
      <c r="AG197" t="s">
        <v>14</v>
      </c>
      <c r="AH197" t="s">
        <v>15</v>
      </c>
      <c r="AI197" t="s">
        <v>85</v>
      </c>
      <c r="AJ197" t="s">
        <v>17</v>
      </c>
      <c r="AK197" t="s">
        <v>18</v>
      </c>
      <c r="AL197" t="s">
        <v>19</v>
      </c>
      <c r="AM197" t="s">
        <v>297</v>
      </c>
      <c r="AN197" t="s">
        <v>0</v>
      </c>
      <c r="AO197" t="s">
        <v>0</v>
      </c>
      <c r="AP197" t="s">
        <v>0</v>
      </c>
      <c r="AQ197" s="5">
        <v>28</v>
      </c>
      <c r="AR197" t="s">
        <v>11</v>
      </c>
      <c r="AS197" t="s">
        <v>0</v>
      </c>
      <c r="AT197" t="s">
        <v>17</v>
      </c>
      <c r="AU197" s="4">
        <v>0</v>
      </c>
      <c r="AV197" s="4">
        <v>0</v>
      </c>
      <c r="AW197" s="4">
        <v>0</v>
      </c>
      <c r="AX197" s="4">
        <v>0</v>
      </c>
      <c r="AY197" s="5">
        <v>0</v>
      </c>
      <c r="AZ197" s="5">
        <v>0</v>
      </c>
      <c r="BA197" s="5">
        <v>0</v>
      </c>
      <c r="BB197" s="2"/>
      <c r="BC197" t="s">
        <v>0</v>
      </c>
      <c r="BD197" s="5">
        <v>1</v>
      </c>
      <c r="BE197" t="s">
        <v>0</v>
      </c>
      <c r="BF197" t="s">
        <v>300</v>
      </c>
      <c r="BG197" t="s">
        <v>17</v>
      </c>
      <c r="BH197" t="s">
        <v>0</v>
      </c>
      <c r="BI197" t="s">
        <v>11</v>
      </c>
      <c r="BJ197" t="s">
        <v>0</v>
      </c>
      <c r="BK197" t="s">
        <v>0</v>
      </c>
      <c r="BL197" s="5">
        <v>0</v>
      </c>
      <c r="BM197" t="s">
        <v>0</v>
      </c>
      <c r="BN197" t="s">
        <v>0</v>
      </c>
      <c r="BO197" t="s">
        <v>0</v>
      </c>
      <c r="BP197" t="s">
        <v>17</v>
      </c>
      <c r="BQ197" t="s">
        <v>0</v>
      </c>
      <c r="BR197" t="s">
        <v>17</v>
      </c>
      <c r="BS197" t="s">
        <v>17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</row>
    <row r="198" spans="1:80" x14ac:dyDescent="0.25">
      <c r="A198" t="s">
        <v>304</v>
      </c>
      <c r="B198" s="2">
        <v>45939</v>
      </c>
      <c r="C198" s="2">
        <v>45939</v>
      </c>
      <c r="D198" s="2">
        <v>45969</v>
      </c>
      <c r="E198" t="s">
        <v>2</v>
      </c>
      <c r="F198" t="s">
        <v>3</v>
      </c>
      <c r="G198" t="s">
        <v>0</v>
      </c>
      <c r="H198" t="s">
        <v>4</v>
      </c>
      <c r="I198" t="s">
        <v>297</v>
      </c>
      <c r="J198" t="s">
        <v>6</v>
      </c>
      <c r="K198" t="s">
        <v>90</v>
      </c>
      <c r="L198" t="s">
        <v>35</v>
      </c>
      <c r="M198" t="s">
        <v>36</v>
      </c>
      <c r="N198" t="s">
        <v>10</v>
      </c>
      <c r="O198" t="s">
        <v>0</v>
      </c>
      <c r="P198" t="s">
        <v>11</v>
      </c>
      <c r="Q198" s="5">
        <v>28</v>
      </c>
      <c r="R198" s="4">
        <v>46500</v>
      </c>
      <c r="S198" s="5">
        <v>1</v>
      </c>
      <c r="T198" s="4">
        <v>1302000</v>
      </c>
      <c r="U198" s="5">
        <v>28</v>
      </c>
      <c r="V198" s="4">
        <v>1302000</v>
      </c>
      <c r="W198" s="5">
        <v>28</v>
      </c>
      <c r="X198" s="4">
        <v>1302000</v>
      </c>
      <c r="Y198" s="4">
        <f t="shared" si="6"/>
        <v>0</v>
      </c>
      <c r="Z198" t="s">
        <v>0</v>
      </c>
      <c r="AA198" t="s">
        <v>2</v>
      </c>
      <c r="AB198" t="s">
        <v>12</v>
      </c>
      <c r="AC198">
        <f>_xlfn.XLOOKUP(AB198,'[1]GST Codes'!$A:$A,'[1]GST Codes'!$C:$C,0,0)</f>
        <v>18</v>
      </c>
      <c r="AD198">
        <f t="shared" si="7"/>
        <v>0</v>
      </c>
      <c r="AE198" t="s">
        <v>13</v>
      </c>
      <c r="AF198" t="s">
        <v>0</v>
      </c>
      <c r="AG198" t="s">
        <v>14</v>
      </c>
      <c r="AH198" t="s">
        <v>15</v>
      </c>
      <c r="AI198" t="s">
        <v>85</v>
      </c>
      <c r="AJ198" t="s">
        <v>17</v>
      </c>
      <c r="AK198" t="s">
        <v>18</v>
      </c>
      <c r="AL198" t="s">
        <v>19</v>
      </c>
      <c r="AM198" t="s">
        <v>297</v>
      </c>
      <c r="AN198" t="s">
        <v>0</v>
      </c>
      <c r="AO198" t="s">
        <v>0</v>
      </c>
      <c r="AP198" t="s">
        <v>0</v>
      </c>
      <c r="AQ198" s="5">
        <v>28</v>
      </c>
      <c r="AR198" t="s">
        <v>11</v>
      </c>
      <c r="AS198" t="s">
        <v>0</v>
      </c>
      <c r="AT198" t="s">
        <v>17</v>
      </c>
      <c r="AU198" s="4">
        <v>0</v>
      </c>
      <c r="AV198" s="4">
        <v>0</v>
      </c>
      <c r="AW198" s="4">
        <v>0</v>
      </c>
      <c r="AX198" s="4">
        <v>0</v>
      </c>
      <c r="AY198" s="5">
        <v>0</v>
      </c>
      <c r="AZ198" s="5">
        <v>0</v>
      </c>
      <c r="BA198" s="5">
        <v>0</v>
      </c>
      <c r="BB198" s="2"/>
      <c r="BC198" t="s">
        <v>0</v>
      </c>
      <c r="BD198" s="5">
        <v>1</v>
      </c>
      <c r="BE198" t="s">
        <v>0</v>
      </c>
      <c r="BF198" t="s">
        <v>300</v>
      </c>
      <c r="BG198" t="s">
        <v>17</v>
      </c>
      <c r="BH198" t="s">
        <v>0</v>
      </c>
      <c r="BI198" t="s">
        <v>11</v>
      </c>
      <c r="BJ198" t="s">
        <v>0</v>
      </c>
      <c r="BK198" t="s">
        <v>0</v>
      </c>
      <c r="BL198" s="5">
        <v>0</v>
      </c>
      <c r="BM198" t="s">
        <v>0</v>
      </c>
      <c r="BN198" t="s">
        <v>0</v>
      </c>
      <c r="BO198" t="s">
        <v>0</v>
      </c>
      <c r="BP198" t="s">
        <v>17</v>
      </c>
      <c r="BQ198" t="s">
        <v>0</v>
      </c>
      <c r="BR198" t="s">
        <v>17</v>
      </c>
      <c r="BS198" t="s">
        <v>17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</row>
    <row r="199" spans="1:80" ht="13.95" customHeight="1" x14ac:dyDescent="0.25">
      <c r="A199" t="s">
        <v>305</v>
      </c>
      <c r="B199" s="2">
        <v>45968</v>
      </c>
      <c r="C199" s="2">
        <v>45968</v>
      </c>
      <c r="D199" s="2">
        <v>45998</v>
      </c>
      <c r="E199" t="s">
        <v>2</v>
      </c>
      <c r="F199" t="s">
        <v>3</v>
      </c>
      <c r="G199" t="s">
        <v>0</v>
      </c>
      <c r="H199" t="s">
        <v>4</v>
      </c>
      <c r="I199" t="s">
        <v>297</v>
      </c>
      <c r="J199" t="s">
        <v>6</v>
      </c>
      <c r="K199" t="s">
        <v>7</v>
      </c>
      <c r="L199" t="s">
        <v>70</v>
      </c>
      <c r="M199" t="s">
        <v>71</v>
      </c>
      <c r="N199" t="s">
        <v>10</v>
      </c>
      <c r="O199" t="s">
        <v>0</v>
      </c>
      <c r="P199" t="s">
        <v>11</v>
      </c>
      <c r="Q199" s="3">
        <v>2.5</v>
      </c>
      <c r="R199" s="4">
        <v>46900</v>
      </c>
      <c r="S199" s="5">
        <v>1</v>
      </c>
      <c r="T199" s="4">
        <v>117250</v>
      </c>
      <c r="U199" s="5">
        <v>0</v>
      </c>
      <c r="V199" s="4">
        <v>0</v>
      </c>
      <c r="W199" s="5">
        <v>0</v>
      </c>
      <c r="X199" s="4">
        <v>0</v>
      </c>
      <c r="Y199" s="4">
        <f t="shared" si="6"/>
        <v>117250</v>
      </c>
      <c r="Z199" s="6" t="s">
        <v>0</v>
      </c>
      <c r="AA199" t="s">
        <v>2</v>
      </c>
      <c r="AB199" t="s">
        <v>12</v>
      </c>
      <c r="AC199">
        <f>_xlfn.XLOOKUP(AB199,'[1]GST Codes'!$A:$A,'[1]GST Codes'!$C:$C,0,0)</f>
        <v>18</v>
      </c>
      <c r="AD199">
        <f t="shared" si="7"/>
        <v>138355</v>
      </c>
      <c r="AE199" t="s">
        <v>13</v>
      </c>
      <c r="AF199" t="s">
        <v>0</v>
      </c>
      <c r="AG199" t="s">
        <v>14</v>
      </c>
      <c r="AH199" t="s">
        <v>15</v>
      </c>
      <c r="AI199" t="s">
        <v>85</v>
      </c>
      <c r="AJ199" t="s">
        <v>17</v>
      </c>
      <c r="AK199" t="s">
        <v>18</v>
      </c>
      <c r="AL199" t="s">
        <v>19</v>
      </c>
      <c r="AM199" t="s">
        <v>297</v>
      </c>
      <c r="AN199" t="s">
        <v>0</v>
      </c>
      <c r="AO199" t="s">
        <v>0</v>
      </c>
      <c r="AP199" t="s">
        <v>0</v>
      </c>
      <c r="AQ199" s="3">
        <v>2.5</v>
      </c>
      <c r="AR199" t="s">
        <v>11</v>
      </c>
      <c r="AS199" t="s">
        <v>0</v>
      </c>
      <c r="AT199" t="s">
        <v>17</v>
      </c>
      <c r="AU199" s="4">
        <v>0</v>
      </c>
      <c r="AV199" s="4">
        <v>0</v>
      </c>
      <c r="AW199" s="4">
        <v>0</v>
      </c>
      <c r="AX199" s="4">
        <v>0</v>
      </c>
      <c r="AY199" s="5">
        <v>0</v>
      </c>
      <c r="AZ199" s="5">
        <v>0</v>
      </c>
      <c r="BA199" s="5">
        <v>0</v>
      </c>
      <c r="BB199" s="2"/>
      <c r="BC199" t="s">
        <v>0</v>
      </c>
      <c r="BD199" s="5">
        <v>1</v>
      </c>
      <c r="BE199" t="s">
        <v>0</v>
      </c>
      <c r="BF199" t="s">
        <v>298</v>
      </c>
      <c r="BG199" t="s">
        <v>17</v>
      </c>
      <c r="BH199" t="s">
        <v>0</v>
      </c>
      <c r="BI199" t="s">
        <v>11</v>
      </c>
      <c r="BJ199" t="s">
        <v>0</v>
      </c>
      <c r="BK199" t="s">
        <v>0</v>
      </c>
      <c r="BL199" s="5">
        <v>0</v>
      </c>
      <c r="BM199" t="s">
        <v>0</v>
      </c>
      <c r="BN199" t="s">
        <v>0</v>
      </c>
      <c r="BO199" t="s">
        <v>0</v>
      </c>
      <c r="BP199" t="s">
        <v>17</v>
      </c>
      <c r="BQ199" t="s">
        <v>0</v>
      </c>
      <c r="BR199" t="s">
        <v>17</v>
      </c>
      <c r="BS199" t="s">
        <v>17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</row>
    <row r="200" spans="1:80" ht="13.95" customHeight="1" x14ac:dyDescent="0.25">
      <c r="A200" t="s">
        <v>305</v>
      </c>
      <c r="B200" s="2">
        <v>45968</v>
      </c>
      <c r="C200" s="2">
        <v>45968</v>
      </c>
      <c r="D200" s="2">
        <v>45998</v>
      </c>
      <c r="E200" t="s">
        <v>2</v>
      </c>
      <c r="F200" t="s">
        <v>3</v>
      </c>
      <c r="G200" t="s">
        <v>0</v>
      </c>
      <c r="H200" t="s">
        <v>4</v>
      </c>
      <c r="I200" t="s">
        <v>297</v>
      </c>
      <c r="J200" t="s">
        <v>6</v>
      </c>
      <c r="K200" t="s">
        <v>22</v>
      </c>
      <c r="L200" t="s">
        <v>70</v>
      </c>
      <c r="M200" t="s">
        <v>71</v>
      </c>
      <c r="N200" t="s">
        <v>10</v>
      </c>
      <c r="O200" t="s">
        <v>0</v>
      </c>
      <c r="P200" t="s">
        <v>11</v>
      </c>
      <c r="Q200" s="3">
        <v>2.5</v>
      </c>
      <c r="R200" s="4">
        <v>46900</v>
      </c>
      <c r="S200" s="5">
        <v>1</v>
      </c>
      <c r="T200" s="4">
        <v>117250</v>
      </c>
      <c r="U200" s="5">
        <v>0</v>
      </c>
      <c r="V200" s="4">
        <v>0</v>
      </c>
      <c r="W200" s="5">
        <v>0</v>
      </c>
      <c r="X200" s="4">
        <v>0</v>
      </c>
      <c r="Y200" s="4">
        <f t="shared" si="6"/>
        <v>117250</v>
      </c>
      <c r="Z200" s="6" t="s">
        <v>0</v>
      </c>
      <c r="AA200" t="s">
        <v>2</v>
      </c>
      <c r="AB200" t="s">
        <v>12</v>
      </c>
      <c r="AC200">
        <f>_xlfn.XLOOKUP(AB200,'[1]GST Codes'!$A:$A,'[1]GST Codes'!$C:$C,0,0)</f>
        <v>18</v>
      </c>
      <c r="AD200">
        <f t="shared" si="7"/>
        <v>138355</v>
      </c>
      <c r="AE200" t="s">
        <v>13</v>
      </c>
      <c r="AF200" t="s">
        <v>0</v>
      </c>
      <c r="AG200" t="s">
        <v>14</v>
      </c>
      <c r="AH200" t="s">
        <v>15</v>
      </c>
      <c r="AI200" t="s">
        <v>85</v>
      </c>
      <c r="AJ200" t="s">
        <v>17</v>
      </c>
      <c r="AK200" t="s">
        <v>18</v>
      </c>
      <c r="AL200" t="s">
        <v>19</v>
      </c>
      <c r="AM200" t="s">
        <v>297</v>
      </c>
      <c r="AN200" t="s">
        <v>0</v>
      </c>
      <c r="AO200" t="s">
        <v>0</v>
      </c>
      <c r="AP200" t="s">
        <v>0</v>
      </c>
      <c r="AQ200" s="3">
        <v>2.5</v>
      </c>
      <c r="AR200" t="s">
        <v>11</v>
      </c>
      <c r="AS200" t="s">
        <v>0</v>
      </c>
      <c r="AT200" t="s">
        <v>17</v>
      </c>
      <c r="AU200" s="4">
        <v>0</v>
      </c>
      <c r="AV200" s="4">
        <v>0</v>
      </c>
      <c r="AW200" s="4">
        <v>0</v>
      </c>
      <c r="AX200" s="4">
        <v>0</v>
      </c>
      <c r="AY200" s="5">
        <v>0</v>
      </c>
      <c r="AZ200" s="5">
        <v>0</v>
      </c>
      <c r="BA200" s="5">
        <v>0</v>
      </c>
      <c r="BB200" s="2"/>
      <c r="BC200" t="s">
        <v>0</v>
      </c>
      <c r="BD200" s="5">
        <v>1</v>
      </c>
      <c r="BE200" t="s">
        <v>0</v>
      </c>
      <c r="BF200" t="s">
        <v>298</v>
      </c>
      <c r="BG200" t="s">
        <v>17</v>
      </c>
      <c r="BH200" t="s">
        <v>0</v>
      </c>
      <c r="BI200" t="s">
        <v>11</v>
      </c>
      <c r="BJ200" t="s">
        <v>0</v>
      </c>
      <c r="BK200" t="s">
        <v>0</v>
      </c>
      <c r="BL200" s="5">
        <v>0</v>
      </c>
      <c r="BM200" t="s">
        <v>0</v>
      </c>
      <c r="BN200" t="s">
        <v>0</v>
      </c>
      <c r="BO200" t="s">
        <v>0</v>
      </c>
      <c r="BP200" t="s">
        <v>17</v>
      </c>
      <c r="BQ200" t="s">
        <v>0</v>
      </c>
      <c r="BR200" t="s">
        <v>17</v>
      </c>
      <c r="BS200" t="s">
        <v>17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</row>
    <row r="201" spans="1:80" ht="13.95" customHeight="1" x14ac:dyDescent="0.25">
      <c r="A201" t="s">
        <v>305</v>
      </c>
      <c r="B201" s="2">
        <v>45968</v>
      </c>
      <c r="C201" s="2">
        <v>45968</v>
      </c>
      <c r="D201" s="2">
        <v>45998</v>
      </c>
      <c r="E201" t="s">
        <v>2</v>
      </c>
      <c r="F201" t="s">
        <v>3</v>
      </c>
      <c r="G201" t="s">
        <v>0</v>
      </c>
      <c r="H201" t="s">
        <v>4</v>
      </c>
      <c r="I201" t="s">
        <v>297</v>
      </c>
      <c r="J201" t="s">
        <v>6</v>
      </c>
      <c r="K201" t="s">
        <v>26</v>
      </c>
      <c r="L201" t="s">
        <v>70</v>
      </c>
      <c r="M201" t="s">
        <v>71</v>
      </c>
      <c r="N201" t="s">
        <v>10</v>
      </c>
      <c r="O201" t="s">
        <v>0</v>
      </c>
      <c r="P201" t="s">
        <v>11</v>
      </c>
      <c r="Q201" s="3">
        <v>2.5</v>
      </c>
      <c r="R201" s="4">
        <v>46900</v>
      </c>
      <c r="S201" s="5">
        <v>1</v>
      </c>
      <c r="T201" s="4">
        <v>117250</v>
      </c>
      <c r="U201" s="5">
        <v>0</v>
      </c>
      <c r="V201" s="4">
        <v>0</v>
      </c>
      <c r="W201" s="5">
        <v>0</v>
      </c>
      <c r="X201" s="4">
        <v>0</v>
      </c>
      <c r="Y201" s="4">
        <f t="shared" si="6"/>
        <v>117250</v>
      </c>
      <c r="Z201" s="6" t="s">
        <v>0</v>
      </c>
      <c r="AA201" t="s">
        <v>2</v>
      </c>
      <c r="AB201" t="s">
        <v>12</v>
      </c>
      <c r="AC201">
        <f>_xlfn.XLOOKUP(AB201,'[1]GST Codes'!$A:$A,'[1]GST Codes'!$C:$C,0,0)</f>
        <v>18</v>
      </c>
      <c r="AD201">
        <f t="shared" si="7"/>
        <v>138355</v>
      </c>
      <c r="AE201" t="s">
        <v>13</v>
      </c>
      <c r="AF201" t="s">
        <v>0</v>
      </c>
      <c r="AG201" t="s">
        <v>14</v>
      </c>
      <c r="AH201" t="s">
        <v>15</v>
      </c>
      <c r="AI201" t="s">
        <v>85</v>
      </c>
      <c r="AJ201" t="s">
        <v>17</v>
      </c>
      <c r="AK201" t="s">
        <v>18</v>
      </c>
      <c r="AL201" t="s">
        <v>19</v>
      </c>
      <c r="AM201" t="s">
        <v>297</v>
      </c>
      <c r="AN201" t="s">
        <v>0</v>
      </c>
      <c r="AO201" t="s">
        <v>0</v>
      </c>
      <c r="AP201" t="s">
        <v>0</v>
      </c>
      <c r="AQ201" s="3">
        <v>2.5</v>
      </c>
      <c r="AR201" t="s">
        <v>11</v>
      </c>
      <c r="AS201" t="s">
        <v>0</v>
      </c>
      <c r="AT201" t="s">
        <v>17</v>
      </c>
      <c r="AU201" s="4">
        <v>0</v>
      </c>
      <c r="AV201" s="4">
        <v>0</v>
      </c>
      <c r="AW201" s="4">
        <v>0</v>
      </c>
      <c r="AX201" s="4">
        <v>0</v>
      </c>
      <c r="AY201" s="5">
        <v>0</v>
      </c>
      <c r="AZ201" s="5">
        <v>0</v>
      </c>
      <c r="BA201" s="5">
        <v>0</v>
      </c>
      <c r="BB201" s="2"/>
      <c r="BC201" t="s">
        <v>0</v>
      </c>
      <c r="BD201" s="5">
        <v>1</v>
      </c>
      <c r="BE201" t="s">
        <v>0</v>
      </c>
      <c r="BF201" t="s">
        <v>298</v>
      </c>
      <c r="BG201" t="s">
        <v>17</v>
      </c>
      <c r="BH201" t="s">
        <v>0</v>
      </c>
      <c r="BI201" t="s">
        <v>11</v>
      </c>
      <c r="BJ201" t="s">
        <v>0</v>
      </c>
      <c r="BK201" t="s">
        <v>0</v>
      </c>
      <c r="BL201" s="5">
        <v>0</v>
      </c>
      <c r="BM201" t="s">
        <v>0</v>
      </c>
      <c r="BN201" t="s">
        <v>0</v>
      </c>
      <c r="BO201" t="s">
        <v>0</v>
      </c>
      <c r="BP201" t="s">
        <v>17</v>
      </c>
      <c r="BQ201" t="s">
        <v>0</v>
      </c>
      <c r="BR201" t="s">
        <v>17</v>
      </c>
      <c r="BS201" t="s">
        <v>17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</row>
    <row r="202" spans="1:80" ht="13.95" customHeight="1" x14ac:dyDescent="0.25">
      <c r="A202" t="s">
        <v>305</v>
      </c>
      <c r="B202" s="2">
        <v>45968</v>
      </c>
      <c r="C202" s="2">
        <v>45968</v>
      </c>
      <c r="D202" s="2">
        <v>45998</v>
      </c>
      <c r="E202" t="s">
        <v>2</v>
      </c>
      <c r="F202" t="s">
        <v>3</v>
      </c>
      <c r="G202" t="s">
        <v>0</v>
      </c>
      <c r="H202" t="s">
        <v>4</v>
      </c>
      <c r="I202" t="s">
        <v>297</v>
      </c>
      <c r="J202" t="s">
        <v>6</v>
      </c>
      <c r="K202" t="s">
        <v>30</v>
      </c>
      <c r="L202" t="s">
        <v>70</v>
      </c>
      <c r="M202" t="s">
        <v>71</v>
      </c>
      <c r="N202" t="s">
        <v>10</v>
      </c>
      <c r="O202" t="s">
        <v>0</v>
      </c>
      <c r="P202" t="s">
        <v>11</v>
      </c>
      <c r="Q202" s="3">
        <v>2.5</v>
      </c>
      <c r="R202" s="4">
        <v>46900</v>
      </c>
      <c r="S202" s="5">
        <v>1</v>
      </c>
      <c r="T202" s="4">
        <v>117250</v>
      </c>
      <c r="U202" s="5">
        <v>0</v>
      </c>
      <c r="V202" s="4">
        <v>0</v>
      </c>
      <c r="W202" s="5">
        <v>0</v>
      </c>
      <c r="X202" s="4">
        <v>0</v>
      </c>
      <c r="Y202" s="4">
        <f t="shared" si="6"/>
        <v>117250</v>
      </c>
      <c r="Z202" s="6" t="s">
        <v>0</v>
      </c>
      <c r="AA202" t="s">
        <v>2</v>
      </c>
      <c r="AB202" t="s">
        <v>12</v>
      </c>
      <c r="AC202">
        <f>_xlfn.XLOOKUP(AB202,'[1]GST Codes'!$A:$A,'[1]GST Codes'!$C:$C,0,0)</f>
        <v>18</v>
      </c>
      <c r="AD202">
        <f t="shared" si="7"/>
        <v>138355</v>
      </c>
      <c r="AE202" t="s">
        <v>13</v>
      </c>
      <c r="AF202" t="s">
        <v>0</v>
      </c>
      <c r="AG202" t="s">
        <v>14</v>
      </c>
      <c r="AH202" t="s">
        <v>15</v>
      </c>
      <c r="AI202" t="s">
        <v>85</v>
      </c>
      <c r="AJ202" t="s">
        <v>17</v>
      </c>
      <c r="AK202" t="s">
        <v>18</v>
      </c>
      <c r="AL202" t="s">
        <v>19</v>
      </c>
      <c r="AM202" t="s">
        <v>297</v>
      </c>
      <c r="AN202" t="s">
        <v>0</v>
      </c>
      <c r="AO202" t="s">
        <v>0</v>
      </c>
      <c r="AP202" t="s">
        <v>0</v>
      </c>
      <c r="AQ202" s="3">
        <v>2.5</v>
      </c>
      <c r="AR202" t="s">
        <v>11</v>
      </c>
      <c r="AS202" t="s">
        <v>0</v>
      </c>
      <c r="AT202" t="s">
        <v>17</v>
      </c>
      <c r="AU202" s="4">
        <v>0</v>
      </c>
      <c r="AV202" s="4">
        <v>0</v>
      </c>
      <c r="AW202" s="4">
        <v>0</v>
      </c>
      <c r="AX202" s="4">
        <v>0</v>
      </c>
      <c r="AY202" s="5">
        <v>0</v>
      </c>
      <c r="AZ202" s="5">
        <v>0</v>
      </c>
      <c r="BA202" s="5">
        <v>0</v>
      </c>
      <c r="BB202" s="2"/>
      <c r="BC202" t="s">
        <v>0</v>
      </c>
      <c r="BD202" s="5">
        <v>1</v>
      </c>
      <c r="BE202" t="s">
        <v>0</v>
      </c>
      <c r="BF202" t="s">
        <v>298</v>
      </c>
      <c r="BG202" t="s">
        <v>17</v>
      </c>
      <c r="BH202" t="s">
        <v>0</v>
      </c>
      <c r="BI202" t="s">
        <v>11</v>
      </c>
      <c r="BJ202" t="s">
        <v>0</v>
      </c>
      <c r="BK202" t="s">
        <v>0</v>
      </c>
      <c r="BL202" s="5">
        <v>0</v>
      </c>
      <c r="BM202" t="s">
        <v>0</v>
      </c>
      <c r="BN202" t="s">
        <v>0</v>
      </c>
      <c r="BO202" t="s">
        <v>0</v>
      </c>
      <c r="BP202" t="s">
        <v>17</v>
      </c>
      <c r="BQ202" t="s">
        <v>0</v>
      </c>
      <c r="BR202" t="s">
        <v>17</v>
      </c>
      <c r="BS202" t="s">
        <v>17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</row>
    <row r="203" spans="1:80" ht="13.95" customHeight="1" x14ac:dyDescent="0.25">
      <c r="A203" t="s">
        <v>305</v>
      </c>
      <c r="B203" s="2">
        <v>45968</v>
      </c>
      <c r="C203" s="2">
        <v>45968</v>
      </c>
      <c r="D203" s="2">
        <v>45998</v>
      </c>
      <c r="E203" t="s">
        <v>2</v>
      </c>
      <c r="F203" t="s">
        <v>3</v>
      </c>
      <c r="G203" t="s">
        <v>0</v>
      </c>
      <c r="H203" t="s">
        <v>4</v>
      </c>
      <c r="I203" t="s">
        <v>297</v>
      </c>
      <c r="J203" t="s">
        <v>6</v>
      </c>
      <c r="K203" t="s">
        <v>34</v>
      </c>
      <c r="L203" t="s">
        <v>70</v>
      </c>
      <c r="M203" t="s">
        <v>71</v>
      </c>
      <c r="N203" t="s">
        <v>10</v>
      </c>
      <c r="O203" t="s">
        <v>0</v>
      </c>
      <c r="P203" t="s">
        <v>11</v>
      </c>
      <c r="Q203" s="3">
        <v>2.5</v>
      </c>
      <c r="R203" s="4">
        <v>46900</v>
      </c>
      <c r="S203" s="5">
        <v>1</v>
      </c>
      <c r="T203" s="4">
        <v>117250</v>
      </c>
      <c r="U203" s="5">
        <v>0</v>
      </c>
      <c r="V203" s="4">
        <v>0</v>
      </c>
      <c r="W203" s="5">
        <v>0</v>
      </c>
      <c r="X203" s="4">
        <v>0</v>
      </c>
      <c r="Y203" s="4">
        <f t="shared" si="6"/>
        <v>117250</v>
      </c>
      <c r="Z203" s="6" t="s">
        <v>0</v>
      </c>
      <c r="AA203" t="s">
        <v>2</v>
      </c>
      <c r="AB203" t="s">
        <v>12</v>
      </c>
      <c r="AC203">
        <f>_xlfn.XLOOKUP(AB203,'[1]GST Codes'!$A:$A,'[1]GST Codes'!$C:$C,0,0)</f>
        <v>18</v>
      </c>
      <c r="AD203">
        <f t="shared" si="7"/>
        <v>138355</v>
      </c>
      <c r="AE203" t="s">
        <v>13</v>
      </c>
      <c r="AF203" t="s">
        <v>0</v>
      </c>
      <c r="AG203" t="s">
        <v>14</v>
      </c>
      <c r="AH203" t="s">
        <v>15</v>
      </c>
      <c r="AI203" t="s">
        <v>85</v>
      </c>
      <c r="AJ203" t="s">
        <v>17</v>
      </c>
      <c r="AK203" t="s">
        <v>18</v>
      </c>
      <c r="AL203" t="s">
        <v>19</v>
      </c>
      <c r="AM203" t="s">
        <v>297</v>
      </c>
      <c r="AN203" t="s">
        <v>0</v>
      </c>
      <c r="AO203" t="s">
        <v>0</v>
      </c>
      <c r="AP203" t="s">
        <v>0</v>
      </c>
      <c r="AQ203" s="3">
        <v>2.5</v>
      </c>
      <c r="AR203" t="s">
        <v>11</v>
      </c>
      <c r="AS203" t="s">
        <v>0</v>
      </c>
      <c r="AT203" t="s">
        <v>17</v>
      </c>
      <c r="AU203" s="4">
        <v>0</v>
      </c>
      <c r="AV203" s="4">
        <v>0</v>
      </c>
      <c r="AW203" s="4">
        <v>0</v>
      </c>
      <c r="AX203" s="4">
        <v>0</v>
      </c>
      <c r="AY203" s="5">
        <v>0</v>
      </c>
      <c r="AZ203" s="5">
        <v>0</v>
      </c>
      <c r="BA203" s="5">
        <v>0</v>
      </c>
      <c r="BB203" s="2"/>
      <c r="BC203" t="s">
        <v>0</v>
      </c>
      <c r="BD203" s="5">
        <v>1</v>
      </c>
      <c r="BE203" t="s">
        <v>0</v>
      </c>
      <c r="BF203" t="s">
        <v>298</v>
      </c>
      <c r="BG203" t="s">
        <v>17</v>
      </c>
      <c r="BH203" t="s">
        <v>0</v>
      </c>
      <c r="BI203" t="s">
        <v>11</v>
      </c>
      <c r="BJ203" t="s">
        <v>0</v>
      </c>
      <c r="BK203" t="s">
        <v>0</v>
      </c>
      <c r="BL203" s="5">
        <v>0</v>
      </c>
      <c r="BM203" t="s">
        <v>0</v>
      </c>
      <c r="BN203" t="s">
        <v>0</v>
      </c>
      <c r="BO203" t="s">
        <v>0</v>
      </c>
      <c r="BP203" t="s">
        <v>17</v>
      </c>
      <c r="BQ203" t="s">
        <v>0</v>
      </c>
      <c r="BR203" t="s">
        <v>17</v>
      </c>
      <c r="BS203" t="s">
        <v>17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</row>
    <row r="204" spans="1:80" ht="13.95" customHeight="1" x14ac:dyDescent="0.25">
      <c r="A204" t="s">
        <v>305</v>
      </c>
      <c r="B204" s="2">
        <v>45968</v>
      </c>
      <c r="C204" s="2">
        <v>45968</v>
      </c>
      <c r="D204" s="2">
        <v>45998</v>
      </c>
      <c r="E204" t="s">
        <v>2</v>
      </c>
      <c r="F204" t="s">
        <v>3</v>
      </c>
      <c r="G204" t="s">
        <v>0</v>
      </c>
      <c r="H204" t="s">
        <v>4</v>
      </c>
      <c r="I204" t="s">
        <v>297</v>
      </c>
      <c r="J204" t="s">
        <v>6</v>
      </c>
      <c r="K204" t="s">
        <v>38</v>
      </c>
      <c r="L204" t="s">
        <v>70</v>
      </c>
      <c r="M204" t="s">
        <v>71</v>
      </c>
      <c r="N204" t="s">
        <v>10</v>
      </c>
      <c r="O204" t="s">
        <v>0</v>
      </c>
      <c r="P204" t="s">
        <v>11</v>
      </c>
      <c r="Q204" s="3">
        <v>2.5</v>
      </c>
      <c r="R204" s="4">
        <v>46900</v>
      </c>
      <c r="S204" s="5">
        <v>1</v>
      </c>
      <c r="T204" s="4">
        <v>117250</v>
      </c>
      <c r="U204" s="5">
        <v>0</v>
      </c>
      <c r="V204" s="4">
        <v>0</v>
      </c>
      <c r="W204" s="5">
        <v>0</v>
      </c>
      <c r="X204" s="4">
        <v>0</v>
      </c>
      <c r="Y204" s="4">
        <f t="shared" si="6"/>
        <v>117250</v>
      </c>
      <c r="Z204" s="6" t="s">
        <v>0</v>
      </c>
      <c r="AA204" t="s">
        <v>2</v>
      </c>
      <c r="AB204" t="s">
        <v>12</v>
      </c>
      <c r="AC204">
        <f>_xlfn.XLOOKUP(AB204,'[1]GST Codes'!$A:$A,'[1]GST Codes'!$C:$C,0,0)</f>
        <v>18</v>
      </c>
      <c r="AD204">
        <f t="shared" si="7"/>
        <v>138355</v>
      </c>
      <c r="AE204" t="s">
        <v>13</v>
      </c>
      <c r="AF204" t="s">
        <v>0</v>
      </c>
      <c r="AG204" t="s">
        <v>14</v>
      </c>
      <c r="AH204" t="s">
        <v>15</v>
      </c>
      <c r="AI204" t="s">
        <v>85</v>
      </c>
      <c r="AJ204" t="s">
        <v>17</v>
      </c>
      <c r="AK204" t="s">
        <v>18</v>
      </c>
      <c r="AL204" t="s">
        <v>19</v>
      </c>
      <c r="AM204" t="s">
        <v>297</v>
      </c>
      <c r="AN204" t="s">
        <v>0</v>
      </c>
      <c r="AO204" t="s">
        <v>0</v>
      </c>
      <c r="AP204" t="s">
        <v>0</v>
      </c>
      <c r="AQ204" s="3">
        <v>2.5</v>
      </c>
      <c r="AR204" t="s">
        <v>11</v>
      </c>
      <c r="AS204" t="s">
        <v>0</v>
      </c>
      <c r="AT204" t="s">
        <v>17</v>
      </c>
      <c r="AU204" s="4">
        <v>0</v>
      </c>
      <c r="AV204" s="4">
        <v>0</v>
      </c>
      <c r="AW204" s="4">
        <v>0</v>
      </c>
      <c r="AX204" s="4">
        <v>0</v>
      </c>
      <c r="AY204" s="5">
        <v>0</v>
      </c>
      <c r="AZ204" s="5">
        <v>0</v>
      </c>
      <c r="BA204" s="5">
        <v>0</v>
      </c>
      <c r="BB204" s="2"/>
      <c r="BC204" t="s">
        <v>0</v>
      </c>
      <c r="BD204" s="5">
        <v>1</v>
      </c>
      <c r="BE204" t="s">
        <v>0</v>
      </c>
      <c r="BF204" t="s">
        <v>298</v>
      </c>
      <c r="BG204" t="s">
        <v>17</v>
      </c>
      <c r="BH204" t="s">
        <v>0</v>
      </c>
      <c r="BI204" t="s">
        <v>11</v>
      </c>
      <c r="BJ204" t="s">
        <v>0</v>
      </c>
      <c r="BK204" t="s">
        <v>0</v>
      </c>
      <c r="BL204" s="5">
        <v>0</v>
      </c>
      <c r="BM204" t="s">
        <v>0</v>
      </c>
      <c r="BN204" t="s">
        <v>0</v>
      </c>
      <c r="BO204" t="s">
        <v>0</v>
      </c>
      <c r="BP204" t="s">
        <v>17</v>
      </c>
      <c r="BQ204" t="s">
        <v>0</v>
      </c>
      <c r="BR204" t="s">
        <v>17</v>
      </c>
      <c r="BS204" t="s">
        <v>17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</row>
    <row r="205" spans="1:80" ht="13.95" customHeight="1" x14ac:dyDescent="0.25">
      <c r="A205" t="s">
        <v>305</v>
      </c>
      <c r="B205" s="2">
        <v>45968</v>
      </c>
      <c r="C205" s="2">
        <v>45968</v>
      </c>
      <c r="D205" s="2">
        <v>45998</v>
      </c>
      <c r="E205" t="s">
        <v>2</v>
      </c>
      <c r="F205" t="s">
        <v>3</v>
      </c>
      <c r="G205" t="s">
        <v>0</v>
      </c>
      <c r="H205" t="s">
        <v>4</v>
      </c>
      <c r="I205" t="s">
        <v>297</v>
      </c>
      <c r="J205" t="s">
        <v>6</v>
      </c>
      <c r="K205" t="s">
        <v>42</v>
      </c>
      <c r="L205" t="s">
        <v>35</v>
      </c>
      <c r="M205" t="s">
        <v>36</v>
      </c>
      <c r="N205" t="s">
        <v>10</v>
      </c>
      <c r="O205" t="s">
        <v>0</v>
      </c>
      <c r="P205" t="s">
        <v>11</v>
      </c>
      <c r="Q205" s="3">
        <v>38.5</v>
      </c>
      <c r="R205" s="4">
        <v>45900</v>
      </c>
      <c r="S205" s="5">
        <v>1</v>
      </c>
      <c r="T205" s="4">
        <v>1767150</v>
      </c>
      <c r="U205" s="5">
        <v>0</v>
      </c>
      <c r="V205" s="4">
        <v>0</v>
      </c>
      <c r="W205" s="5">
        <v>0</v>
      </c>
      <c r="X205" s="4">
        <v>0</v>
      </c>
      <c r="Y205" s="4">
        <f t="shared" si="6"/>
        <v>1767150</v>
      </c>
      <c r="Z205" s="6" t="s">
        <v>0</v>
      </c>
      <c r="AA205" t="s">
        <v>2</v>
      </c>
      <c r="AB205" t="s">
        <v>12</v>
      </c>
      <c r="AC205">
        <f>_xlfn.XLOOKUP(AB205,'[1]GST Codes'!$A:$A,'[1]GST Codes'!$C:$C,0,0)</f>
        <v>18</v>
      </c>
      <c r="AD205">
        <f t="shared" si="7"/>
        <v>2085237</v>
      </c>
      <c r="AE205" t="s">
        <v>13</v>
      </c>
      <c r="AF205" t="s">
        <v>0</v>
      </c>
      <c r="AG205" t="s">
        <v>14</v>
      </c>
      <c r="AH205" t="s">
        <v>15</v>
      </c>
      <c r="AI205" t="s">
        <v>85</v>
      </c>
      <c r="AJ205" t="s">
        <v>17</v>
      </c>
      <c r="AK205" t="s">
        <v>18</v>
      </c>
      <c r="AL205" t="s">
        <v>19</v>
      </c>
      <c r="AM205" t="s">
        <v>297</v>
      </c>
      <c r="AN205" t="s">
        <v>0</v>
      </c>
      <c r="AO205" t="s">
        <v>0</v>
      </c>
      <c r="AP205" t="s">
        <v>0</v>
      </c>
      <c r="AQ205" s="3">
        <v>38.5</v>
      </c>
      <c r="AR205" t="s">
        <v>11</v>
      </c>
      <c r="AS205" t="s">
        <v>0</v>
      </c>
      <c r="AT205" t="s">
        <v>17</v>
      </c>
      <c r="AU205" s="4">
        <v>0</v>
      </c>
      <c r="AV205" s="4">
        <v>0</v>
      </c>
      <c r="AW205" s="4">
        <v>0</v>
      </c>
      <c r="AX205" s="4">
        <v>0</v>
      </c>
      <c r="AY205" s="5">
        <v>0</v>
      </c>
      <c r="AZ205" s="5">
        <v>0</v>
      </c>
      <c r="BA205" s="5">
        <v>0</v>
      </c>
      <c r="BB205" s="2"/>
      <c r="BC205" t="s">
        <v>0</v>
      </c>
      <c r="BD205" s="5">
        <v>1</v>
      </c>
      <c r="BE205" t="s">
        <v>0</v>
      </c>
      <c r="BF205" t="s">
        <v>300</v>
      </c>
      <c r="BG205" t="s">
        <v>17</v>
      </c>
      <c r="BH205" t="s">
        <v>0</v>
      </c>
      <c r="BI205" t="s">
        <v>11</v>
      </c>
      <c r="BJ205" t="s">
        <v>0</v>
      </c>
      <c r="BK205" t="s">
        <v>0</v>
      </c>
      <c r="BL205" s="5">
        <v>0</v>
      </c>
      <c r="BM205" t="s">
        <v>0</v>
      </c>
      <c r="BN205" t="s">
        <v>0</v>
      </c>
      <c r="BO205" t="s">
        <v>0</v>
      </c>
      <c r="BP205" t="s">
        <v>17</v>
      </c>
      <c r="BQ205" t="s">
        <v>0</v>
      </c>
      <c r="BR205" t="s">
        <v>17</v>
      </c>
      <c r="BS205" t="s">
        <v>17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</row>
    <row r="206" spans="1:80" ht="13.95" customHeight="1" x14ac:dyDescent="0.25">
      <c r="A206" t="s">
        <v>305</v>
      </c>
      <c r="B206" s="2">
        <v>45968</v>
      </c>
      <c r="C206" s="2">
        <v>45968</v>
      </c>
      <c r="D206" s="2">
        <v>45998</v>
      </c>
      <c r="E206" t="s">
        <v>2</v>
      </c>
      <c r="F206" t="s">
        <v>3</v>
      </c>
      <c r="G206" t="s">
        <v>0</v>
      </c>
      <c r="H206" t="s">
        <v>4</v>
      </c>
      <c r="I206" t="s">
        <v>297</v>
      </c>
      <c r="J206" t="s">
        <v>6</v>
      </c>
      <c r="K206" t="s">
        <v>86</v>
      </c>
      <c r="L206" t="s">
        <v>35</v>
      </c>
      <c r="M206" t="s">
        <v>36</v>
      </c>
      <c r="N206" t="s">
        <v>10</v>
      </c>
      <c r="O206" t="s">
        <v>0</v>
      </c>
      <c r="P206" t="s">
        <v>11</v>
      </c>
      <c r="Q206" s="3">
        <v>38.5</v>
      </c>
      <c r="R206" s="4">
        <v>45900</v>
      </c>
      <c r="S206" s="5">
        <v>1</v>
      </c>
      <c r="T206" s="4">
        <v>1767150</v>
      </c>
      <c r="U206" s="5">
        <v>0</v>
      </c>
      <c r="V206" s="4">
        <v>0</v>
      </c>
      <c r="W206" s="5">
        <v>0</v>
      </c>
      <c r="X206" s="4">
        <v>0</v>
      </c>
      <c r="Y206" s="4">
        <f t="shared" si="6"/>
        <v>1767150</v>
      </c>
      <c r="Z206" s="6" t="s">
        <v>0</v>
      </c>
      <c r="AA206" t="s">
        <v>2</v>
      </c>
      <c r="AB206" t="s">
        <v>12</v>
      </c>
      <c r="AC206">
        <f>_xlfn.XLOOKUP(AB206,'[1]GST Codes'!$A:$A,'[1]GST Codes'!$C:$C,0,0)</f>
        <v>18</v>
      </c>
      <c r="AD206">
        <f t="shared" si="7"/>
        <v>2085237</v>
      </c>
      <c r="AE206" t="s">
        <v>13</v>
      </c>
      <c r="AF206" t="s">
        <v>0</v>
      </c>
      <c r="AG206" t="s">
        <v>14</v>
      </c>
      <c r="AH206" t="s">
        <v>15</v>
      </c>
      <c r="AI206" t="s">
        <v>85</v>
      </c>
      <c r="AJ206" t="s">
        <v>17</v>
      </c>
      <c r="AK206" t="s">
        <v>18</v>
      </c>
      <c r="AL206" t="s">
        <v>19</v>
      </c>
      <c r="AM206" t="s">
        <v>297</v>
      </c>
      <c r="AN206" t="s">
        <v>0</v>
      </c>
      <c r="AO206" t="s">
        <v>0</v>
      </c>
      <c r="AP206" t="s">
        <v>0</v>
      </c>
      <c r="AQ206" s="3">
        <v>38.5</v>
      </c>
      <c r="AR206" t="s">
        <v>11</v>
      </c>
      <c r="AS206" t="s">
        <v>0</v>
      </c>
      <c r="AT206" t="s">
        <v>17</v>
      </c>
      <c r="AU206" s="4">
        <v>0</v>
      </c>
      <c r="AV206" s="4">
        <v>0</v>
      </c>
      <c r="AW206" s="4">
        <v>0</v>
      </c>
      <c r="AX206" s="4">
        <v>0</v>
      </c>
      <c r="AY206" s="5">
        <v>0</v>
      </c>
      <c r="AZ206" s="5">
        <v>0</v>
      </c>
      <c r="BA206" s="5">
        <v>0</v>
      </c>
      <c r="BB206" s="2"/>
      <c r="BC206" t="s">
        <v>0</v>
      </c>
      <c r="BD206" s="5">
        <v>1</v>
      </c>
      <c r="BE206" t="s">
        <v>0</v>
      </c>
      <c r="BF206" t="s">
        <v>300</v>
      </c>
      <c r="BG206" t="s">
        <v>17</v>
      </c>
      <c r="BH206" t="s">
        <v>0</v>
      </c>
      <c r="BI206" t="s">
        <v>11</v>
      </c>
      <c r="BJ206" t="s">
        <v>0</v>
      </c>
      <c r="BK206" t="s">
        <v>0</v>
      </c>
      <c r="BL206" s="5">
        <v>0</v>
      </c>
      <c r="BM206" t="s">
        <v>0</v>
      </c>
      <c r="BN206" t="s">
        <v>0</v>
      </c>
      <c r="BO206" t="s">
        <v>0</v>
      </c>
      <c r="BP206" t="s">
        <v>17</v>
      </c>
      <c r="BQ206" t="s">
        <v>0</v>
      </c>
      <c r="BR206" t="s">
        <v>17</v>
      </c>
      <c r="BS206" t="s">
        <v>17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</row>
    <row r="207" spans="1:80" ht="13.95" customHeight="1" x14ac:dyDescent="0.25">
      <c r="A207" t="s">
        <v>305</v>
      </c>
      <c r="B207" s="2">
        <v>45968</v>
      </c>
      <c r="C207" s="2">
        <v>45968</v>
      </c>
      <c r="D207" s="2">
        <v>45998</v>
      </c>
      <c r="E207" t="s">
        <v>2</v>
      </c>
      <c r="F207" t="s">
        <v>3</v>
      </c>
      <c r="G207" t="s">
        <v>0</v>
      </c>
      <c r="H207" t="s">
        <v>4</v>
      </c>
      <c r="I207" t="s">
        <v>297</v>
      </c>
      <c r="J207" t="s">
        <v>6</v>
      </c>
      <c r="K207" t="s">
        <v>87</v>
      </c>
      <c r="L207" t="s">
        <v>35</v>
      </c>
      <c r="M207" t="s">
        <v>36</v>
      </c>
      <c r="N207" t="s">
        <v>10</v>
      </c>
      <c r="O207" t="s">
        <v>0</v>
      </c>
      <c r="P207" t="s">
        <v>11</v>
      </c>
      <c r="Q207" s="3">
        <v>38.130000000000003</v>
      </c>
      <c r="R207" s="4">
        <v>45900</v>
      </c>
      <c r="S207" s="5">
        <v>1</v>
      </c>
      <c r="T207" s="4">
        <v>1750167</v>
      </c>
      <c r="U207" s="5">
        <v>0</v>
      </c>
      <c r="V207" s="4">
        <v>0</v>
      </c>
      <c r="W207" s="5">
        <v>0</v>
      </c>
      <c r="X207" s="4">
        <v>0</v>
      </c>
      <c r="Y207" s="4">
        <f t="shared" si="6"/>
        <v>1750167</v>
      </c>
      <c r="Z207" s="6" t="s">
        <v>0</v>
      </c>
      <c r="AA207" t="s">
        <v>2</v>
      </c>
      <c r="AB207" t="s">
        <v>12</v>
      </c>
      <c r="AC207">
        <f>_xlfn.XLOOKUP(AB207,'[1]GST Codes'!$A:$A,'[1]GST Codes'!$C:$C,0,0)</f>
        <v>18</v>
      </c>
      <c r="AD207">
        <f t="shared" si="7"/>
        <v>2065197.06</v>
      </c>
      <c r="AE207" t="s">
        <v>13</v>
      </c>
      <c r="AF207" t="s">
        <v>0</v>
      </c>
      <c r="AG207" t="s">
        <v>14</v>
      </c>
      <c r="AH207" t="s">
        <v>15</v>
      </c>
      <c r="AI207" t="s">
        <v>85</v>
      </c>
      <c r="AJ207" t="s">
        <v>17</v>
      </c>
      <c r="AK207" t="s">
        <v>18</v>
      </c>
      <c r="AL207" t="s">
        <v>19</v>
      </c>
      <c r="AM207" t="s">
        <v>297</v>
      </c>
      <c r="AN207" t="s">
        <v>0</v>
      </c>
      <c r="AO207" t="s">
        <v>0</v>
      </c>
      <c r="AP207" t="s">
        <v>0</v>
      </c>
      <c r="AQ207" s="3">
        <v>38.130000000000003</v>
      </c>
      <c r="AR207" t="s">
        <v>11</v>
      </c>
      <c r="AS207" t="s">
        <v>0</v>
      </c>
      <c r="AT207" t="s">
        <v>17</v>
      </c>
      <c r="AU207" s="4">
        <v>0</v>
      </c>
      <c r="AV207" s="4">
        <v>0</v>
      </c>
      <c r="AW207" s="4">
        <v>0</v>
      </c>
      <c r="AX207" s="4">
        <v>0</v>
      </c>
      <c r="AY207" s="5">
        <v>0</v>
      </c>
      <c r="AZ207" s="5">
        <v>0</v>
      </c>
      <c r="BA207" s="5">
        <v>0</v>
      </c>
      <c r="BB207" s="2"/>
      <c r="BC207" t="s">
        <v>0</v>
      </c>
      <c r="BD207" s="5">
        <v>1</v>
      </c>
      <c r="BE207" t="s">
        <v>0</v>
      </c>
      <c r="BF207" t="s">
        <v>300</v>
      </c>
      <c r="BG207" t="s">
        <v>17</v>
      </c>
      <c r="BH207" t="s">
        <v>0</v>
      </c>
      <c r="BI207" t="s">
        <v>11</v>
      </c>
      <c r="BJ207" t="s">
        <v>0</v>
      </c>
      <c r="BK207" t="s">
        <v>0</v>
      </c>
      <c r="BL207" s="5">
        <v>0</v>
      </c>
      <c r="BM207" t="s">
        <v>0</v>
      </c>
      <c r="BN207" t="s">
        <v>0</v>
      </c>
      <c r="BO207" t="s">
        <v>0</v>
      </c>
      <c r="BP207" t="s">
        <v>17</v>
      </c>
      <c r="BQ207" t="s">
        <v>0</v>
      </c>
      <c r="BR207" t="s">
        <v>17</v>
      </c>
      <c r="BS207" t="s">
        <v>17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</row>
    <row r="208" spans="1:80" ht="13.95" customHeight="1" x14ac:dyDescent="0.25">
      <c r="A208" t="s">
        <v>305</v>
      </c>
      <c r="B208" s="2">
        <v>45968</v>
      </c>
      <c r="C208" s="2">
        <v>45968</v>
      </c>
      <c r="D208" s="2">
        <v>45998</v>
      </c>
      <c r="E208" t="s">
        <v>2</v>
      </c>
      <c r="F208" t="s">
        <v>3</v>
      </c>
      <c r="G208" t="s">
        <v>0</v>
      </c>
      <c r="H208" t="s">
        <v>4</v>
      </c>
      <c r="I208" t="s">
        <v>297</v>
      </c>
      <c r="J208" t="s">
        <v>6</v>
      </c>
      <c r="K208" t="s">
        <v>88</v>
      </c>
      <c r="L208" t="s">
        <v>35</v>
      </c>
      <c r="M208" t="s">
        <v>36</v>
      </c>
      <c r="N208" t="s">
        <v>10</v>
      </c>
      <c r="O208" t="s">
        <v>0</v>
      </c>
      <c r="P208" t="s">
        <v>11</v>
      </c>
      <c r="Q208" s="5">
        <v>38</v>
      </c>
      <c r="R208" s="4">
        <v>45900</v>
      </c>
      <c r="S208" s="5">
        <v>1</v>
      </c>
      <c r="T208" s="4">
        <v>1744200</v>
      </c>
      <c r="U208" s="5">
        <v>0</v>
      </c>
      <c r="V208" s="4">
        <v>0</v>
      </c>
      <c r="W208" s="5">
        <v>0</v>
      </c>
      <c r="X208" s="4">
        <v>0</v>
      </c>
      <c r="Y208" s="4">
        <f t="shared" si="6"/>
        <v>1744200</v>
      </c>
      <c r="Z208" s="6" t="s">
        <v>0</v>
      </c>
      <c r="AA208" t="s">
        <v>2</v>
      </c>
      <c r="AB208" t="s">
        <v>12</v>
      </c>
      <c r="AC208">
        <f>_xlfn.XLOOKUP(AB208,'[1]GST Codes'!$A:$A,'[1]GST Codes'!$C:$C,0,0)</f>
        <v>18</v>
      </c>
      <c r="AD208">
        <f t="shared" si="7"/>
        <v>2058156</v>
      </c>
      <c r="AE208" t="s">
        <v>13</v>
      </c>
      <c r="AF208" t="s">
        <v>0</v>
      </c>
      <c r="AG208" t="s">
        <v>14</v>
      </c>
      <c r="AH208" t="s">
        <v>15</v>
      </c>
      <c r="AI208" t="s">
        <v>85</v>
      </c>
      <c r="AJ208" t="s">
        <v>17</v>
      </c>
      <c r="AK208" t="s">
        <v>18</v>
      </c>
      <c r="AL208" t="s">
        <v>19</v>
      </c>
      <c r="AM208" t="s">
        <v>297</v>
      </c>
      <c r="AN208" t="s">
        <v>0</v>
      </c>
      <c r="AO208" t="s">
        <v>0</v>
      </c>
      <c r="AP208" t="s">
        <v>0</v>
      </c>
      <c r="AQ208" s="5">
        <v>38</v>
      </c>
      <c r="AR208" t="s">
        <v>11</v>
      </c>
      <c r="AS208" t="s">
        <v>0</v>
      </c>
      <c r="AT208" t="s">
        <v>17</v>
      </c>
      <c r="AU208" s="4">
        <v>0</v>
      </c>
      <c r="AV208" s="4">
        <v>0</v>
      </c>
      <c r="AW208" s="4">
        <v>0</v>
      </c>
      <c r="AX208" s="4">
        <v>0</v>
      </c>
      <c r="AY208" s="5">
        <v>0</v>
      </c>
      <c r="AZ208" s="5">
        <v>0</v>
      </c>
      <c r="BA208" s="5">
        <v>0</v>
      </c>
      <c r="BB208" s="2"/>
      <c r="BC208" t="s">
        <v>0</v>
      </c>
      <c r="BD208" s="5">
        <v>1</v>
      </c>
      <c r="BE208" t="s">
        <v>0</v>
      </c>
      <c r="BF208" t="s">
        <v>300</v>
      </c>
      <c r="BG208" t="s">
        <v>17</v>
      </c>
      <c r="BH208" t="s">
        <v>0</v>
      </c>
      <c r="BI208" t="s">
        <v>11</v>
      </c>
      <c r="BJ208" t="s">
        <v>0</v>
      </c>
      <c r="BK208" t="s">
        <v>0</v>
      </c>
      <c r="BL208" s="5">
        <v>0</v>
      </c>
      <c r="BM208" t="s">
        <v>0</v>
      </c>
      <c r="BN208" t="s">
        <v>0</v>
      </c>
      <c r="BO208" t="s">
        <v>0</v>
      </c>
      <c r="BP208" t="s">
        <v>17</v>
      </c>
      <c r="BQ208" t="s">
        <v>0</v>
      </c>
      <c r="BR208" t="s">
        <v>17</v>
      </c>
      <c r="BS208" t="s">
        <v>17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</row>
    <row r="209" spans="1:80" ht="13.95" customHeight="1" x14ac:dyDescent="0.25">
      <c r="A209" t="s">
        <v>305</v>
      </c>
      <c r="B209" s="2">
        <v>45968</v>
      </c>
      <c r="C209" s="2">
        <v>45968</v>
      </c>
      <c r="D209" s="2">
        <v>45998</v>
      </c>
      <c r="E209" t="s">
        <v>2</v>
      </c>
      <c r="F209" t="s">
        <v>3</v>
      </c>
      <c r="G209" t="s">
        <v>0</v>
      </c>
      <c r="H209" t="s">
        <v>4</v>
      </c>
      <c r="I209" t="s">
        <v>297</v>
      </c>
      <c r="J209" t="s">
        <v>6</v>
      </c>
      <c r="K209" t="s">
        <v>89</v>
      </c>
      <c r="L209" t="s">
        <v>35</v>
      </c>
      <c r="M209" t="s">
        <v>36</v>
      </c>
      <c r="N209" t="s">
        <v>10</v>
      </c>
      <c r="O209" t="s">
        <v>0</v>
      </c>
      <c r="P209" t="s">
        <v>11</v>
      </c>
      <c r="Q209" s="5">
        <v>38</v>
      </c>
      <c r="R209" s="4">
        <v>45900</v>
      </c>
      <c r="S209" s="5">
        <v>1</v>
      </c>
      <c r="T209" s="4">
        <v>1744200</v>
      </c>
      <c r="U209" s="5">
        <v>0</v>
      </c>
      <c r="V209" s="4">
        <v>0</v>
      </c>
      <c r="W209" s="5">
        <v>0</v>
      </c>
      <c r="X209" s="4">
        <v>0</v>
      </c>
      <c r="Y209" s="4">
        <f t="shared" si="6"/>
        <v>1744200</v>
      </c>
      <c r="Z209" s="6" t="s">
        <v>0</v>
      </c>
      <c r="AA209" t="s">
        <v>2</v>
      </c>
      <c r="AB209" t="s">
        <v>12</v>
      </c>
      <c r="AC209">
        <f>_xlfn.XLOOKUP(AB209,'[1]GST Codes'!$A:$A,'[1]GST Codes'!$C:$C,0,0)</f>
        <v>18</v>
      </c>
      <c r="AD209">
        <f t="shared" si="7"/>
        <v>2058156</v>
      </c>
      <c r="AE209" t="s">
        <v>13</v>
      </c>
      <c r="AF209" t="s">
        <v>0</v>
      </c>
      <c r="AG209" t="s">
        <v>14</v>
      </c>
      <c r="AH209" t="s">
        <v>15</v>
      </c>
      <c r="AI209" t="s">
        <v>85</v>
      </c>
      <c r="AJ209" t="s">
        <v>17</v>
      </c>
      <c r="AK209" t="s">
        <v>18</v>
      </c>
      <c r="AL209" t="s">
        <v>19</v>
      </c>
      <c r="AM209" t="s">
        <v>297</v>
      </c>
      <c r="AN209" t="s">
        <v>0</v>
      </c>
      <c r="AO209" t="s">
        <v>0</v>
      </c>
      <c r="AP209" t="s">
        <v>0</v>
      </c>
      <c r="AQ209" s="5">
        <v>38</v>
      </c>
      <c r="AR209" t="s">
        <v>11</v>
      </c>
      <c r="AS209" t="s">
        <v>0</v>
      </c>
      <c r="AT209" t="s">
        <v>17</v>
      </c>
      <c r="AU209" s="4">
        <v>0</v>
      </c>
      <c r="AV209" s="4">
        <v>0</v>
      </c>
      <c r="AW209" s="4">
        <v>0</v>
      </c>
      <c r="AX209" s="4">
        <v>0</v>
      </c>
      <c r="AY209" s="5">
        <v>0</v>
      </c>
      <c r="AZ209" s="5">
        <v>0</v>
      </c>
      <c r="BA209" s="5">
        <v>0</v>
      </c>
      <c r="BB209" s="2"/>
      <c r="BC209" t="s">
        <v>0</v>
      </c>
      <c r="BD209" s="5">
        <v>1</v>
      </c>
      <c r="BE209" t="s">
        <v>0</v>
      </c>
      <c r="BF209" t="s">
        <v>300</v>
      </c>
      <c r="BG209" t="s">
        <v>17</v>
      </c>
      <c r="BH209" t="s">
        <v>0</v>
      </c>
      <c r="BI209" t="s">
        <v>11</v>
      </c>
      <c r="BJ209" t="s">
        <v>0</v>
      </c>
      <c r="BK209" t="s">
        <v>0</v>
      </c>
      <c r="BL209" s="5">
        <v>0</v>
      </c>
      <c r="BM209" t="s">
        <v>0</v>
      </c>
      <c r="BN209" t="s">
        <v>0</v>
      </c>
      <c r="BO209" t="s">
        <v>0</v>
      </c>
      <c r="BP209" t="s">
        <v>17</v>
      </c>
      <c r="BQ209" t="s">
        <v>0</v>
      </c>
      <c r="BR209" t="s">
        <v>17</v>
      </c>
      <c r="BS209" t="s">
        <v>17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</row>
    <row r="210" spans="1:80" ht="13.95" customHeight="1" x14ac:dyDescent="0.25">
      <c r="A210" t="s">
        <v>305</v>
      </c>
      <c r="B210" s="2">
        <v>45968</v>
      </c>
      <c r="C210" s="2">
        <v>45968</v>
      </c>
      <c r="D210" s="2">
        <v>45998</v>
      </c>
      <c r="E210" t="s">
        <v>2</v>
      </c>
      <c r="F210" t="s">
        <v>3</v>
      </c>
      <c r="G210" t="s">
        <v>0</v>
      </c>
      <c r="H210" t="s">
        <v>4</v>
      </c>
      <c r="I210" t="s">
        <v>297</v>
      </c>
      <c r="J210" t="s">
        <v>6</v>
      </c>
      <c r="K210" t="s">
        <v>90</v>
      </c>
      <c r="L210" t="s">
        <v>35</v>
      </c>
      <c r="M210" t="s">
        <v>36</v>
      </c>
      <c r="N210" t="s">
        <v>10</v>
      </c>
      <c r="O210" t="s">
        <v>0</v>
      </c>
      <c r="P210" t="s">
        <v>11</v>
      </c>
      <c r="Q210" s="5">
        <v>38</v>
      </c>
      <c r="R210" s="4">
        <v>45900</v>
      </c>
      <c r="S210" s="5">
        <v>1</v>
      </c>
      <c r="T210" s="4">
        <v>1744200</v>
      </c>
      <c r="U210" s="5">
        <v>0</v>
      </c>
      <c r="V210" s="4">
        <v>0</v>
      </c>
      <c r="W210" s="5">
        <v>0</v>
      </c>
      <c r="X210" s="4">
        <v>0</v>
      </c>
      <c r="Y210" s="4">
        <f t="shared" si="6"/>
        <v>1744200</v>
      </c>
      <c r="Z210" s="6" t="s">
        <v>0</v>
      </c>
      <c r="AA210" t="s">
        <v>2</v>
      </c>
      <c r="AB210" t="s">
        <v>12</v>
      </c>
      <c r="AC210">
        <f>_xlfn.XLOOKUP(AB210,'[1]GST Codes'!$A:$A,'[1]GST Codes'!$C:$C,0,0)</f>
        <v>18</v>
      </c>
      <c r="AD210">
        <f t="shared" si="7"/>
        <v>2058156</v>
      </c>
      <c r="AE210" t="s">
        <v>13</v>
      </c>
      <c r="AF210" t="s">
        <v>0</v>
      </c>
      <c r="AG210" t="s">
        <v>14</v>
      </c>
      <c r="AH210" t="s">
        <v>15</v>
      </c>
      <c r="AI210" t="s">
        <v>85</v>
      </c>
      <c r="AJ210" t="s">
        <v>17</v>
      </c>
      <c r="AK210" t="s">
        <v>18</v>
      </c>
      <c r="AL210" t="s">
        <v>19</v>
      </c>
      <c r="AM210" t="s">
        <v>297</v>
      </c>
      <c r="AN210" t="s">
        <v>0</v>
      </c>
      <c r="AO210" t="s">
        <v>0</v>
      </c>
      <c r="AP210" t="s">
        <v>0</v>
      </c>
      <c r="AQ210" s="5">
        <v>38</v>
      </c>
      <c r="AR210" t="s">
        <v>11</v>
      </c>
      <c r="AS210" t="s">
        <v>0</v>
      </c>
      <c r="AT210" t="s">
        <v>17</v>
      </c>
      <c r="AU210" s="4">
        <v>0</v>
      </c>
      <c r="AV210" s="4">
        <v>0</v>
      </c>
      <c r="AW210" s="4">
        <v>0</v>
      </c>
      <c r="AX210" s="4">
        <v>0</v>
      </c>
      <c r="AY210" s="5">
        <v>0</v>
      </c>
      <c r="AZ210" s="5">
        <v>0</v>
      </c>
      <c r="BA210" s="5">
        <v>0</v>
      </c>
      <c r="BB210" s="2"/>
      <c r="BC210" t="s">
        <v>0</v>
      </c>
      <c r="BD210" s="5">
        <v>1</v>
      </c>
      <c r="BE210" t="s">
        <v>0</v>
      </c>
      <c r="BF210" t="s">
        <v>300</v>
      </c>
      <c r="BG210" t="s">
        <v>17</v>
      </c>
      <c r="BH210" t="s">
        <v>0</v>
      </c>
      <c r="BI210" t="s">
        <v>11</v>
      </c>
      <c r="BJ210" t="s">
        <v>0</v>
      </c>
      <c r="BK210" t="s">
        <v>0</v>
      </c>
      <c r="BL210" s="5">
        <v>0</v>
      </c>
      <c r="BM210" t="s">
        <v>0</v>
      </c>
      <c r="BN210" t="s">
        <v>0</v>
      </c>
      <c r="BO210" t="s">
        <v>0</v>
      </c>
      <c r="BP210" t="s">
        <v>17</v>
      </c>
      <c r="BQ210" t="s">
        <v>0</v>
      </c>
      <c r="BR210" t="s">
        <v>17</v>
      </c>
      <c r="BS210" t="s">
        <v>17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</row>
    <row r="211" spans="1:80" ht="13.95" customHeight="1" x14ac:dyDescent="0.25">
      <c r="A211" t="s">
        <v>305</v>
      </c>
      <c r="B211" s="2">
        <v>45968</v>
      </c>
      <c r="C211" s="2">
        <v>45968</v>
      </c>
      <c r="D211" s="2">
        <v>45998</v>
      </c>
      <c r="E211" t="s">
        <v>2</v>
      </c>
      <c r="F211" t="s">
        <v>3</v>
      </c>
      <c r="G211" t="s">
        <v>0</v>
      </c>
      <c r="H211" t="s">
        <v>4</v>
      </c>
      <c r="I211" t="s">
        <v>297</v>
      </c>
      <c r="J211" t="s">
        <v>6</v>
      </c>
      <c r="K211" t="s">
        <v>177</v>
      </c>
      <c r="L211" t="s">
        <v>70</v>
      </c>
      <c r="M211" t="s">
        <v>71</v>
      </c>
      <c r="N211" t="s">
        <v>10</v>
      </c>
      <c r="O211" t="s">
        <v>0</v>
      </c>
      <c r="P211" t="s">
        <v>11</v>
      </c>
      <c r="Q211" s="3">
        <v>19.989999999999998</v>
      </c>
      <c r="R211" s="4">
        <v>46900</v>
      </c>
      <c r="S211" s="5">
        <v>1</v>
      </c>
      <c r="T211" s="4">
        <v>937531</v>
      </c>
      <c r="U211" s="5">
        <v>0</v>
      </c>
      <c r="V211" s="4">
        <v>0</v>
      </c>
      <c r="W211" s="5">
        <v>0</v>
      </c>
      <c r="X211" s="4">
        <v>0</v>
      </c>
      <c r="Y211" s="4">
        <f t="shared" si="6"/>
        <v>937531</v>
      </c>
      <c r="Z211" s="6" t="s">
        <v>0</v>
      </c>
      <c r="AA211" t="s">
        <v>2</v>
      </c>
      <c r="AB211" t="s">
        <v>12</v>
      </c>
      <c r="AC211">
        <f>_xlfn.XLOOKUP(AB211,'[1]GST Codes'!$A:$A,'[1]GST Codes'!$C:$C,0,0)</f>
        <v>18</v>
      </c>
      <c r="AD211">
        <f t="shared" si="7"/>
        <v>1106286.58</v>
      </c>
      <c r="AE211" t="s">
        <v>13</v>
      </c>
      <c r="AF211" t="s">
        <v>0</v>
      </c>
      <c r="AG211" t="s">
        <v>14</v>
      </c>
      <c r="AH211" t="s">
        <v>15</v>
      </c>
      <c r="AI211" t="s">
        <v>85</v>
      </c>
      <c r="AJ211" t="s">
        <v>17</v>
      </c>
      <c r="AK211" t="s">
        <v>18</v>
      </c>
      <c r="AL211" t="s">
        <v>19</v>
      </c>
      <c r="AM211" t="s">
        <v>297</v>
      </c>
      <c r="AN211" t="s">
        <v>0</v>
      </c>
      <c r="AO211" t="s">
        <v>0</v>
      </c>
      <c r="AP211" t="s">
        <v>0</v>
      </c>
      <c r="AQ211" s="3">
        <v>19.989999999999998</v>
      </c>
      <c r="AR211" t="s">
        <v>11</v>
      </c>
      <c r="AS211" t="s">
        <v>0</v>
      </c>
      <c r="AT211" t="s">
        <v>17</v>
      </c>
      <c r="AU211" s="4">
        <v>0</v>
      </c>
      <c r="AV211" s="4">
        <v>0</v>
      </c>
      <c r="AW211" s="4">
        <v>0</v>
      </c>
      <c r="AX211" s="4">
        <v>0</v>
      </c>
      <c r="AY211" s="5">
        <v>0</v>
      </c>
      <c r="AZ211" s="5">
        <v>0</v>
      </c>
      <c r="BA211" s="5">
        <v>0</v>
      </c>
      <c r="BB211" s="2"/>
      <c r="BC211" t="s">
        <v>0</v>
      </c>
      <c r="BD211" s="5">
        <v>1</v>
      </c>
      <c r="BE211" t="s">
        <v>0</v>
      </c>
      <c r="BF211" t="s">
        <v>298</v>
      </c>
      <c r="BG211" t="s">
        <v>17</v>
      </c>
      <c r="BH211" t="s">
        <v>0</v>
      </c>
      <c r="BI211" t="s">
        <v>11</v>
      </c>
      <c r="BJ211" t="s">
        <v>0</v>
      </c>
      <c r="BK211" t="s">
        <v>0</v>
      </c>
      <c r="BL211" s="5">
        <v>0</v>
      </c>
      <c r="BM211" t="s">
        <v>0</v>
      </c>
      <c r="BN211" t="s">
        <v>0</v>
      </c>
      <c r="BO211" t="s">
        <v>0</v>
      </c>
      <c r="BP211" t="s">
        <v>17</v>
      </c>
      <c r="BQ211" t="s">
        <v>0</v>
      </c>
      <c r="BR211" t="s">
        <v>17</v>
      </c>
      <c r="BS211" t="s">
        <v>17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</row>
    <row r="212" spans="1:80" ht="13.95" customHeight="1" x14ac:dyDescent="0.25">
      <c r="A212" t="s">
        <v>305</v>
      </c>
      <c r="B212" s="2">
        <v>45968</v>
      </c>
      <c r="C212" s="2">
        <v>45968</v>
      </c>
      <c r="D212" s="2">
        <v>45998</v>
      </c>
      <c r="E212" t="s">
        <v>2</v>
      </c>
      <c r="F212" t="s">
        <v>3</v>
      </c>
      <c r="G212" t="s">
        <v>0</v>
      </c>
      <c r="H212" t="s">
        <v>4</v>
      </c>
      <c r="I212" t="s">
        <v>297</v>
      </c>
      <c r="J212" t="s">
        <v>6</v>
      </c>
      <c r="K212" t="s">
        <v>181</v>
      </c>
      <c r="L212" t="s">
        <v>70</v>
      </c>
      <c r="M212" t="s">
        <v>71</v>
      </c>
      <c r="N212" t="s">
        <v>10</v>
      </c>
      <c r="O212" t="s">
        <v>0</v>
      </c>
      <c r="P212" t="s">
        <v>11</v>
      </c>
      <c r="Q212" s="3">
        <v>70.87</v>
      </c>
      <c r="R212" s="4">
        <v>46900</v>
      </c>
      <c r="S212" s="5">
        <v>1</v>
      </c>
      <c r="T212" s="4">
        <v>3323803</v>
      </c>
      <c r="U212" s="5">
        <v>0</v>
      </c>
      <c r="V212" s="4">
        <v>0</v>
      </c>
      <c r="W212" s="5">
        <v>0</v>
      </c>
      <c r="X212" s="4">
        <v>0</v>
      </c>
      <c r="Y212" s="4">
        <f t="shared" si="6"/>
        <v>3323803</v>
      </c>
      <c r="Z212" s="6" t="s">
        <v>0</v>
      </c>
      <c r="AA212" t="s">
        <v>2</v>
      </c>
      <c r="AB212" t="s">
        <v>12</v>
      </c>
      <c r="AC212">
        <f>_xlfn.XLOOKUP(AB212,'[1]GST Codes'!$A:$A,'[1]GST Codes'!$C:$C,0,0)</f>
        <v>18</v>
      </c>
      <c r="AD212">
        <f t="shared" si="7"/>
        <v>3922087.54</v>
      </c>
      <c r="AE212" t="s">
        <v>13</v>
      </c>
      <c r="AF212" t="s">
        <v>0</v>
      </c>
      <c r="AG212" t="s">
        <v>14</v>
      </c>
      <c r="AH212" t="s">
        <v>15</v>
      </c>
      <c r="AI212" t="s">
        <v>85</v>
      </c>
      <c r="AJ212" t="s">
        <v>17</v>
      </c>
      <c r="AK212" t="s">
        <v>18</v>
      </c>
      <c r="AL212" t="s">
        <v>19</v>
      </c>
      <c r="AM212" t="s">
        <v>297</v>
      </c>
      <c r="AN212" t="s">
        <v>0</v>
      </c>
      <c r="AO212" t="s">
        <v>0</v>
      </c>
      <c r="AP212" t="s">
        <v>0</v>
      </c>
      <c r="AQ212" s="3">
        <v>70.87</v>
      </c>
      <c r="AR212" t="s">
        <v>11</v>
      </c>
      <c r="AS212" t="s">
        <v>0</v>
      </c>
      <c r="AT212" t="s">
        <v>17</v>
      </c>
      <c r="AU212" s="4">
        <v>0</v>
      </c>
      <c r="AV212" s="4">
        <v>0</v>
      </c>
      <c r="AW212" s="4">
        <v>0</v>
      </c>
      <c r="AX212" s="4">
        <v>0</v>
      </c>
      <c r="AY212" s="5">
        <v>0</v>
      </c>
      <c r="AZ212" s="5">
        <v>0</v>
      </c>
      <c r="BA212" s="5">
        <v>0</v>
      </c>
      <c r="BB212" s="2"/>
      <c r="BC212" t="s">
        <v>0</v>
      </c>
      <c r="BD212" s="5">
        <v>1</v>
      </c>
      <c r="BE212" t="s">
        <v>0</v>
      </c>
      <c r="BF212" t="s">
        <v>298</v>
      </c>
      <c r="BG212" t="s">
        <v>17</v>
      </c>
      <c r="BH212" t="s">
        <v>0</v>
      </c>
      <c r="BI212" t="s">
        <v>11</v>
      </c>
      <c r="BJ212" t="s">
        <v>0</v>
      </c>
      <c r="BK212" t="s">
        <v>0</v>
      </c>
      <c r="BL212" s="5">
        <v>0</v>
      </c>
      <c r="BM212" t="s">
        <v>0</v>
      </c>
      <c r="BN212" t="s">
        <v>0</v>
      </c>
      <c r="BO212" t="s">
        <v>0</v>
      </c>
      <c r="BP212" t="s">
        <v>17</v>
      </c>
      <c r="BQ212" t="s">
        <v>0</v>
      </c>
      <c r="BR212" t="s">
        <v>17</v>
      </c>
      <c r="BS212" t="s">
        <v>17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</row>
    <row r="213" spans="1:80" ht="13.95" customHeight="1" x14ac:dyDescent="0.25">
      <c r="A213" t="s">
        <v>306</v>
      </c>
      <c r="B213" s="2">
        <v>46001</v>
      </c>
      <c r="C213" s="2">
        <v>46001</v>
      </c>
      <c r="D213" s="2">
        <v>46032</v>
      </c>
      <c r="E213" t="s">
        <v>2</v>
      </c>
      <c r="F213" t="s">
        <v>3</v>
      </c>
      <c r="G213" t="s">
        <v>0</v>
      </c>
      <c r="H213" t="s">
        <v>4</v>
      </c>
      <c r="I213" t="s">
        <v>297</v>
      </c>
      <c r="J213" t="s">
        <v>6</v>
      </c>
      <c r="K213" t="s">
        <v>7</v>
      </c>
      <c r="L213" t="s">
        <v>35</v>
      </c>
      <c r="M213" t="s">
        <v>36</v>
      </c>
      <c r="N213" t="s">
        <v>10</v>
      </c>
      <c r="O213" t="s">
        <v>0</v>
      </c>
      <c r="P213" t="s">
        <v>11</v>
      </c>
      <c r="Q213" s="5">
        <v>58</v>
      </c>
      <c r="R213" s="4">
        <v>46500</v>
      </c>
      <c r="S213" s="5">
        <v>1</v>
      </c>
      <c r="T213" s="4">
        <v>2697000</v>
      </c>
      <c r="U213" s="5">
        <v>0</v>
      </c>
      <c r="V213" s="4">
        <v>0</v>
      </c>
      <c r="W213" s="5">
        <v>0</v>
      </c>
      <c r="X213" s="4">
        <v>0</v>
      </c>
      <c r="Y213" s="4">
        <f t="shared" si="6"/>
        <v>2697000</v>
      </c>
      <c r="Z213" s="6" t="s">
        <v>0</v>
      </c>
      <c r="AA213" t="s">
        <v>2</v>
      </c>
      <c r="AB213" t="s">
        <v>12</v>
      </c>
      <c r="AC213">
        <f>_xlfn.XLOOKUP(AB213,'[1]GST Codes'!$A:$A,'[1]GST Codes'!$C:$C,0,0)</f>
        <v>18</v>
      </c>
      <c r="AD213">
        <f t="shared" si="7"/>
        <v>3182460</v>
      </c>
      <c r="AE213" t="s">
        <v>13</v>
      </c>
      <c r="AF213" t="s">
        <v>0</v>
      </c>
      <c r="AG213" t="s">
        <v>14</v>
      </c>
      <c r="AH213" t="s">
        <v>15</v>
      </c>
      <c r="AI213" t="s">
        <v>85</v>
      </c>
      <c r="AJ213" t="s">
        <v>17</v>
      </c>
      <c r="AK213" t="s">
        <v>18</v>
      </c>
      <c r="AL213" t="s">
        <v>19</v>
      </c>
      <c r="AM213" t="s">
        <v>297</v>
      </c>
      <c r="AN213" t="s">
        <v>0</v>
      </c>
      <c r="AO213" t="s">
        <v>0</v>
      </c>
      <c r="AP213" t="s">
        <v>0</v>
      </c>
      <c r="AQ213" s="5">
        <v>58</v>
      </c>
      <c r="AR213" t="s">
        <v>11</v>
      </c>
      <c r="AS213" t="s">
        <v>0</v>
      </c>
      <c r="AT213" t="s">
        <v>17</v>
      </c>
      <c r="AU213" s="4">
        <v>0</v>
      </c>
      <c r="AV213" s="4">
        <v>0</v>
      </c>
      <c r="AW213" s="4">
        <v>0</v>
      </c>
      <c r="AX213" s="4">
        <v>0</v>
      </c>
      <c r="AY213" s="5">
        <v>0</v>
      </c>
      <c r="AZ213" s="5">
        <v>0</v>
      </c>
      <c r="BA213" s="5">
        <v>0</v>
      </c>
      <c r="BB213" s="2"/>
      <c r="BC213" t="s">
        <v>0</v>
      </c>
      <c r="BD213" s="5">
        <v>1</v>
      </c>
      <c r="BE213" t="s">
        <v>0</v>
      </c>
      <c r="BF213" t="s">
        <v>300</v>
      </c>
      <c r="BG213" t="s">
        <v>17</v>
      </c>
      <c r="BH213" t="s">
        <v>0</v>
      </c>
      <c r="BI213" t="s">
        <v>11</v>
      </c>
      <c r="BJ213" t="s">
        <v>0</v>
      </c>
      <c r="BK213" t="s">
        <v>0</v>
      </c>
      <c r="BL213" s="5">
        <v>0</v>
      </c>
      <c r="BM213" t="s">
        <v>0</v>
      </c>
      <c r="BN213" t="s">
        <v>0</v>
      </c>
      <c r="BO213" t="s">
        <v>0</v>
      </c>
      <c r="BP213" t="s">
        <v>17</v>
      </c>
      <c r="BQ213" t="s">
        <v>0</v>
      </c>
      <c r="BR213" t="s">
        <v>17</v>
      </c>
      <c r="BS213" t="s">
        <v>17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</row>
    <row r="214" spans="1:80" ht="13.95" customHeight="1" x14ac:dyDescent="0.25">
      <c r="A214" t="s">
        <v>306</v>
      </c>
      <c r="B214" s="2">
        <v>46001</v>
      </c>
      <c r="C214" s="2">
        <v>46001</v>
      </c>
      <c r="D214" s="2">
        <v>46032</v>
      </c>
      <c r="E214" t="s">
        <v>2</v>
      </c>
      <c r="F214" t="s">
        <v>3</v>
      </c>
      <c r="G214" t="s">
        <v>0</v>
      </c>
      <c r="H214" t="s">
        <v>4</v>
      </c>
      <c r="I214" t="s">
        <v>297</v>
      </c>
      <c r="J214" t="s">
        <v>6</v>
      </c>
      <c r="K214" t="s">
        <v>22</v>
      </c>
      <c r="L214" t="s">
        <v>35</v>
      </c>
      <c r="M214" t="s">
        <v>36</v>
      </c>
      <c r="N214" t="s">
        <v>10</v>
      </c>
      <c r="O214" t="s">
        <v>0</v>
      </c>
      <c r="P214" t="s">
        <v>11</v>
      </c>
      <c r="Q214" s="5">
        <v>35</v>
      </c>
      <c r="R214" s="4">
        <v>46500</v>
      </c>
      <c r="S214" s="5">
        <v>1</v>
      </c>
      <c r="T214" s="4">
        <v>1627500</v>
      </c>
      <c r="U214" s="5">
        <v>0</v>
      </c>
      <c r="V214" s="4">
        <v>0</v>
      </c>
      <c r="W214" s="5">
        <v>0</v>
      </c>
      <c r="X214" s="4">
        <v>0</v>
      </c>
      <c r="Y214" s="4">
        <f t="shared" si="6"/>
        <v>1627500</v>
      </c>
      <c r="Z214" s="6" t="s">
        <v>0</v>
      </c>
      <c r="AA214" t="s">
        <v>2</v>
      </c>
      <c r="AB214" t="s">
        <v>12</v>
      </c>
      <c r="AC214">
        <f>_xlfn.XLOOKUP(AB214,'[1]GST Codes'!$A:$A,'[1]GST Codes'!$C:$C,0,0)</f>
        <v>18</v>
      </c>
      <c r="AD214">
        <f t="shared" si="7"/>
        <v>1920450</v>
      </c>
      <c r="AE214" t="s">
        <v>13</v>
      </c>
      <c r="AF214" t="s">
        <v>0</v>
      </c>
      <c r="AG214" t="s">
        <v>14</v>
      </c>
      <c r="AH214" t="s">
        <v>15</v>
      </c>
      <c r="AI214" t="s">
        <v>85</v>
      </c>
      <c r="AJ214" t="s">
        <v>17</v>
      </c>
      <c r="AK214" t="s">
        <v>18</v>
      </c>
      <c r="AL214" t="s">
        <v>19</v>
      </c>
      <c r="AM214" t="s">
        <v>297</v>
      </c>
      <c r="AN214" t="s">
        <v>0</v>
      </c>
      <c r="AO214" t="s">
        <v>0</v>
      </c>
      <c r="AP214" t="s">
        <v>0</v>
      </c>
      <c r="AQ214" s="5">
        <v>35</v>
      </c>
      <c r="AR214" t="s">
        <v>11</v>
      </c>
      <c r="AS214" t="s">
        <v>0</v>
      </c>
      <c r="AT214" t="s">
        <v>17</v>
      </c>
      <c r="AU214" s="4">
        <v>0</v>
      </c>
      <c r="AV214" s="4">
        <v>0</v>
      </c>
      <c r="AW214" s="4">
        <v>0</v>
      </c>
      <c r="AX214" s="4">
        <v>0</v>
      </c>
      <c r="AY214" s="5">
        <v>0</v>
      </c>
      <c r="AZ214" s="5">
        <v>0</v>
      </c>
      <c r="BA214" s="5">
        <v>0</v>
      </c>
      <c r="BB214" s="2"/>
      <c r="BC214" t="s">
        <v>0</v>
      </c>
      <c r="BD214" s="5">
        <v>1</v>
      </c>
      <c r="BE214" t="s">
        <v>0</v>
      </c>
      <c r="BF214" t="s">
        <v>300</v>
      </c>
      <c r="BG214" t="s">
        <v>17</v>
      </c>
      <c r="BH214" t="s">
        <v>0</v>
      </c>
      <c r="BI214" t="s">
        <v>11</v>
      </c>
      <c r="BJ214" t="s">
        <v>0</v>
      </c>
      <c r="BK214" t="s">
        <v>0</v>
      </c>
      <c r="BL214" s="5">
        <v>0</v>
      </c>
      <c r="BM214" t="s">
        <v>0</v>
      </c>
      <c r="BN214" t="s">
        <v>0</v>
      </c>
      <c r="BO214" t="s">
        <v>0</v>
      </c>
      <c r="BP214" t="s">
        <v>17</v>
      </c>
      <c r="BQ214" t="s">
        <v>0</v>
      </c>
      <c r="BR214" t="s">
        <v>17</v>
      </c>
      <c r="BS214" t="s">
        <v>17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</row>
    <row r="215" spans="1:80" ht="13.95" customHeight="1" x14ac:dyDescent="0.25">
      <c r="A215" t="s">
        <v>306</v>
      </c>
      <c r="B215" s="2">
        <v>46001</v>
      </c>
      <c r="C215" s="2">
        <v>46001</v>
      </c>
      <c r="D215" s="2">
        <v>46032</v>
      </c>
      <c r="E215" t="s">
        <v>2</v>
      </c>
      <c r="F215" t="s">
        <v>3</v>
      </c>
      <c r="G215" t="s">
        <v>0</v>
      </c>
      <c r="H215" t="s">
        <v>4</v>
      </c>
      <c r="I215" t="s">
        <v>297</v>
      </c>
      <c r="J215" t="s">
        <v>6</v>
      </c>
      <c r="K215" t="s">
        <v>26</v>
      </c>
      <c r="L215" t="s">
        <v>35</v>
      </c>
      <c r="M215" t="s">
        <v>36</v>
      </c>
      <c r="N215" t="s">
        <v>10</v>
      </c>
      <c r="O215" t="s">
        <v>0</v>
      </c>
      <c r="P215" t="s">
        <v>11</v>
      </c>
      <c r="Q215" s="5">
        <v>22</v>
      </c>
      <c r="R215" s="4">
        <v>46500</v>
      </c>
      <c r="S215" s="5">
        <v>1</v>
      </c>
      <c r="T215" s="4">
        <v>1023000</v>
      </c>
      <c r="U215" s="5">
        <v>0</v>
      </c>
      <c r="V215" s="4">
        <v>0</v>
      </c>
      <c r="W215" s="5">
        <v>0</v>
      </c>
      <c r="X215" s="4">
        <v>0</v>
      </c>
      <c r="Y215" s="4">
        <f t="shared" si="6"/>
        <v>1023000</v>
      </c>
      <c r="Z215" s="6" t="s">
        <v>0</v>
      </c>
      <c r="AA215" t="s">
        <v>2</v>
      </c>
      <c r="AB215" t="s">
        <v>12</v>
      </c>
      <c r="AC215">
        <f>_xlfn.XLOOKUP(AB215,'[1]GST Codes'!$A:$A,'[1]GST Codes'!$C:$C,0,0)</f>
        <v>18</v>
      </c>
      <c r="AD215">
        <f t="shared" si="7"/>
        <v>1207140</v>
      </c>
      <c r="AE215" t="s">
        <v>13</v>
      </c>
      <c r="AF215" t="s">
        <v>0</v>
      </c>
      <c r="AG215" t="s">
        <v>14</v>
      </c>
      <c r="AH215" t="s">
        <v>15</v>
      </c>
      <c r="AI215" t="s">
        <v>85</v>
      </c>
      <c r="AJ215" t="s">
        <v>17</v>
      </c>
      <c r="AK215" t="s">
        <v>18</v>
      </c>
      <c r="AL215" t="s">
        <v>19</v>
      </c>
      <c r="AM215" t="s">
        <v>297</v>
      </c>
      <c r="AN215" t="s">
        <v>0</v>
      </c>
      <c r="AO215" t="s">
        <v>0</v>
      </c>
      <c r="AP215" t="s">
        <v>0</v>
      </c>
      <c r="AQ215" s="5">
        <v>22</v>
      </c>
      <c r="AR215" t="s">
        <v>11</v>
      </c>
      <c r="AS215" t="s">
        <v>0</v>
      </c>
      <c r="AT215" t="s">
        <v>17</v>
      </c>
      <c r="AU215" s="4">
        <v>0</v>
      </c>
      <c r="AV215" s="4">
        <v>0</v>
      </c>
      <c r="AW215" s="4">
        <v>0</v>
      </c>
      <c r="AX215" s="4">
        <v>0</v>
      </c>
      <c r="AY215" s="5">
        <v>0</v>
      </c>
      <c r="AZ215" s="5">
        <v>0</v>
      </c>
      <c r="BA215" s="5">
        <v>0</v>
      </c>
      <c r="BB215" s="2"/>
      <c r="BC215" t="s">
        <v>0</v>
      </c>
      <c r="BD215" s="5">
        <v>1</v>
      </c>
      <c r="BE215" t="s">
        <v>0</v>
      </c>
      <c r="BF215" t="s">
        <v>300</v>
      </c>
      <c r="BG215" t="s">
        <v>17</v>
      </c>
      <c r="BH215" t="s">
        <v>0</v>
      </c>
      <c r="BI215" t="s">
        <v>11</v>
      </c>
      <c r="BJ215" t="s">
        <v>0</v>
      </c>
      <c r="BK215" t="s">
        <v>0</v>
      </c>
      <c r="BL215" s="5">
        <v>0</v>
      </c>
      <c r="BM215" t="s">
        <v>0</v>
      </c>
      <c r="BN215" t="s">
        <v>0</v>
      </c>
      <c r="BO215" t="s">
        <v>0</v>
      </c>
      <c r="BP215" t="s">
        <v>17</v>
      </c>
      <c r="BQ215" t="s">
        <v>0</v>
      </c>
      <c r="BR215" t="s">
        <v>17</v>
      </c>
      <c r="BS215" t="s">
        <v>17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</row>
    <row r="216" spans="1:80" ht="13.95" customHeight="1" x14ac:dyDescent="0.25">
      <c r="A216" t="s">
        <v>306</v>
      </c>
      <c r="B216" s="2">
        <v>46001</v>
      </c>
      <c r="C216" s="2">
        <v>46001</v>
      </c>
      <c r="D216" s="2">
        <v>46032</v>
      </c>
      <c r="E216" t="s">
        <v>2</v>
      </c>
      <c r="F216" t="s">
        <v>3</v>
      </c>
      <c r="G216" t="s">
        <v>0</v>
      </c>
      <c r="H216" t="s">
        <v>4</v>
      </c>
      <c r="I216" t="s">
        <v>297</v>
      </c>
      <c r="J216" t="s">
        <v>6</v>
      </c>
      <c r="K216" t="s">
        <v>30</v>
      </c>
      <c r="L216" t="s">
        <v>35</v>
      </c>
      <c r="M216" t="s">
        <v>36</v>
      </c>
      <c r="N216" t="s">
        <v>10</v>
      </c>
      <c r="O216" t="s">
        <v>0</v>
      </c>
      <c r="P216" t="s">
        <v>11</v>
      </c>
      <c r="Q216" s="5">
        <v>22</v>
      </c>
      <c r="R216" s="4">
        <v>46500</v>
      </c>
      <c r="S216" s="5">
        <v>1</v>
      </c>
      <c r="T216" s="4">
        <v>1023000</v>
      </c>
      <c r="U216" s="5">
        <v>0</v>
      </c>
      <c r="V216" s="4">
        <v>0</v>
      </c>
      <c r="W216" s="5">
        <v>0</v>
      </c>
      <c r="X216" s="4">
        <v>0</v>
      </c>
      <c r="Y216" s="4">
        <f t="shared" si="6"/>
        <v>1023000</v>
      </c>
      <c r="Z216" s="6" t="s">
        <v>0</v>
      </c>
      <c r="AA216" t="s">
        <v>2</v>
      </c>
      <c r="AB216" t="s">
        <v>12</v>
      </c>
      <c r="AC216">
        <f>_xlfn.XLOOKUP(AB216,'[1]GST Codes'!$A:$A,'[1]GST Codes'!$C:$C,0,0)</f>
        <v>18</v>
      </c>
      <c r="AD216">
        <f t="shared" si="7"/>
        <v>1207140</v>
      </c>
      <c r="AE216" t="s">
        <v>13</v>
      </c>
      <c r="AF216" t="s">
        <v>0</v>
      </c>
      <c r="AG216" t="s">
        <v>14</v>
      </c>
      <c r="AH216" t="s">
        <v>15</v>
      </c>
      <c r="AI216" t="s">
        <v>85</v>
      </c>
      <c r="AJ216" t="s">
        <v>17</v>
      </c>
      <c r="AK216" t="s">
        <v>18</v>
      </c>
      <c r="AL216" t="s">
        <v>19</v>
      </c>
      <c r="AM216" t="s">
        <v>297</v>
      </c>
      <c r="AN216" t="s">
        <v>0</v>
      </c>
      <c r="AO216" t="s">
        <v>0</v>
      </c>
      <c r="AP216" t="s">
        <v>0</v>
      </c>
      <c r="AQ216" s="5">
        <v>22</v>
      </c>
      <c r="AR216" t="s">
        <v>11</v>
      </c>
      <c r="AS216" t="s">
        <v>0</v>
      </c>
      <c r="AT216" t="s">
        <v>17</v>
      </c>
      <c r="AU216" s="4">
        <v>0</v>
      </c>
      <c r="AV216" s="4">
        <v>0</v>
      </c>
      <c r="AW216" s="4">
        <v>0</v>
      </c>
      <c r="AX216" s="4">
        <v>0</v>
      </c>
      <c r="AY216" s="5">
        <v>0</v>
      </c>
      <c r="AZ216" s="5">
        <v>0</v>
      </c>
      <c r="BA216" s="5">
        <v>0</v>
      </c>
      <c r="BB216" s="2"/>
      <c r="BC216" t="s">
        <v>0</v>
      </c>
      <c r="BD216" s="5">
        <v>1</v>
      </c>
      <c r="BE216" t="s">
        <v>0</v>
      </c>
      <c r="BF216" t="s">
        <v>300</v>
      </c>
      <c r="BG216" t="s">
        <v>17</v>
      </c>
      <c r="BH216" t="s">
        <v>0</v>
      </c>
      <c r="BI216" t="s">
        <v>11</v>
      </c>
      <c r="BJ216" t="s">
        <v>0</v>
      </c>
      <c r="BK216" t="s">
        <v>0</v>
      </c>
      <c r="BL216" s="5">
        <v>0</v>
      </c>
      <c r="BM216" t="s">
        <v>0</v>
      </c>
      <c r="BN216" t="s">
        <v>0</v>
      </c>
      <c r="BO216" t="s">
        <v>0</v>
      </c>
      <c r="BP216" t="s">
        <v>17</v>
      </c>
      <c r="BQ216" t="s">
        <v>0</v>
      </c>
      <c r="BR216" t="s">
        <v>17</v>
      </c>
      <c r="BS216" t="s">
        <v>17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</row>
    <row r="217" spans="1:80" ht="13.95" customHeight="1" x14ac:dyDescent="0.25">
      <c r="A217" t="s">
        <v>306</v>
      </c>
      <c r="B217" s="2">
        <v>46001</v>
      </c>
      <c r="C217" s="2">
        <v>46001</v>
      </c>
      <c r="D217" s="2">
        <v>46032</v>
      </c>
      <c r="E217" t="s">
        <v>2</v>
      </c>
      <c r="F217" t="s">
        <v>3</v>
      </c>
      <c r="G217" t="s">
        <v>0</v>
      </c>
      <c r="H217" t="s">
        <v>4</v>
      </c>
      <c r="I217" t="s">
        <v>297</v>
      </c>
      <c r="J217" t="s">
        <v>6</v>
      </c>
      <c r="K217" t="s">
        <v>34</v>
      </c>
      <c r="L217" t="s">
        <v>35</v>
      </c>
      <c r="M217" t="s">
        <v>36</v>
      </c>
      <c r="N217" t="s">
        <v>10</v>
      </c>
      <c r="O217" t="s">
        <v>0</v>
      </c>
      <c r="P217" t="s">
        <v>11</v>
      </c>
      <c r="Q217" s="5">
        <v>22</v>
      </c>
      <c r="R217" s="4">
        <v>46500</v>
      </c>
      <c r="S217" s="5">
        <v>1</v>
      </c>
      <c r="T217" s="4">
        <v>1023000</v>
      </c>
      <c r="U217" s="5">
        <v>0</v>
      </c>
      <c r="V217" s="4">
        <v>0</v>
      </c>
      <c r="W217" s="5">
        <v>0</v>
      </c>
      <c r="X217" s="4">
        <v>0</v>
      </c>
      <c r="Y217" s="4">
        <f t="shared" si="6"/>
        <v>1023000</v>
      </c>
      <c r="Z217" s="6" t="s">
        <v>0</v>
      </c>
      <c r="AA217" t="s">
        <v>2</v>
      </c>
      <c r="AB217" t="s">
        <v>12</v>
      </c>
      <c r="AC217">
        <f>_xlfn.XLOOKUP(AB217,'[1]GST Codes'!$A:$A,'[1]GST Codes'!$C:$C,0,0)</f>
        <v>18</v>
      </c>
      <c r="AD217">
        <f t="shared" si="7"/>
        <v>1207140</v>
      </c>
      <c r="AE217" t="s">
        <v>13</v>
      </c>
      <c r="AF217" t="s">
        <v>0</v>
      </c>
      <c r="AG217" t="s">
        <v>14</v>
      </c>
      <c r="AH217" t="s">
        <v>15</v>
      </c>
      <c r="AI217" t="s">
        <v>85</v>
      </c>
      <c r="AJ217" t="s">
        <v>17</v>
      </c>
      <c r="AK217" t="s">
        <v>18</v>
      </c>
      <c r="AL217" t="s">
        <v>19</v>
      </c>
      <c r="AM217" t="s">
        <v>297</v>
      </c>
      <c r="AN217" t="s">
        <v>0</v>
      </c>
      <c r="AO217" t="s">
        <v>0</v>
      </c>
      <c r="AP217" t="s">
        <v>0</v>
      </c>
      <c r="AQ217" s="5">
        <v>22</v>
      </c>
      <c r="AR217" t="s">
        <v>11</v>
      </c>
      <c r="AS217" t="s">
        <v>0</v>
      </c>
      <c r="AT217" t="s">
        <v>17</v>
      </c>
      <c r="AU217" s="4">
        <v>0</v>
      </c>
      <c r="AV217" s="4">
        <v>0</v>
      </c>
      <c r="AW217" s="4">
        <v>0</v>
      </c>
      <c r="AX217" s="4">
        <v>0</v>
      </c>
      <c r="AY217" s="5">
        <v>0</v>
      </c>
      <c r="AZ217" s="5">
        <v>0</v>
      </c>
      <c r="BA217" s="5">
        <v>0</v>
      </c>
      <c r="BB217" s="2"/>
      <c r="BC217" t="s">
        <v>0</v>
      </c>
      <c r="BD217" s="5">
        <v>1</v>
      </c>
      <c r="BE217" t="s">
        <v>0</v>
      </c>
      <c r="BF217" t="s">
        <v>300</v>
      </c>
      <c r="BG217" t="s">
        <v>17</v>
      </c>
      <c r="BH217" t="s">
        <v>0</v>
      </c>
      <c r="BI217" t="s">
        <v>11</v>
      </c>
      <c r="BJ217" t="s">
        <v>0</v>
      </c>
      <c r="BK217" t="s">
        <v>0</v>
      </c>
      <c r="BL217" s="5">
        <v>0</v>
      </c>
      <c r="BM217" t="s">
        <v>0</v>
      </c>
      <c r="BN217" t="s">
        <v>0</v>
      </c>
      <c r="BO217" t="s">
        <v>0</v>
      </c>
      <c r="BP217" t="s">
        <v>17</v>
      </c>
      <c r="BQ217" t="s">
        <v>0</v>
      </c>
      <c r="BR217" t="s">
        <v>17</v>
      </c>
      <c r="BS217" t="s">
        <v>17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</row>
    <row r="218" spans="1:80" ht="13.95" customHeight="1" x14ac:dyDescent="0.25">
      <c r="A218" t="s">
        <v>306</v>
      </c>
      <c r="B218" s="2">
        <v>46001</v>
      </c>
      <c r="C218" s="2">
        <v>46001</v>
      </c>
      <c r="D218" s="2">
        <v>46032</v>
      </c>
      <c r="E218" t="s">
        <v>2</v>
      </c>
      <c r="F218" t="s">
        <v>3</v>
      </c>
      <c r="G218" t="s">
        <v>0</v>
      </c>
      <c r="H218" t="s">
        <v>4</v>
      </c>
      <c r="I218" t="s">
        <v>297</v>
      </c>
      <c r="J218" t="s">
        <v>6</v>
      </c>
      <c r="K218" t="s">
        <v>38</v>
      </c>
      <c r="L218" t="s">
        <v>35</v>
      </c>
      <c r="M218" t="s">
        <v>36</v>
      </c>
      <c r="N218" t="s">
        <v>10</v>
      </c>
      <c r="O218" t="s">
        <v>0</v>
      </c>
      <c r="P218" t="s">
        <v>11</v>
      </c>
      <c r="Q218" s="5">
        <v>21</v>
      </c>
      <c r="R218" s="4">
        <v>46500</v>
      </c>
      <c r="S218" s="5">
        <v>1</v>
      </c>
      <c r="T218" s="4">
        <v>976500</v>
      </c>
      <c r="U218" s="3">
        <v>18.809999999999999</v>
      </c>
      <c r="V218" s="4">
        <v>874665</v>
      </c>
      <c r="W218" s="3">
        <v>18.809999999999999</v>
      </c>
      <c r="X218" s="4">
        <v>874665</v>
      </c>
      <c r="Y218" s="4">
        <f t="shared" si="6"/>
        <v>101835</v>
      </c>
      <c r="Z218" s="6" t="s">
        <v>0</v>
      </c>
      <c r="AA218" t="s">
        <v>2</v>
      </c>
      <c r="AB218" t="s">
        <v>12</v>
      </c>
      <c r="AC218">
        <f>_xlfn.XLOOKUP(AB218,'[1]GST Codes'!$A:$A,'[1]GST Codes'!$C:$C,0,0)</f>
        <v>18</v>
      </c>
      <c r="AD218">
        <f t="shared" si="7"/>
        <v>120165.3</v>
      </c>
      <c r="AE218" t="s">
        <v>13</v>
      </c>
      <c r="AF218" t="s">
        <v>0</v>
      </c>
      <c r="AG218" t="s">
        <v>14</v>
      </c>
      <c r="AH218" t="s">
        <v>15</v>
      </c>
      <c r="AI218" t="s">
        <v>85</v>
      </c>
      <c r="AJ218" t="s">
        <v>17</v>
      </c>
      <c r="AK218" t="s">
        <v>18</v>
      </c>
      <c r="AL218" t="s">
        <v>19</v>
      </c>
      <c r="AM218" t="s">
        <v>297</v>
      </c>
      <c r="AN218" t="s">
        <v>0</v>
      </c>
      <c r="AO218" t="s">
        <v>0</v>
      </c>
      <c r="AP218" t="s">
        <v>0</v>
      </c>
      <c r="AQ218" s="5">
        <v>21</v>
      </c>
      <c r="AR218" t="s">
        <v>11</v>
      </c>
      <c r="AS218" t="s">
        <v>0</v>
      </c>
      <c r="AT218" t="s">
        <v>17</v>
      </c>
      <c r="AU218" s="4">
        <v>0</v>
      </c>
      <c r="AV218" s="4">
        <v>0</v>
      </c>
      <c r="AW218" s="4">
        <v>0</v>
      </c>
      <c r="AX218" s="4">
        <v>0</v>
      </c>
      <c r="AY218" s="5">
        <v>0</v>
      </c>
      <c r="AZ218" s="5">
        <v>0</v>
      </c>
      <c r="BA218" s="5">
        <v>0</v>
      </c>
      <c r="BB218" s="2"/>
      <c r="BC218" t="s">
        <v>0</v>
      </c>
      <c r="BD218" s="5">
        <v>1</v>
      </c>
      <c r="BE218" t="s">
        <v>0</v>
      </c>
      <c r="BF218" t="s">
        <v>300</v>
      </c>
      <c r="BG218" t="s">
        <v>17</v>
      </c>
      <c r="BH218" t="s">
        <v>0</v>
      </c>
      <c r="BI218" t="s">
        <v>11</v>
      </c>
      <c r="BJ218" t="s">
        <v>0</v>
      </c>
      <c r="BK218" t="s">
        <v>0</v>
      </c>
      <c r="BL218" s="5">
        <v>0</v>
      </c>
      <c r="BM218" t="s">
        <v>0</v>
      </c>
      <c r="BN218" t="s">
        <v>0</v>
      </c>
      <c r="BO218" t="s">
        <v>0</v>
      </c>
      <c r="BP218" t="s">
        <v>17</v>
      </c>
      <c r="BQ218" t="s">
        <v>0</v>
      </c>
      <c r="BR218" t="s">
        <v>17</v>
      </c>
      <c r="BS218" t="s">
        <v>17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</row>
    <row r="219" spans="1:80" ht="13.95" customHeight="1" x14ac:dyDescent="0.25">
      <c r="A219" t="s">
        <v>306</v>
      </c>
      <c r="B219" s="2">
        <v>46001</v>
      </c>
      <c r="C219" s="2">
        <v>46001</v>
      </c>
      <c r="D219" s="2">
        <v>46032</v>
      </c>
      <c r="E219" t="s">
        <v>2</v>
      </c>
      <c r="F219" t="s">
        <v>3</v>
      </c>
      <c r="G219" t="s">
        <v>0</v>
      </c>
      <c r="H219" t="s">
        <v>4</v>
      </c>
      <c r="I219" t="s">
        <v>297</v>
      </c>
      <c r="J219" t="s">
        <v>6</v>
      </c>
      <c r="K219" t="s">
        <v>42</v>
      </c>
      <c r="L219" t="s">
        <v>70</v>
      </c>
      <c r="M219" t="s">
        <v>71</v>
      </c>
      <c r="N219" t="s">
        <v>10</v>
      </c>
      <c r="O219" t="s">
        <v>0</v>
      </c>
      <c r="P219" t="s">
        <v>11</v>
      </c>
      <c r="Q219" s="5">
        <v>12</v>
      </c>
      <c r="R219" s="4">
        <v>47500</v>
      </c>
      <c r="S219" s="5">
        <v>1</v>
      </c>
      <c r="T219" s="4">
        <v>570000</v>
      </c>
      <c r="U219" s="5">
        <v>0</v>
      </c>
      <c r="V219" s="4">
        <v>0</v>
      </c>
      <c r="W219" s="5">
        <v>0</v>
      </c>
      <c r="X219" s="4">
        <v>0</v>
      </c>
      <c r="Y219" s="4">
        <f t="shared" si="6"/>
        <v>570000</v>
      </c>
      <c r="Z219" s="6" t="s">
        <v>0</v>
      </c>
      <c r="AA219" t="s">
        <v>2</v>
      </c>
      <c r="AB219" t="s">
        <v>12</v>
      </c>
      <c r="AC219">
        <f>_xlfn.XLOOKUP(AB219,'[1]GST Codes'!$A:$A,'[1]GST Codes'!$C:$C,0,0)</f>
        <v>18</v>
      </c>
      <c r="AD219">
        <f t="shared" si="7"/>
        <v>672600</v>
      </c>
      <c r="AE219" t="s">
        <v>13</v>
      </c>
      <c r="AF219" t="s">
        <v>0</v>
      </c>
      <c r="AG219" t="s">
        <v>14</v>
      </c>
      <c r="AH219" t="s">
        <v>15</v>
      </c>
      <c r="AI219" t="s">
        <v>85</v>
      </c>
      <c r="AJ219" t="s">
        <v>17</v>
      </c>
      <c r="AK219" t="s">
        <v>18</v>
      </c>
      <c r="AL219" t="s">
        <v>19</v>
      </c>
      <c r="AM219" t="s">
        <v>297</v>
      </c>
      <c r="AN219" t="s">
        <v>0</v>
      </c>
      <c r="AO219" t="s">
        <v>0</v>
      </c>
      <c r="AP219" t="s">
        <v>0</v>
      </c>
      <c r="AQ219" s="5">
        <v>12</v>
      </c>
      <c r="AR219" t="s">
        <v>11</v>
      </c>
      <c r="AS219" t="s">
        <v>0</v>
      </c>
      <c r="AT219" t="s">
        <v>17</v>
      </c>
      <c r="AU219" s="4">
        <v>0</v>
      </c>
      <c r="AV219" s="4">
        <v>0</v>
      </c>
      <c r="AW219" s="4">
        <v>0</v>
      </c>
      <c r="AX219" s="4">
        <v>0</v>
      </c>
      <c r="AY219" s="5">
        <v>0</v>
      </c>
      <c r="AZ219" s="5">
        <v>0</v>
      </c>
      <c r="BA219" s="5">
        <v>0</v>
      </c>
      <c r="BB219" s="2"/>
      <c r="BC219" t="s">
        <v>0</v>
      </c>
      <c r="BD219" s="5">
        <v>1</v>
      </c>
      <c r="BE219" t="s">
        <v>0</v>
      </c>
      <c r="BF219" t="s">
        <v>298</v>
      </c>
      <c r="BG219" t="s">
        <v>17</v>
      </c>
      <c r="BH219" t="s">
        <v>0</v>
      </c>
      <c r="BI219" t="s">
        <v>11</v>
      </c>
      <c r="BJ219" t="s">
        <v>0</v>
      </c>
      <c r="BK219" t="s">
        <v>0</v>
      </c>
      <c r="BL219" s="5">
        <v>0</v>
      </c>
      <c r="BM219" t="s">
        <v>0</v>
      </c>
      <c r="BN219" t="s">
        <v>0</v>
      </c>
      <c r="BO219" t="s">
        <v>0</v>
      </c>
      <c r="BP219" t="s">
        <v>17</v>
      </c>
      <c r="BQ219" t="s">
        <v>0</v>
      </c>
      <c r="BR219" t="s">
        <v>17</v>
      </c>
      <c r="BS219" t="s">
        <v>17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</row>
    <row r="220" spans="1:80" ht="13.95" customHeight="1" x14ac:dyDescent="0.25">
      <c r="A220" t="s">
        <v>306</v>
      </c>
      <c r="B220" s="2">
        <v>46001</v>
      </c>
      <c r="C220" s="2">
        <v>46001</v>
      </c>
      <c r="D220" s="2">
        <v>46032</v>
      </c>
      <c r="E220" t="s">
        <v>2</v>
      </c>
      <c r="F220" t="s">
        <v>3</v>
      </c>
      <c r="G220" t="s">
        <v>0</v>
      </c>
      <c r="H220" t="s">
        <v>4</v>
      </c>
      <c r="I220" t="s">
        <v>297</v>
      </c>
      <c r="J220" t="s">
        <v>6</v>
      </c>
      <c r="K220" t="s">
        <v>86</v>
      </c>
      <c r="L220" t="s">
        <v>70</v>
      </c>
      <c r="M220" t="s">
        <v>71</v>
      </c>
      <c r="N220" t="s">
        <v>10</v>
      </c>
      <c r="O220" t="s">
        <v>0</v>
      </c>
      <c r="P220" t="s">
        <v>11</v>
      </c>
      <c r="Q220" s="5">
        <v>12</v>
      </c>
      <c r="R220" s="4">
        <v>47500</v>
      </c>
      <c r="S220" s="5">
        <v>1</v>
      </c>
      <c r="T220" s="4">
        <v>570000</v>
      </c>
      <c r="U220" s="5">
        <v>0</v>
      </c>
      <c r="V220" s="4">
        <v>0</v>
      </c>
      <c r="W220" s="5">
        <v>0</v>
      </c>
      <c r="X220" s="4">
        <v>0</v>
      </c>
      <c r="Y220" s="4">
        <f t="shared" si="6"/>
        <v>570000</v>
      </c>
      <c r="Z220" s="6" t="s">
        <v>0</v>
      </c>
      <c r="AA220" t="s">
        <v>2</v>
      </c>
      <c r="AB220" t="s">
        <v>12</v>
      </c>
      <c r="AC220">
        <f>_xlfn.XLOOKUP(AB220,'[1]GST Codes'!$A:$A,'[1]GST Codes'!$C:$C,0,0)</f>
        <v>18</v>
      </c>
      <c r="AD220">
        <f t="shared" si="7"/>
        <v>672600</v>
      </c>
      <c r="AE220" t="s">
        <v>13</v>
      </c>
      <c r="AF220" t="s">
        <v>0</v>
      </c>
      <c r="AG220" t="s">
        <v>14</v>
      </c>
      <c r="AH220" t="s">
        <v>15</v>
      </c>
      <c r="AI220" t="s">
        <v>85</v>
      </c>
      <c r="AJ220" t="s">
        <v>17</v>
      </c>
      <c r="AK220" t="s">
        <v>18</v>
      </c>
      <c r="AL220" t="s">
        <v>19</v>
      </c>
      <c r="AM220" t="s">
        <v>297</v>
      </c>
      <c r="AN220" t="s">
        <v>0</v>
      </c>
      <c r="AO220" t="s">
        <v>0</v>
      </c>
      <c r="AP220" t="s">
        <v>0</v>
      </c>
      <c r="AQ220" s="5">
        <v>12</v>
      </c>
      <c r="AR220" t="s">
        <v>11</v>
      </c>
      <c r="AS220" t="s">
        <v>0</v>
      </c>
      <c r="AT220" t="s">
        <v>17</v>
      </c>
      <c r="AU220" s="4">
        <v>0</v>
      </c>
      <c r="AV220" s="4">
        <v>0</v>
      </c>
      <c r="AW220" s="4">
        <v>0</v>
      </c>
      <c r="AX220" s="4">
        <v>0</v>
      </c>
      <c r="AY220" s="5">
        <v>0</v>
      </c>
      <c r="AZ220" s="5">
        <v>0</v>
      </c>
      <c r="BA220" s="5">
        <v>0</v>
      </c>
      <c r="BB220" s="2"/>
      <c r="BC220" t="s">
        <v>0</v>
      </c>
      <c r="BD220" s="5">
        <v>1</v>
      </c>
      <c r="BE220" t="s">
        <v>0</v>
      </c>
      <c r="BF220" t="s">
        <v>298</v>
      </c>
      <c r="BG220" t="s">
        <v>17</v>
      </c>
      <c r="BH220" t="s">
        <v>0</v>
      </c>
      <c r="BI220" t="s">
        <v>11</v>
      </c>
      <c r="BJ220" t="s">
        <v>0</v>
      </c>
      <c r="BK220" t="s">
        <v>0</v>
      </c>
      <c r="BL220" s="5">
        <v>0</v>
      </c>
      <c r="BM220" t="s">
        <v>0</v>
      </c>
      <c r="BN220" t="s">
        <v>0</v>
      </c>
      <c r="BO220" t="s">
        <v>0</v>
      </c>
      <c r="BP220" t="s">
        <v>17</v>
      </c>
      <c r="BQ220" t="s">
        <v>0</v>
      </c>
      <c r="BR220" t="s">
        <v>17</v>
      </c>
      <c r="BS220" t="s">
        <v>17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</row>
    <row r="221" spans="1:80" ht="13.95" customHeight="1" x14ac:dyDescent="0.25">
      <c r="A221" t="s">
        <v>306</v>
      </c>
      <c r="B221" s="2">
        <v>46001</v>
      </c>
      <c r="C221" s="2">
        <v>46001</v>
      </c>
      <c r="D221" s="2">
        <v>46032</v>
      </c>
      <c r="E221" t="s">
        <v>2</v>
      </c>
      <c r="F221" t="s">
        <v>3</v>
      </c>
      <c r="G221" t="s">
        <v>0</v>
      </c>
      <c r="H221" t="s">
        <v>4</v>
      </c>
      <c r="I221" t="s">
        <v>297</v>
      </c>
      <c r="J221" t="s">
        <v>6</v>
      </c>
      <c r="K221" t="s">
        <v>87</v>
      </c>
      <c r="L221" t="s">
        <v>70</v>
      </c>
      <c r="M221" t="s">
        <v>71</v>
      </c>
      <c r="N221" t="s">
        <v>10</v>
      </c>
      <c r="O221" t="s">
        <v>0</v>
      </c>
      <c r="P221" t="s">
        <v>11</v>
      </c>
      <c r="Q221" s="5">
        <v>12</v>
      </c>
      <c r="R221" s="4">
        <v>47500</v>
      </c>
      <c r="S221" s="5">
        <v>1</v>
      </c>
      <c r="T221" s="4">
        <v>570000</v>
      </c>
      <c r="U221" s="5">
        <v>0</v>
      </c>
      <c r="V221" s="4">
        <v>0</v>
      </c>
      <c r="W221" s="5">
        <v>0</v>
      </c>
      <c r="X221" s="4">
        <v>0</v>
      </c>
      <c r="Y221" s="4">
        <f t="shared" si="6"/>
        <v>570000</v>
      </c>
      <c r="Z221" s="6" t="s">
        <v>0</v>
      </c>
      <c r="AA221" t="s">
        <v>2</v>
      </c>
      <c r="AB221" t="s">
        <v>12</v>
      </c>
      <c r="AC221">
        <f>_xlfn.XLOOKUP(AB221,'[1]GST Codes'!$A:$A,'[1]GST Codes'!$C:$C,0,0)</f>
        <v>18</v>
      </c>
      <c r="AD221">
        <f t="shared" si="7"/>
        <v>672600</v>
      </c>
      <c r="AE221" t="s">
        <v>13</v>
      </c>
      <c r="AF221" t="s">
        <v>0</v>
      </c>
      <c r="AG221" t="s">
        <v>14</v>
      </c>
      <c r="AH221" t="s">
        <v>15</v>
      </c>
      <c r="AI221" t="s">
        <v>85</v>
      </c>
      <c r="AJ221" t="s">
        <v>17</v>
      </c>
      <c r="AK221" t="s">
        <v>18</v>
      </c>
      <c r="AL221" t="s">
        <v>19</v>
      </c>
      <c r="AM221" t="s">
        <v>297</v>
      </c>
      <c r="AN221" t="s">
        <v>0</v>
      </c>
      <c r="AO221" t="s">
        <v>0</v>
      </c>
      <c r="AP221" t="s">
        <v>0</v>
      </c>
      <c r="AQ221" s="5">
        <v>12</v>
      </c>
      <c r="AR221" t="s">
        <v>11</v>
      </c>
      <c r="AS221" t="s">
        <v>0</v>
      </c>
      <c r="AT221" t="s">
        <v>17</v>
      </c>
      <c r="AU221" s="4">
        <v>0</v>
      </c>
      <c r="AV221" s="4">
        <v>0</v>
      </c>
      <c r="AW221" s="4">
        <v>0</v>
      </c>
      <c r="AX221" s="4">
        <v>0</v>
      </c>
      <c r="AY221" s="5">
        <v>0</v>
      </c>
      <c r="AZ221" s="5">
        <v>0</v>
      </c>
      <c r="BA221" s="5">
        <v>0</v>
      </c>
      <c r="BB221" s="2"/>
      <c r="BC221" t="s">
        <v>0</v>
      </c>
      <c r="BD221" s="5">
        <v>1</v>
      </c>
      <c r="BE221" t="s">
        <v>0</v>
      </c>
      <c r="BF221" t="s">
        <v>298</v>
      </c>
      <c r="BG221" t="s">
        <v>17</v>
      </c>
      <c r="BH221" t="s">
        <v>0</v>
      </c>
      <c r="BI221" t="s">
        <v>11</v>
      </c>
      <c r="BJ221" t="s">
        <v>0</v>
      </c>
      <c r="BK221" t="s">
        <v>0</v>
      </c>
      <c r="BL221" s="5">
        <v>0</v>
      </c>
      <c r="BM221" t="s">
        <v>0</v>
      </c>
      <c r="BN221" t="s">
        <v>0</v>
      </c>
      <c r="BO221" t="s">
        <v>0</v>
      </c>
      <c r="BP221" t="s">
        <v>17</v>
      </c>
      <c r="BQ221" t="s">
        <v>0</v>
      </c>
      <c r="BR221" t="s">
        <v>17</v>
      </c>
      <c r="BS221" t="s">
        <v>17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</row>
    <row r="222" spans="1:80" ht="13.95" customHeight="1" x14ac:dyDescent="0.25">
      <c r="A222" t="s">
        <v>306</v>
      </c>
      <c r="B222" s="2">
        <v>46001</v>
      </c>
      <c r="C222" s="2">
        <v>46001</v>
      </c>
      <c r="D222" s="2">
        <v>46032</v>
      </c>
      <c r="E222" t="s">
        <v>2</v>
      </c>
      <c r="F222" t="s">
        <v>3</v>
      </c>
      <c r="G222" t="s">
        <v>0</v>
      </c>
      <c r="H222" t="s">
        <v>4</v>
      </c>
      <c r="I222" t="s">
        <v>297</v>
      </c>
      <c r="J222" t="s">
        <v>6</v>
      </c>
      <c r="K222" t="s">
        <v>88</v>
      </c>
      <c r="L222" t="s">
        <v>70</v>
      </c>
      <c r="M222" t="s">
        <v>71</v>
      </c>
      <c r="N222" t="s">
        <v>10</v>
      </c>
      <c r="O222" t="s">
        <v>0</v>
      </c>
      <c r="P222" t="s">
        <v>11</v>
      </c>
      <c r="Q222" s="5">
        <v>12</v>
      </c>
      <c r="R222" s="4">
        <v>47500</v>
      </c>
      <c r="S222" s="5">
        <v>1</v>
      </c>
      <c r="T222" s="4">
        <v>570000</v>
      </c>
      <c r="U222" s="5">
        <v>0</v>
      </c>
      <c r="V222" s="4">
        <v>0</v>
      </c>
      <c r="W222" s="5">
        <v>0</v>
      </c>
      <c r="X222" s="4">
        <v>0</v>
      </c>
      <c r="Y222" s="4">
        <f t="shared" si="6"/>
        <v>570000</v>
      </c>
      <c r="Z222" s="6" t="s">
        <v>0</v>
      </c>
      <c r="AA222" t="s">
        <v>2</v>
      </c>
      <c r="AB222" t="s">
        <v>12</v>
      </c>
      <c r="AC222">
        <f>_xlfn.XLOOKUP(AB222,'[1]GST Codes'!$A:$A,'[1]GST Codes'!$C:$C,0,0)</f>
        <v>18</v>
      </c>
      <c r="AD222">
        <f t="shared" si="7"/>
        <v>672600</v>
      </c>
      <c r="AE222" t="s">
        <v>13</v>
      </c>
      <c r="AF222" t="s">
        <v>0</v>
      </c>
      <c r="AG222" t="s">
        <v>14</v>
      </c>
      <c r="AH222" t="s">
        <v>15</v>
      </c>
      <c r="AI222" t="s">
        <v>85</v>
      </c>
      <c r="AJ222" t="s">
        <v>17</v>
      </c>
      <c r="AK222" t="s">
        <v>18</v>
      </c>
      <c r="AL222" t="s">
        <v>19</v>
      </c>
      <c r="AM222" t="s">
        <v>297</v>
      </c>
      <c r="AN222" t="s">
        <v>0</v>
      </c>
      <c r="AO222" t="s">
        <v>0</v>
      </c>
      <c r="AP222" t="s">
        <v>0</v>
      </c>
      <c r="AQ222" s="5">
        <v>12</v>
      </c>
      <c r="AR222" t="s">
        <v>11</v>
      </c>
      <c r="AS222" t="s">
        <v>0</v>
      </c>
      <c r="AT222" t="s">
        <v>17</v>
      </c>
      <c r="AU222" s="4">
        <v>0</v>
      </c>
      <c r="AV222" s="4">
        <v>0</v>
      </c>
      <c r="AW222" s="4">
        <v>0</v>
      </c>
      <c r="AX222" s="4">
        <v>0</v>
      </c>
      <c r="AY222" s="5">
        <v>0</v>
      </c>
      <c r="AZ222" s="5">
        <v>0</v>
      </c>
      <c r="BA222" s="5">
        <v>0</v>
      </c>
      <c r="BB222" s="2"/>
      <c r="BC222" t="s">
        <v>0</v>
      </c>
      <c r="BD222" s="5">
        <v>1</v>
      </c>
      <c r="BE222" t="s">
        <v>0</v>
      </c>
      <c r="BF222" t="s">
        <v>298</v>
      </c>
      <c r="BG222" t="s">
        <v>17</v>
      </c>
      <c r="BH222" t="s">
        <v>0</v>
      </c>
      <c r="BI222" t="s">
        <v>11</v>
      </c>
      <c r="BJ222" t="s">
        <v>0</v>
      </c>
      <c r="BK222" t="s">
        <v>0</v>
      </c>
      <c r="BL222" s="5">
        <v>0</v>
      </c>
      <c r="BM222" t="s">
        <v>0</v>
      </c>
      <c r="BN222" t="s">
        <v>0</v>
      </c>
      <c r="BO222" t="s">
        <v>0</v>
      </c>
      <c r="BP222" t="s">
        <v>17</v>
      </c>
      <c r="BQ222" t="s">
        <v>0</v>
      </c>
      <c r="BR222" t="s">
        <v>17</v>
      </c>
      <c r="BS222" t="s">
        <v>17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</row>
    <row r="223" spans="1:80" ht="13.95" customHeight="1" x14ac:dyDescent="0.25">
      <c r="A223" t="s">
        <v>306</v>
      </c>
      <c r="B223" s="2">
        <v>46001</v>
      </c>
      <c r="C223" s="2">
        <v>46001</v>
      </c>
      <c r="D223" s="2">
        <v>46032</v>
      </c>
      <c r="E223" t="s">
        <v>2</v>
      </c>
      <c r="F223" t="s">
        <v>3</v>
      </c>
      <c r="G223" t="s">
        <v>0</v>
      </c>
      <c r="H223" t="s">
        <v>4</v>
      </c>
      <c r="I223" t="s">
        <v>297</v>
      </c>
      <c r="J223" t="s">
        <v>6</v>
      </c>
      <c r="K223" t="s">
        <v>89</v>
      </c>
      <c r="L223" t="s">
        <v>70</v>
      </c>
      <c r="M223" t="s">
        <v>71</v>
      </c>
      <c r="N223" t="s">
        <v>10</v>
      </c>
      <c r="O223" t="s">
        <v>0</v>
      </c>
      <c r="P223" t="s">
        <v>11</v>
      </c>
      <c r="Q223" s="5">
        <v>12</v>
      </c>
      <c r="R223" s="4">
        <v>47500</v>
      </c>
      <c r="S223" s="5">
        <v>1</v>
      </c>
      <c r="T223" s="4">
        <v>570000</v>
      </c>
      <c r="U223" s="5">
        <v>0</v>
      </c>
      <c r="V223" s="4">
        <v>0</v>
      </c>
      <c r="W223" s="5">
        <v>0</v>
      </c>
      <c r="X223" s="4">
        <v>0</v>
      </c>
      <c r="Y223" s="4">
        <f t="shared" si="6"/>
        <v>570000</v>
      </c>
      <c r="Z223" s="6" t="s">
        <v>0</v>
      </c>
      <c r="AA223" t="s">
        <v>2</v>
      </c>
      <c r="AB223" t="s">
        <v>12</v>
      </c>
      <c r="AC223">
        <f>_xlfn.XLOOKUP(AB223,'[1]GST Codes'!$A:$A,'[1]GST Codes'!$C:$C,0,0)</f>
        <v>18</v>
      </c>
      <c r="AD223">
        <f t="shared" si="7"/>
        <v>672600</v>
      </c>
      <c r="AE223" t="s">
        <v>13</v>
      </c>
      <c r="AF223" t="s">
        <v>0</v>
      </c>
      <c r="AG223" t="s">
        <v>14</v>
      </c>
      <c r="AH223" t="s">
        <v>15</v>
      </c>
      <c r="AI223" t="s">
        <v>85</v>
      </c>
      <c r="AJ223" t="s">
        <v>17</v>
      </c>
      <c r="AK223" t="s">
        <v>18</v>
      </c>
      <c r="AL223" t="s">
        <v>19</v>
      </c>
      <c r="AM223" t="s">
        <v>297</v>
      </c>
      <c r="AN223" t="s">
        <v>0</v>
      </c>
      <c r="AO223" t="s">
        <v>0</v>
      </c>
      <c r="AP223" t="s">
        <v>0</v>
      </c>
      <c r="AQ223" s="5">
        <v>12</v>
      </c>
      <c r="AR223" t="s">
        <v>11</v>
      </c>
      <c r="AS223" t="s">
        <v>0</v>
      </c>
      <c r="AT223" t="s">
        <v>17</v>
      </c>
      <c r="AU223" s="4">
        <v>0</v>
      </c>
      <c r="AV223" s="4">
        <v>0</v>
      </c>
      <c r="AW223" s="4">
        <v>0</v>
      </c>
      <c r="AX223" s="4">
        <v>0</v>
      </c>
      <c r="AY223" s="5">
        <v>0</v>
      </c>
      <c r="AZ223" s="5">
        <v>0</v>
      </c>
      <c r="BA223" s="5">
        <v>0</v>
      </c>
      <c r="BB223" s="2"/>
      <c r="BC223" t="s">
        <v>0</v>
      </c>
      <c r="BD223" s="5">
        <v>1</v>
      </c>
      <c r="BE223" t="s">
        <v>0</v>
      </c>
      <c r="BF223" t="s">
        <v>298</v>
      </c>
      <c r="BG223" t="s">
        <v>17</v>
      </c>
      <c r="BH223" t="s">
        <v>0</v>
      </c>
      <c r="BI223" t="s">
        <v>11</v>
      </c>
      <c r="BJ223" t="s">
        <v>0</v>
      </c>
      <c r="BK223" t="s">
        <v>0</v>
      </c>
      <c r="BL223" s="5">
        <v>0</v>
      </c>
      <c r="BM223" t="s">
        <v>0</v>
      </c>
      <c r="BN223" t="s">
        <v>0</v>
      </c>
      <c r="BO223" t="s">
        <v>0</v>
      </c>
      <c r="BP223" t="s">
        <v>17</v>
      </c>
      <c r="BQ223" t="s">
        <v>0</v>
      </c>
      <c r="BR223" t="s">
        <v>17</v>
      </c>
      <c r="BS223" t="s">
        <v>17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</row>
    <row r="224" spans="1:80" ht="13.95" customHeight="1" x14ac:dyDescent="0.25">
      <c r="A224" t="s">
        <v>306</v>
      </c>
      <c r="B224" s="2">
        <v>46001</v>
      </c>
      <c r="C224" s="2">
        <v>46001</v>
      </c>
      <c r="D224" s="2">
        <v>46032</v>
      </c>
      <c r="E224" t="s">
        <v>2</v>
      </c>
      <c r="F224" t="s">
        <v>3</v>
      </c>
      <c r="G224" t="s">
        <v>0</v>
      </c>
      <c r="H224" t="s">
        <v>4</v>
      </c>
      <c r="I224" t="s">
        <v>297</v>
      </c>
      <c r="J224" t="s">
        <v>6</v>
      </c>
      <c r="K224" t="s">
        <v>90</v>
      </c>
      <c r="L224" t="s">
        <v>70</v>
      </c>
      <c r="M224" t="s">
        <v>71</v>
      </c>
      <c r="N224" t="s">
        <v>10</v>
      </c>
      <c r="O224" t="s">
        <v>0</v>
      </c>
      <c r="P224" t="s">
        <v>11</v>
      </c>
      <c r="Q224" s="5">
        <v>10</v>
      </c>
      <c r="R224" s="4">
        <v>47500</v>
      </c>
      <c r="S224" s="5">
        <v>1</v>
      </c>
      <c r="T224" s="4">
        <v>475000</v>
      </c>
      <c r="U224" s="5">
        <v>0</v>
      </c>
      <c r="V224" s="4">
        <v>0</v>
      </c>
      <c r="W224" s="5">
        <v>0</v>
      </c>
      <c r="X224" s="4">
        <v>0</v>
      </c>
      <c r="Y224" s="4">
        <f t="shared" si="6"/>
        <v>475000</v>
      </c>
      <c r="Z224" s="6" t="s">
        <v>0</v>
      </c>
      <c r="AA224" t="s">
        <v>2</v>
      </c>
      <c r="AB224" t="s">
        <v>12</v>
      </c>
      <c r="AC224">
        <f>_xlfn.XLOOKUP(AB224,'[1]GST Codes'!$A:$A,'[1]GST Codes'!$C:$C,0,0)</f>
        <v>18</v>
      </c>
      <c r="AD224">
        <f t="shared" si="7"/>
        <v>560500</v>
      </c>
      <c r="AE224" t="s">
        <v>13</v>
      </c>
      <c r="AF224" t="s">
        <v>0</v>
      </c>
      <c r="AG224" t="s">
        <v>14</v>
      </c>
      <c r="AH224" t="s">
        <v>15</v>
      </c>
      <c r="AI224" t="s">
        <v>85</v>
      </c>
      <c r="AJ224" t="s">
        <v>17</v>
      </c>
      <c r="AK224" t="s">
        <v>18</v>
      </c>
      <c r="AL224" t="s">
        <v>19</v>
      </c>
      <c r="AM224" t="s">
        <v>297</v>
      </c>
      <c r="AN224" t="s">
        <v>0</v>
      </c>
      <c r="AO224" t="s">
        <v>0</v>
      </c>
      <c r="AP224" t="s">
        <v>0</v>
      </c>
      <c r="AQ224" s="5">
        <v>10</v>
      </c>
      <c r="AR224" t="s">
        <v>11</v>
      </c>
      <c r="AS224" t="s">
        <v>0</v>
      </c>
      <c r="AT224" t="s">
        <v>17</v>
      </c>
      <c r="AU224" s="4">
        <v>0</v>
      </c>
      <c r="AV224" s="4">
        <v>0</v>
      </c>
      <c r="AW224" s="4">
        <v>0</v>
      </c>
      <c r="AX224" s="4">
        <v>0</v>
      </c>
      <c r="AY224" s="5">
        <v>0</v>
      </c>
      <c r="AZ224" s="5">
        <v>0</v>
      </c>
      <c r="BA224" s="5">
        <v>0</v>
      </c>
      <c r="BB224" s="2"/>
      <c r="BC224" t="s">
        <v>0</v>
      </c>
      <c r="BD224" s="5">
        <v>1</v>
      </c>
      <c r="BE224" t="s">
        <v>0</v>
      </c>
      <c r="BF224" t="s">
        <v>298</v>
      </c>
      <c r="BG224" t="s">
        <v>17</v>
      </c>
      <c r="BH224" t="s">
        <v>0</v>
      </c>
      <c r="BI224" t="s">
        <v>11</v>
      </c>
      <c r="BJ224" t="s">
        <v>0</v>
      </c>
      <c r="BK224" t="s">
        <v>0</v>
      </c>
      <c r="BL224" s="5">
        <v>0</v>
      </c>
      <c r="BM224" t="s">
        <v>0</v>
      </c>
      <c r="BN224" t="s">
        <v>0</v>
      </c>
      <c r="BO224" t="s">
        <v>0</v>
      </c>
      <c r="BP224" t="s">
        <v>17</v>
      </c>
      <c r="BQ224" t="s">
        <v>0</v>
      </c>
      <c r="BR224" t="s">
        <v>17</v>
      </c>
      <c r="BS224" t="s">
        <v>17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</row>
    <row r="225" spans="1:80" ht="13.95" customHeight="1" x14ac:dyDescent="0.25">
      <c r="A225" t="s">
        <v>306</v>
      </c>
      <c r="B225" s="2">
        <v>46001</v>
      </c>
      <c r="C225" s="2">
        <v>46001</v>
      </c>
      <c r="D225" s="2">
        <v>46032</v>
      </c>
      <c r="E225" t="s">
        <v>2</v>
      </c>
      <c r="F225" t="s">
        <v>3</v>
      </c>
      <c r="G225" t="s">
        <v>0</v>
      </c>
      <c r="H225" t="s">
        <v>4</v>
      </c>
      <c r="I225" t="s">
        <v>297</v>
      </c>
      <c r="J225" t="s">
        <v>6</v>
      </c>
      <c r="K225" t="s">
        <v>177</v>
      </c>
      <c r="L225" t="s">
        <v>70</v>
      </c>
      <c r="M225" t="s">
        <v>307</v>
      </c>
      <c r="N225" t="s">
        <v>10</v>
      </c>
      <c r="O225" t="s">
        <v>0</v>
      </c>
      <c r="P225" t="s">
        <v>11</v>
      </c>
      <c r="Q225" s="5">
        <v>170</v>
      </c>
      <c r="R225" s="4">
        <v>47500</v>
      </c>
      <c r="S225" s="5">
        <v>1</v>
      </c>
      <c r="T225" s="4">
        <v>8075000</v>
      </c>
      <c r="U225" s="3">
        <v>94.42</v>
      </c>
      <c r="V225" s="4">
        <v>4484950</v>
      </c>
      <c r="W225" s="3">
        <v>94.42</v>
      </c>
      <c r="X225" s="4">
        <v>4484950</v>
      </c>
      <c r="Y225" s="4">
        <f t="shared" si="6"/>
        <v>3590050</v>
      </c>
      <c r="Z225" s="6" t="s">
        <v>0</v>
      </c>
      <c r="AA225" t="s">
        <v>2</v>
      </c>
      <c r="AB225" t="s">
        <v>12</v>
      </c>
      <c r="AC225">
        <f>_xlfn.XLOOKUP(AB225,'[1]GST Codes'!$A:$A,'[1]GST Codes'!$C:$C,0,0)</f>
        <v>18</v>
      </c>
      <c r="AD225">
        <f t="shared" si="7"/>
        <v>4236259</v>
      </c>
      <c r="AE225" t="s">
        <v>13</v>
      </c>
      <c r="AF225" t="s">
        <v>0</v>
      </c>
      <c r="AG225" t="s">
        <v>14</v>
      </c>
      <c r="AH225" t="s">
        <v>15</v>
      </c>
      <c r="AI225" t="s">
        <v>85</v>
      </c>
      <c r="AJ225" t="s">
        <v>17</v>
      </c>
      <c r="AK225" t="s">
        <v>18</v>
      </c>
      <c r="AL225" t="s">
        <v>19</v>
      </c>
      <c r="AM225" t="s">
        <v>297</v>
      </c>
      <c r="AN225" t="s">
        <v>0</v>
      </c>
      <c r="AO225" t="s">
        <v>0</v>
      </c>
      <c r="AP225" t="s">
        <v>0</v>
      </c>
      <c r="AQ225" s="5">
        <v>170</v>
      </c>
      <c r="AR225" t="s">
        <v>11</v>
      </c>
      <c r="AS225" t="s">
        <v>0</v>
      </c>
      <c r="AT225" t="s">
        <v>17</v>
      </c>
      <c r="AU225" s="4">
        <v>0</v>
      </c>
      <c r="AV225" s="4">
        <v>0</v>
      </c>
      <c r="AW225" s="4">
        <v>0</v>
      </c>
      <c r="AX225" s="4">
        <v>0</v>
      </c>
      <c r="AY225" s="5">
        <v>0</v>
      </c>
      <c r="AZ225" s="5">
        <v>0</v>
      </c>
      <c r="BA225" s="5">
        <v>0</v>
      </c>
      <c r="BB225" s="2"/>
      <c r="BC225" t="s">
        <v>0</v>
      </c>
      <c r="BD225" s="5">
        <v>1</v>
      </c>
      <c r="BE225" t="s">
        <v>0</v>
      </c>
      <c r="BF225" t="s">
        <v>298</v>
      </c>
      <c r="BG225" t="s">
        <v>17</v>
      </c>
      <c r="BH225" t="s">
        <v>0</v>
      </c>
      <c r="BI225" t="s">
        <v>11</v>
      </c>
      <c r="BJ225" t="s">
        <v>0</v>
      </c>
      <c r="BK225" t="s">
        <v>0</v>
      </c>
      <c r="BL225" s="5">
        <v>0</v>
      </c>
      <c r="BM225" t="s">
        <v>0</v>
      </c>
      <c r="BN225" t="s">
        <v>0</v>
      </c>
      <c r="BO225" t="s">
        <v>0</v>
      </c>
      <c r="BP225" t="s">
        <v>17</v>
      </c>
      <c r="BQ225" t="s">
        <v>0</v>
      </c>
      <c r="BR225" t="s">
        <v>17</v>
      </c>
      <c r="BS225" t="s">
        <v>17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</row>
    <row r="226" spans="1:80" ht="13.95" customHeight="1" x14ac:dyDescent="0.25">
      <c r="A226" t="s">
        <v>308</v>
      </c>
      <c r="B226" s="2">
        <v>46034</v>
      </c>
      <c r="C226" s="2">
        <v>46034</v>
      </c>
      <c r="D226" s="2">
        <v>46065</v>
      </c>
      <c r="E226" t="s">
        <v>2</v>
      </c>
      <c r="F226" t="s">
        <v>3</v>
      </c>
      <c r="G226" t="s">
        <v>0</v>
      </c>
      <c r="H226" t="s">
        <v>4</v>
      </c>
      <c r="I226" t="s">
        <v>297</v>
      </c>
      <c r="J226" t="s">
        <v>6</v>
      </c>
      <c r="K226" t="s">
        <v>7</v>
      </c>
      <c r="L226" t="s">
        <v>70</v>
      </c>
      <c r="M226" t="s">
        <v>71</v>
      </c>
      <c r="N226" t="s">
        <v>10</v>
      </c>
      <c r="O226" t="s">
        <v>0</v>
      </c>
      <c r="P226" t="s">
        <v>11</v>
      </c>
      <c r="Q226" s="5">
        <v>10</v>
      </c>
      <c r="R226" s="4">
        <v>52000</v>
      </c>
      <c r="S226" s="5">
        <v>1</v>
      </c>
      <c r="T226" s="4">
        <v>520000</v>
      </c>
      <c r="U226" s="5">
        <v>0</v>
      </c>
      <c r="V226" s="4">
        <v>0</v>
      </c>
      <c r="W226" s="5">
        <v>0</v>
      </c>
      <c r="X226" s="4">
        <v>0</v>
      </c>
      <c r="Y226" s="4">
        <f t="shared" si="6"/>
        <v>520000</v>
      </c>
      <c r="Z226" s="6" t="s">
        <v>0</v>
      </c>
      <c r="AA226" t="s">
        <v>2</v>
      </c>
      <c r="AB226" t="s">
        <v>12</v>
      </c>
      <c r="AC226">
        <f>_xlfn.XLOOKUP(AB226,'[1]GST Codes'!$A:$A,'[1]GST Codes'!$C:$C,0,0)</f>
        <v>18</v>
      </c>
      <c r="AD226">
        <f t="shared" si="7"/>
        <v>613600</v>
      </c>
      <c r="AE226" t="s">
        <v>13</v>
      </c>
      <c r="AF226" t="s">
        <v>0</v>
      </c>
      <c r="AG226" t="s">
        <v>14</v>
      </c>
      <c r="AH226" t="s">
        <v>15</v>
      </c>
      <c r="AI226" t="s">
        <v>85</v>
      </c>
      <c r="AJ226" t="s">
        <v>17</v>
      </c>
      <c r="AK226" t="s">
        <v>18</v>
      </c>
      <c r="AL226" t="s">
        <v>19</v>
      </c>
      <c r="AM226" t="s">
        <v>297</v>
      </c>
      <c r="AN226" t="s">
        <v>0</v>
      </c>
      <c r="AO226" t="s">
        <v>0</v>
      </c>
      <c r="AP226" t="s">
        <v>0</v>
      </c>
      <c r="AQ226" s="5">
        <v>10</v>
      </c>
      <c r="AR226" t="s">
        <v>11</v>
      </c>
      <c r="AS226" t="s">
        <v>0</v>
      </c>
      <c r="AT226" t="s">
        <v>17</v>
      </c>
      <c r="AU226" s="4">
        <v>0</v>
      </c>
      <c r="AV226" s="4">
        <v>0</v>
      </c>
      <c r="AW226" s="4">
        <v>0</v>
      </c>
      <c r="AX226" s="4">
        <v>0</v>
      </c>
      <c r="AY226" s="5">
        <v>0</v>
      </c>
      <c r="AZ226" s="5">
        <v>0</v>
      </c>
      <c r="BA226" s="5">
        <v>0</v>
      </c>
      <c r="BB226" s="2"/>
      <c r="BC226" t="s">
        <v>0</v>
      </c>
      <c r="BD226" s="5">
        <v>1</v>
      </c>
      <c r="BE226" t="s">
        <v>0</v>
      </c>
      <c r="BF226" t="s">
        <v>298</v>
      </c>
      <c r="BG226" t="s">
        <v>17</v>
      </c>
      <c r="BH226" t="s">
        <v>0</v>
      </c>
      <c r="BI226" t="s">
        <v>11</v>
      </c>
      <c r="BJ226" t="s">
        <v>0</v>
      </c>
      <c r="BK226" t="s">
        <v>0</v>
      </c>
      <c r="BL226" s="5">
        <v>0</v>
      </c>
      <c r="BM226" t="s">
        <v>0</v>
      </c>
      <c r="BN226" t="s">
        <v>0</v>
      </c>
      <c r="BO226" t="s">
        <v>0</v>
      </c>
      <c r="BP226" t="s">
        <v>17</v>
      </c>
      <c r="BQ226" t="s">
        <v>0</v>
      </c>
      <c r="BR226" t="s">
        <v>17</v>
      </c>
      <c r="BS226" t="s">
        <v>17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</row>
    <row r="227" spans="1:80" ht="13.95" customHeight="1" x14ac:dyDescent="0.25">
      <c r="A227" t="s">
        <v>308</v>
      </c>
      <c r="B227" s="2">
        <v>46034</v>
      </c>
      <c r="C227" s="2">
        <v>46034</v>
      </c>
      <c r="D227" s="2">
        <v>46065</v>
      </c>
      <c r="E227" t="s">
        <v>2</v>
      </c>
      <c r="F227" t="s">
        <v>3</v>
      </c>
      <c r="G227" t="s">
        <v>0</v>
      </c>
      <c r="H227" t="s">
        <v>4</v>
      </c>
      <c r="I227" t="s">
        <v>297</v>
      </c>
      <c r="J227" t="s">
        <v>6</v>
      </c>
      <c r="K227" t="s">
        <v>22</v>
      </c>
      <c r="L227" t="s">
        <v>70</v>
      </c>
      <c r="M227" t="s">
        <v>71</v>
      </c>
      <c r="N227" t="s">
        <v>10</v>
      </c>
      <c r="O227" t="s">
        <v>0</v>
      </c>
      <c r="P227" t="s">
        <v>11</v>
      </c>
      <c r="Q227" s="5">
        <v>10</v>
      </c>
      <c r="R227" s="4">
        <v>52000</v>
      </c>
      <c r="S227" s="5">
        <v>1</v>
      </c>
      <c r="T227" s="4">
        <v>520000</v>
      </c>
      <c r="U227" s="5">
        <v>0</v>
      </c>
      <c r="V227" s="4">
        <v>0</v>
      </c>
      <c r="W227" s="5">
        <v>0</v>
      </c>
      <c r="X227" s="4">
        <v>0</v>
      </c>
      <c r="Y227" s="4">
        <f t="shared" si="6"/>
        <v>520000</v>
      </c>
      <c r="Z227" s="6" t="s">
        <v>0</v>
      </c>
      <c r="AA227" t="s">
        <v>2</v>
      </c>
      <c r="AB227" t="s">
        <v>12</v>
      </c>
      <c r="AC227">
        <f>_xlfn.XLOOKUP(AB227,'[1]GST Codes'!$A:$A,'[1]GST Codes'!$C:$C,0,0)</f>
        <v>18</v>
      </c>
      <c r="AD227">
        <f t="shared" si="7"/>
        <v>613600</v>
      </c>
      <c r="AE227" t="s">
        <v>13</v>
      </c>
      <c r="AF227" t="s">
        <v>0</v>
      </c>
      <c r="AG227" t="s">
        <v>14</v>
      </c>
      <c r="AH227" t="s">
        <v>15</v>
      </c>
      <c r="AI227" t="s">
        <v>85</v>
      </c>
      <c r="AJ227" t="s">
        <v>17</v>
      </c>
      <c r="AK227" t="s">
        <v>18</v>
      </c>
      <c r="AL227" t="s">
        <v>19</v>
      </c>
      <c r="AM227" t="s">
        <v>297</v>
      </c>
      <c r="AN227" t="s">
        <v>0</v>
      </c>
      <c r="AO227" t="s">
        <v>0</v>
      </c>
      <c r="AP227" t="s">
        <v>0</v>
      </c>
      <c r="AQ227" s="5">
        <v>10</v>
      </c>
      <c r="AR227" t="s">
        <v>11</v>
      </c>
      <c r="AS227" t="s">
        <v>0</v>
      </c>
      <c r="AT227" t="s">
        <v>17</v>
      </c>
      <c r="AU227" s="4">
        <v>0</v>
      </c>
      <c r="AV227" s="4">
        <v>0</v>
      </c>
      <c r="AW227" s="4">
        <v>0</v>
      </c>
      <c r="AX227" s="4">
        <v>0</v>
      </c>
      <c r="AY227" s="5">
        <v>0</v>
      </c>
      <c r="AZ227" s="5">
        <v>0</v>
      </c>
      <c r="BA227" s="5">
        <v>0</v>
      </c>
      <c r="BB227" s="2"/>
      <c r="BC227" t="s">
        <v>0</v>
      </c>
      <c r="BD227" s="5">
        <v>1</v>
      </c>
      <c r="BE227" t="s">
        <v>0</v>
      </c>
      <c r="BF227" t="s">
        <v>298</v>
      </c>
      <c r="BG227" t="s">
        <v>17</v>
      </c>
      <c r="BH227" t="s">
        <v>0</v>
      </c>
      <c r="BI227" t="s">
        <v>11</v>
      </c>
      <c r="BJ227" t="s">
        <v>0</v>
      </c>
      <c r="BK227" t="s">
        <v>0</v>
      </c>
      <c r="BL227" s="5">
        <v>0</v>
      </c>
      <c r="BM227" t="s">
        <v>0</v>
      </c>
      <c r="BN227" t="s">
        <v>0</v>
      </c>
      <c r="BO227" t="s">
        <v>0</v>
      </c>
      <c r="BP227" t="s">
        <v>17</v>
      </c>
      <c r="BQ227" t="s">
        <v>0</v>
      </c>
      <c r="BR227" t="s">
        <v>17</v>
      </c>
      <c r="BS227" t="s">
        <v>17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</row>
    <row r="228" spans="1:80" ht="13.95" customHeight="1" x14ac:dyDescent="0.25">
      <c r="A228" t="s">
        <v>308</v>
      </c>
      <c r="B228" s="2">
        <v>46034</v>
      </c>
      <c r="C228" s="2">
        <v>46034</v>
      </c>
      <c r="D228" s="2">
        <v>46065</v>
      </c>
      <c r="E228" t="s">
        <v>2</v>
      </c>
      <c r="F228" t="s">
        <v>3</v>
      </c>
      <c r="G228" t="s">
        <v>0</v>
      </c>
      <c r="H228" t="s">
        <v>4</v>
      </c>
      <c r="I228" t="s">
        <v>297</v>
      </c>
      <c r="J228" t="s">
        <v>6</v>
      </c>
      <c r="K228" t="s">
        <v>26</v>
      </c>
      <c r="L228" t="s">
        <v>70</v>
      </c>
      <c r="M228" t="s">
        <v>71</v>
      </c>
      <c r="N228" t="s">
        <v>10</v>
      </c>
      <c r="O228" t="s">
        <v>0</v>
      </c>
      <c r="P228" t="s">
        <v>11</v>
      </c>
      <c r="Q228" s="5">
        <v>10</v>
      </c>
      <c r="R228" s="4">
        <v>52000</v>
      </c>
      <c r="S228" s="5">
        <v>1</v>
      </c>
      <c r="T228" s="4">
        <v>520000</v>
      </c>
      <c r="U228" s="5">
        <v>0</v>
      </c>
      <c r="V228" s="4">
        <v>0</v>
      </c>
      <c r="W228" s="5">
        <v>0</v>
      </c>
      <c r="X228" s="4">
        <v>0</v>
      </c>
      <c r="Y228" s="4">
        <f t="shared" si="6"/>
        <v>520000</v>
      </c>
      <c r="Z228" s="6" t="s">
        <v>0</v>
      </c>
      <c r="AA228" t="s">
        <v>2</v>
      </c>
      <c r="AB228" t="s">
        <v>12</v>
      </c>
      <c r="AC228">
        <f>_xlfn.XLOOKUP(AB228,'[1]GST Codes'!$A:$A,'[1]GST Codes'!$C:$C,0,0)</f>
        <v>18</v>
      </c>
      <c r="AD228">
        <f t="shared" si="7"/>
        <v>613600</v>
      </c>
      <c r="AE228" t="s">
        <v>13</v>
      </c>
      <c r="AF228" t="s">
        <v>0</v>
      </c>
      <c r="AG228" t="s">
        <v>14</v>
      </c>
      <c r="AH228" t="s">
        <v>15</v>
      </c>
      <c r="AI228" t="s">
        <v>85</v>
      </c>
      <c r="AJ228" t="s">
        <v>17</v>
      </c>
      <c r="AK228" t="s">
        <v>18</v>
      </c>
      <c r="AL228" t="s">
        <v>19</v>
      </c>
      <c r="AM228" t="s">
        <v>297</v>
      </c>
      <c r="AN228" t="s">
        <v>0</v>
      </c>
      <c r="AO228" t="s">
        <v>0</v>
      </c>
      <c r="AP228" t="s">
        <v>0</v>
      </c>
      <c r="AQ228" s="5">
        <v>10</v>
      </c>
      <c r="AR228" t="s">
        <v>11</v>
      </c>
      <c r="AS228" t="s">
        <v>0</v>
      </c>
      <c r="AT228" t="s">
        <v>17</v>
      </c>
      <c r="AU228" s="4">
        <v>0</v>
      </c>
      <c r="AV228" s="4">
        <v>0</v>
      </c>
      <c r="AW228" s="4">
        <v>0</v>
      </c>
      <c r="AX228" s="4">
        <v>0</v>
      </c>
      <c r="AY228" s="5">
        <v>0</v>
      </c>
      <c r="AZ228" s="5">
        <v>0</v>
      </c>
      <c r="BA228" s="5">
        <v>0</v>
      </c>
      <c r="BB228" s="2"/>
      <c r="BC228" t="s">
        <v>0</v>
      </c>
      <c r="BD228" s="5">
        <v>1</v>
      </c>
      <c r="BE228" t="s">
        <v>0</v>
      </c>
      <c r="BF228" t="s">
        <v>298</v>
      </c>
      <c r="BG228" t="s">
        <v>17</v>
      </c>
      <c r="BH228" t="s">
        <v>0</v>
      </c>
      <c r="BI228" t="s">
        <v>11</v>
      </c>
      <c r="BJ228" t="s">
        <v>0</v>
      </c>
      <c r="BK228" t="s">
        <v>0</v>
      </c>
      <c r="BL228" s="5">
        <v>0</v>
      </c>
      <c r="BM228" t="s">
        <v>0</v>
      </c>
      <c r="BN228" t="s">
        <v>0</v>
      </c>
      <c r="BO228" t="s">
        <v>0</v>
      </c>
      <c r="BP228" t="s">
        <v>17</v>
      </c>
      <c r="BQ228" t="s">
        <v>0</v>
      </c>
      <c r="BR228" t="s">
        <v>17</v>
      </c>
      <c r="BS228" t="s">
        <v>17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</row>
    <row r="229" spans="1:80" ht="13.95" customHeight="1" x14ac:dyDescent="0.25">
      <c r="A229" t="s">
        <v>308</v>
      </c>
      <c r="B229" s="2">
        <v>46034</v>
      </c>
      <c r="C229" s="2">
        <v>46034</v>
      </c>
      <c r="D229" s="2">
        <v>46065</v>
      </c>
      <c r="E229" t="s">
        <v>2</v>
      </c>
      <c r="F229" t="s">
        <v>3</v>
      </c>
      <c r="G229" t="s">
        <v>0</v>
      </c>
      <c r="H229" t="s">
        <v>4</v>
      </c>
      <c r="I229" t="s">
        <v>297</v>
      </c>
      <c r="J229" t="s">
        <v>6</v>
      </c>
      <c r="K229" t="s">
        <v>30</v>
      </c>
      <c r="L229" t="s">
        <v>70</v>
      </c>
      <c r="M229" t="s">
        <v>71</v>
      </c>
      <c r="N229" t="s">
        <v>10</v>
      </c>
      <c r="O229" t="s">
        <v>0</v>
      </c>
      <c r="P229" t="s">
        <v>11</v>
      </c>
      <c r="Q229" s="5">
        <v>10</v>
      </c>
      <c r="R229" s="4">
        <v>52000</v>
      </c>
      <c r="S229" s="5">
        <v>1</v>
      </c>
      <c r="T229" s="4">
        <v>520000</v>
      </c>
      <c r="U229" s="5">
        <v>0</v>
      </c>
      <c r="V229" s="4">
        <v>0</v>
      </c>
      <c r="W229" s="5">
        <v>0</v>
      </c>
      <c r="X229" s="4">
        <v>0</v>
      </c>
      <c r="Y229" s="4">
        <f t="shared" si="6"/>
        <v>520000</v>
      </c>
      <c r="Z229" s="6" t="s">
        <v>0</v>
      </c>
      <c r="AA229" t="s">
        <v>2</v>
      </c>
      <c r="AB229" t="s">
        <v>12</v>
      </c>
      <c r="AC229">
        <f>_xlfn.XLOOKUP(AB229,'[1]GST Codes'!$A:$A,'[1]GST Codes'!$C:$C,0,0)</f>
        <v>18</v>
      </c>
      <c r="AD229">
        <f t="shared" si="7"/>
        <v>613600</v>
      </c>
      <c r="AE229" t="s">
        <v>13</v>
      </c>
      <c r="AF229" t="s">
        <v>0</v>
      </c>
      <c r="AG229" t="s">
        <v>14</v>
      </c>
      <c r="AH229" t="s">
        <v>15</v>
      </c>
      <c r="AI229" t="s">
        <v>85</v>
      </c>
      <c r="AJ229" t="s">
        <v>17</v>
      </c>
      <c r="AK229" t="s">
        <v>18</v>
      </c>
      <c r="AL229" t="s">
        <v>19</v>
      </c>
      <c r="AM229" t="s">
        <v>297</v>
      </c>
      <c r="AN229" t="s">
        <v>0</v>
      </c>
      <c r="AO229" t="s">
        <v>0</v>
      </c>
      <c r="AP229" t="s">
        <v>0</v>
      </c>
      <c r="AQ229" s="5">
        <v>10</v>
      </c>
      <c r="AR229" t="s">
        <v>11</v>
      </c>
      <c r="AS229" t="s">
        <v>0</v>
      </c>
      <c r="AT229" t="s">
        <v>17</v>
      </c>
      <c r="AU229" s="4">
        <v>0</v>
      </c>
      <c r="AV229" s="4">
        <v>0</v>
      </c>
      <c r="AW229" s="4">
        <v>0</v>
      </c>
      <c r="AX229" s="4">
        <v>0</v>
      </c>
      <c r="AY229" s="5">
        <v>0</v>
      </c>
      <c r="AZ229" s="5">
        <v>0</v>
      </c>
      <c r="BA229" s="5">
        <v>0</v>
      </c>
      <c r="BB229" s="2"/>
      <c r="BC229" t="s">
        <v>0</v>
      </c>
      <c r="BD229" s="5">
        <v>1</v>
      </c>
      <c r="BE229" t="s">
        <v>0</v>
      </c>
      <c r="BF229" t="s">
        <v>298</v>
      </c>
      <c r="BG229" t="s">
        <v>17</v>
      </c>
      <c r="BH229" t="s">
        <v>0</v>
      </c>
      <c r="BI229" t="s">
        <v>11</v>
      </c>
      <c r="BJ229" t="s">
        <v>0</v>
      </c>
      <c r="BK229" t="s">
        <v>0</v>
      </c>
      <c r="BL229" s="5">
        <v>0</v>
      </c>
      <c r="BM229" t="s">
        <v>0</v>
      </c>
      <c r="BN229" t="s">
        <v>0</v>
      </c>
      <c r="BO229" t="s">
        <v>0</v>
      </c>
      <c r="BP229" t="s">
        <v>17</v>
      </c>
      <c r="BQ229" t="s">
        <v>0</v>
      </c>
      <c r="BR229" t="s">
        <v>17</v>
      </c>
      <c r="BS229" t="s">
        <v>17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</row>
    <row r="230" spans="1:80" ht="13.95" customHeight="1" x14ac:dyDescent="0.25">
      <c r="A230" t="s">
        <v>308</v>
      </c>
      <c r="B230" s="2">
        <v>46034</v>
      </c>
      <c r="C230" s="2">
        <v>46034</v>
      </c>
      <c r="D230" s="2">
        <v>46065</v>
      </c>
      <c r="E230" t="s">
        <v>2</v>
      </c>
      <c r="F230" t="s">
        <v>3</v>
      </c>
      <c r="G230" t="s">
        <v>0</v>
      </c>
      <c r="H230" t="s">
        <v>4</v>
      </c>
      <c r="I230" t="s">
        <v>297</v>
      </c>
      <c r="J230" t="s">
        <v>6</v>
      </c>
      <c r="K230" t="s">
        <v>34</v>
      </c>
      <c r="L230" t="s">
        <v>70</v>
      </c>
      <c r="M230" t="s">
        <v>71</v>
      </c>
      <c r="N230" t="s">
        <v>10</v>
      </c>
      <c r="O230" t="s">
        <v>0</v>
      </c>
      <c r="P230" t="s">
        <v>11</v>
      </c>
      <c r="Q230" s="5">
        <v>10</v>
      </c>
      <c r="R230" s="4">
        <v>52000</v>
      </c>
      <c r="S230" s="5">
        <v>1</v>
      </c>
      <c r="T230" s="4">
        <v>520000</v>
      </c>
      <c r="U230" s="5">
        <v>0</v>
      </c>
      <c r="V230" s="4">
        <v>0</v>
      </c>
      <c r="W230" s="5">
        <v>0</v>
      </c>
      <c r="X230" s="4">
        <v>0</v>
      </c>
      <c r="Y230" s="4">
        <f t="shared" si="6"/>
        <v>520000</v>
      </c>
      <c r="Z230" s="6" t="s">
        <v>0</v>
      </c>
      <c r="AA230" t="s">
        <v>2</v>
      </c>
      <c r="AB230" t="s">
        <v>12</v>
      </c>
      <c r="AC230">
        <f>_xlfn.XLOOKUP(AB230,'[1]GST Codes'!$A:$A,'[1]GST Codes'!$C:$C,0,0)</f>
        <v>18</v>
      </c>
      <c r="AD230">
        <f t="shared" si="7"/>
        <v>613600</v>
      </c>
      <c r="AE230" t="s">
        <v>13</v>
      </c>
      <c r="AF230" t="s">
        <v>0</v>
      </c>
      <c r="AG230" t="s">
        <v>14</v>
      </c>
      <c r="AH230" t="s">
        <v>15</v>
      </c>
      <c r="AI230" t="s">
        <v>85</v>
      </c>
      <c r="AJ230" t="s">
        <v>17</v>
      </c>
      <c r="AK230" t="s">
        <v>18</v>
      </c>
      <c r="AL230" t="s">
        <v>19</v>
      </c>
      <c r="AM230" t="s">
        <v>297</v>
      </c>
      <c r="AN230" t="s">
        <v>0</v>
      </c>
      <c r="AO230" t="s">
        <v>0</v>
      </c>
      <c r="AP230" t="s">
        <v>0</v>
      </c>
      <c r="AQ230" s="5">
        <v>10</v>
      </c>
      <c r="AR230" t="s">
        <v>11</v>
      </c>
      <c r="AS230" t="s">
        <v>0</v>
      </c>
      <c r="AT230" t="s">
        <v>17</v>
      </c>
      <c r="AU230" s="4">
        <v>0</v>
      </c>
      <c r="AV230" s="4">
        <v>0</v>
      </c>
      <c r="AW230" s="4">
        <v>0</v>
      </c>
      <c r="AX230" s="4">
        <v>0</v>
      </c>
      <c r="AY230" s="5">
        <v>0</v>
      </c>
      <c r="AZ230" s="5">
        <v>0</v>
      </c>
      <c r="BA230" s="5">
        <v>0</v>
      </c>
      <c r="BB230" s="2"/>
      <c r="BC230" t="s">
        <v>0</v>
      </c>
      <c r="BD230" s="5">
        <v>1</v>
      </c>
      <c r="BE230" t="s">
        <v>0</v>
      </c>
      <c r="BF230" t="s">
        <v>298</v>
      </c>
      <c r="BG230" t="s">
        <v>17</v>
      </c>
      <c r="BH230" t="s">
        <v>0</v>
      </c>
      <c r="BI230" t="s">
        <v>11</v>
      </c>
      <c r="BJ230" t="s">
        <v>0</v>
      </c>
      <c r="BK230" t="s">
        <v>0</v>
      </c>
      <c r="BL230" s="5">
        <v>0</v>
      </c>
      <c r="BM230" t="s">
        <v>0</v>
      </c>
      <c r="BN230" t="s">
        <v>0</v>
      </c>
      <c r="BO230" t="s">
        <v>0</v>
      </c>
      <c r="BP230" t="s">
        <v>17</v>
      </c>
      <c r="BQ230" t="s">
        <v>0</v>
      </c>
      <c r="BR230" t="s">
        <v>17</v>
      </c>
      <c r="BS230" t="s">
        <v>17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</row>
    <row r="231" spans="1:80" ht="13.95" customHeight="1" x14ac:dyDescent="0.25">
      <c r="A231" t="s">
        <v>308</v>
      </c>
      <c r="B231" s="2">
        <v>46034</v>
      </c>
      <c r="C231" s="2">
        <v>46034</v>
      </c>
      <c r="D231" s="2">
        <v>46065</v>
      </c>
      <c r="E231" t="s">
        <v>2</v>
      </c>
      <c r="F231" t="s">
        <v>3</v>
      </c>
      <c r="G231" t="s">
        <v>0</v>
      </c>
      <c r="H231" t="s">
        <v>4</v>
      </c>
      <c r="I231" t="s">
        <v>297</v>
      </c>
      <c r="J231" t="s">
        <v>6</v>
      </c>
      <c r="K231" t="s">
        <v>38</v>
      </c>
      <c r="L231" t="s">
        <v>70</v>
      </c>
      <c r="M231" t="s">
        <v>71</v>
      </c>
      <c r="N231" t="s">
        <v>10</v>
      </c>
      <c r="O231" t="s">
        <v>0</v>
      </c>
      <c r="P231" t="s">
        <v>11</v>
      </c>
      <c r="Q231" s="5">
        <v>10</v>
      </c>
      <c r="R231" s="4">
        <v>52000</v>
      </c>
      <c r="S231" s="5">
        <v>1</v>
      </c>
      <c r="T231" s="4">
        <v>520000</v>
      </c>
      <c r="U231" s="5">
        <v>0</v>
      </c>
      <c r="V231" s="4">
        <v>0</v>
      </c>
      <c r="W231" s="5">
        <v>0</v>
      </c>
      <c r="X231" s="4">
        <v>0</v>
      </c>
      <c r="Y231" s="4">
        <f t="shared" si="6"/>
        <v>520000</v>
      </c>
      <c r="Z231" s="6" t="s">
        <v>0</v>
      </c>
      <c r="AA231" t="s">
        <v>2</v>
      </c>
      <c r="AB231" t="s">
        <v>12</v>
      </c>
      <c r="AC231">
        <f>_xlfn.XLOOKUP(AB231,'[1]GST Codes'!$A:$A,'[1]GST Codes'!$C:$C,0,0)</f>
        <v>18</v>
      </c>
      <c r="AD231">
        <f t="shared" si="7"/>
        <v>613600</v>
      </c>
      <c r="AE231" t="s">
        <v>13</v>
      </c>
      <c r="AF231" t="s">
        <v>0</v>
      </c>
      <c r="AG231" t="s">
        <v>14</v>
      </c>
      <c r="AH231" t="s">
        <v>15</v>
      </c>
      <c r="AI231" t="s">
        <v>85</v>
      </c>
      <c r="AJ231" t="s">
        <v>17</v>
      </c>
      <c r="AK231" t="s">
        <v>18</v>
      </c>
      <c r="AL231" t="s">
        <v>19</v>
      </c>
      <c r="AM231" t="s">
        <v>297</v>
      </c>
      <c r="AN231" t="s">
        <v>0</v>
      </c>
      <c r="AO231" t="s">
        <v>0</v>
      </c>
      <c r="AP231" t="s">
        <v>0</v>
      </c>
      <c r="AQ231" s="5">
        <v>10</v>
      </c>
      <c r="AR231" t="s">
        <v>11</v>
      </c>
      <c r="AS231" t="s">
        <v>0</v>
      </c>
      <c r="AT231" t="s">
        <v>17</v>
      </c>
      <c r="AU231" s="4">
        <v>0</v>
      </c>
      <c r="AV231" s="4">
        <v>0</v>
      </c>
      <c r="AW231" s="4">
        <v>0</v>
      </c>
      <c r="AX231" s="4">
        <v>0</v>
      </c>
      <c r="AY231" s="5">
        <v>0</v>
      </c>
      <c r="AZ231" s="5">
        <v>0</v>
      </c>
      <c r="BA231" s="5">
        <v>0</v>
      </c>
      <c r="BB231" s="2"/>
      <c r="BC231" t="s">
        <v>0</v>
      </c>
      <c r="BD231" s="5">
        <v>1</v>
      </c>
      <c r="BE231" t="s">
        <v>0</v>
      </c>
      <c r="BF231" t="s">
        <v>298</v>
      </c>
      <c r="BG231" t="s">
        <v>17</v>
      </c>
      <c r="BH231" t="s">
        <v>0</v>
      </c>
      <c r="BI231" t="s">
        <v>11</v>
      </c>
      <c r="BJ231" t="s">
        <v>0</v>
      </c>
      <c r="BK231" t="s">
        <v>0</v>
      </c>
      <c r="BL231" s="5">
        <v>0</v>
      </c>
      <c r="BM231" t="s">
        <v>0</v>
      </c>
      <c r="BN231" t="s">
        <v>0</v>
      </c>
      <c r="BO231" t="s">
        <v>0</v>
      </c>
      <c r="BP231" t="s">
        <v>17</v>
      </c>
      <c r="BQ231" t="s">
        <v>0</v>
      </c>
      <c r="BR231" t="s">
        <v>17</v>
      </c>
      <c r="BS231" t="s">
        <v>17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</row>
    <row r="232" spans="1:80" ht="13.95" customHeight="1" x14ac:dyDescent="0.25">
      <c r="A232" t="s">
        <v>308</v>
      </c>
      <c r="B232" s="2">
        <v>46034</v>
      </c>
      <c r="C232" s="2">
        <v>46034</v>
      </c>
      <c r="D232" s="2">
        <v>46065</v>
      </c>
      <c r="E232" t="s">
        <v>2</v>
      </c>
      <c r="F232" t="s">
        <v>3</v>
      </c>
      <c r="G232" t="s">
        <v>0</v>
      </c>
      <c r="H232" t="s">
        <v>4</v>
      </c>
      <c r="I232" t="s">
        <v>297</v>
      </c>
      <c r="J232" t="s">
        <v>6</v>
      </c>
      <c r="K232" t="s">
        <v>42</v>
      </c>
      <c r="L232" t="s">
        <v>35</v>
      </c>
      <c r="M232" t="s">
        <v>36</v>
      </c>
      <c r="N232" t="s">
        <v>10</v>
      </c>
      <c r="O232" t="s">
        <v>0</v>
      </c>
      <c r="P232" t="s">
        <v>11</v>
      </c>
      <c r="Q232" s="5">
        <v>10</v>
      </c>
      <c r="R232" s="4">
        <v>51000</v>
      </c>
      <c r="S232" s="5">
        <v>1</v>
      </c>
      <c r="T232" s="4">
        <v>510000</v>
      </c>
      <c r="U232" s="5">
        <v>0</v>
      </c>
      <c r="V232" s="4">
        <v>0</v>
      </c>
      <c r="W232" s="5">
        <v>0</v>
      </c>
      <c r="X232" s="4">
        <v>0</v>
      </c>
      <c r="Y232" s="4">
        <f t="shared" si="6"/>
        <v>510000</v>
      </c>
      <c r="Z232" s="6" t="s">
        <v>0</v>
      </c>
      <c r="AA232" t="s">
        <v>2</v>
      </c>
      <c r="AB232" t="s">
        <v>12</v>
      </c>
      <c r="AC232">
        <f>_xlfn.XLOOKUP(AB232,'[1]GST Codes'!$A:$A,'[1]GST Codes'!$C:$C,0,0)</f>
        <v>18</v>
      </c>
      <c r="AD232">
        <f t="shared" si="7"/>
        <v>601800</v>
      </c>
      <c r="AE232" t="s">
        <v>13</v>
      </c>
      <c r="AF232" t="s">
        <v>0</v>
      </c>
      <c r="AG232" t="s">
        <v>14</v>
      </c>
      <c r="AH232" t="s">
        <v>15</v>
      </c>
      <c r="AI232" t="s">
        <v>85</v>
      </c>
      <c r="AJ232" t="s">
        <v>17</v>
      </c>
      <c r="AK232" t="s">
        <v>18</v>
      </c>
      <c r="AL232" t="s">
        <v>19</v>
      </c>
      <c r="AM232" t="s">
        <v>297</v>
      </c>
      <c r="AN232" t="s">
        <v>0</v>
      </c>
      <c r="AO232" t="s">
        <v>0</v>
      </c>
      <c r="AP232" t="s">
        <v>0</v>
      </c>
      <c r="AQ232" s="5">
        <v>10</v>
      </c>
      <c r="AR232" t="s">
        <v>11</v>
      </c>
      <c r="AS232" t="s">
        <v>0</v>
      </c>
      <c r="AT232" t="s">
        <v>17</v>
      </c>
      <c r="AU232" s="4">
        <v>0</v>
      </c>
      <c r="AV232" s="4">
        <v>0</v>
      </c>
      <c r="AW232" s="4">
        <v>0</v>
      </c>
      <c r="AX232" s="4">
        <v>0</v>
      </c>
      <c r="AY232" s="5">
        <v>0</v>
      </c>
      <c r="AZ232" s="5">
        <v>0</v>
      </c>
      <c r="BA232" s="5">
        <v>0</v>
      </c>
      <c r="BB232" s="2"/>
      <c r="BC232" t="s">
        <v>0</v>
      </c>
      <c r="BD232" s="5">
        <v>1</v>
      </c>
      <c r="BE232" t="s">
        <v>0</v>
      </c>
      <c r="BF232" t="s">
        <v>300</v>
      </c>
      <c r="BG232" t="s">
        <v>17</v>
      </c>
      <c r="BH232" t="s">
        <v>0</v>
      </c>
      <c r="BI232" t="s">
        <v>11</v>
      </c>
      <c r="BJ232" t="s">
        <v>0</v>
      </c>
      <c r="BK232" t="s">
        <v>0</v>
      </c>
      <c r="BL232" s="5">
        <v>0</v>
      </c>
      <c r="BM232" t="s">
        <v>0</v>
      </c>
      <c r="BN232" t="s">
        <v>0</v>
      </c>
      <c r="BO232" t="s">
        <v>0</v>
      </c>
      <c r="BP232" t="s">
        <v>17</v>
      </c>
      <c r="BQ232" t="s">
        <v>0</v>
      </c>
      <c r="BR232" t="s">
        <v>17</v>
      </c>
      <c r="BS232" t="s">
        <v>17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</row>
    <row r="233" spans="1:80" ht="13.95" customHeight="1" x14ac:dyDescent="0.25">
      <c r="A233" t="s">
        <v>308</v>
      </c>
      <c r="B233" s="2">
        <v>46034</v>
      </c>
      <c r="C233" s="2">
        <v>46034</v>
      </c>
      <c r="D233" s="2">
        <v>46065</v>
      </c>
      <c r="E233" t="s">
        <v>2</v>
      </c>
      <c r="F233" t="s">
        <v>3</v>
      </c>
      <c r="G233" t="s">
        <v>0</v>
      </c>
      <c r="H233" t="s">
        <v>4</v>
      </c>
      <c r="I233" t="s">
        <v>297</v>
      </c>
      <c r="J233" t="s">
        <v>6</v>
      </c>
      <c r="K233" t="s">
        <v>86</v>
      </c>
      <c r="L233" t="s">
        <v>35</v>
      </c>
      <c r="M233" t="s">
        <v>36</v>
      </c>
      <c r="N233" t="s">
        <v>10</v>
      </c>
      <c r="O233" t="s">
        <v>0</v>
      </c>
      <c r="P233" t="s">
        <v>11</v>
      </c>
      <c r="Q233" s="5">
        <v>8</v>
      </c>
      <c r="R233" s="4">
        <v>51000</v>
      </c>
      <c r="S233" s="5">
        <v>1</v>
      </c>
      <c r="T233" s="4">
        <v>408000</v>
      </c>
      <c r="U233" s="3">
        <v>0.65</v>
      </c>
      <c r="V233" s="4">
        <v>33150</v>
      </c>
      <c r="W233" s="3">
        <v>0.65</v>
      </c>
      <c r="X233" s="4">
        <v>33150</v>
      </c>
      <c r="Y233" s="4">
        <f t="shared" si="6"/>
        <v>374850</v>
      </c>
      <c r="Z233" s="6" t="s">
        <v>0</v>
      </c>
      <c r="AA233" t="s">
        <v>2</v>
      </c>
      <c r="AB233" t="s">
        <v>12</v>
      </c>
      <c r="AC233">
        <f>_xlfn.XLOOKUP(AB233,'[1]GST Codes'!$A:$A,'[1]GST Codes'!$C:$C,0,0)</f>
        <v>18</v>
      </c>
      <c r="AD233">
        <f t="shared" si="7"/>
        <v>442323</v>
      </c>
      <c r="AE233" t="s">
        <v>13</v>
      </c>
      <c r="AF233" t="s">
        <v>0</v>
      </c>
      <c r="AG233" t="s">
        <v>14</v>
      </c>
      <c r="AH233" t="s">
        <v>15</v>
      </c>
      <c r="AI233" t="s">
        <v>85</v>
      </c>
      <c r="AJ233" t="s">
        <v>17</v>
      </c>
      <c r="AK233" t="s">
        <v>18</v>
      </c>
      <c r="AL233" t="s">
        <v>19</v>
      </c>
      <c r="AM233" t="s">
        <v>297</v>
      </c>
      <c r="AN233" t="s">
        <v>0</v>
      </c>
      <c r="AO233" t="s">
        <v>0</v>
      </c>
      <c r="AP233" t="s">
        <v>0</v>
      </c>
      <c r="AQ233" s="5">
        <v>8</v>
      </c>
      <c r="AR233" t="s">
        <v>11</v>
      </c>
      <c r="AS233" t="s">
        <v>0</v>
      </c>
      <c r="AT233" t="s">
        <v>17</v>
      </c>
      <c r="AU233" s="4">
        <v>0</v>
      </c>
      <c r="AV233" s="4">
        <v>0</v>
      </c>
      <c r="AW233" s="4">
        <v>0</v>
      </c>
      <c r="AX233" s="4">
        <v>0</v>
      </c>
      <c r="AY233" s="5">
        <v>0</v>
      </c>
      <c r="AZ233" s="5">
        <v>0</v>
      </c>
      <c r="BA233" s="5">
        <v>0</v>
      </c>
      <c r="BB233" s="2"/>
      <c r="BC233" t="s">
        <v>0</v>
      </c>
      <c r="BD233" s="5">
        <v>1</v>
      </c>
      <c r="BE233" t="s">
        <v>0</v>
      </c>
      <c r="BF233" t="s">
        <v>300</v>
      </c>
      <c r="BG233" t="s">
        <v>17</v>
      </c>
      <c r="BH233" t="s">
        <v>0</v>
      </c>
      <c r="BI233" t="s">
        <v>11</v>
      </c>
      <c r="BJ233" t="s">
        <v>0</v>
      </c>
      <c r="BK233" t="s">
        <v>0</v>
      </c>
      <c r="BL233" s="5">
        <v>0</v>
      </c>
      <c r="BM233" t="s">
        <v>0</v>
      </c>
      <c r="BN233" t="s">
        <v>0</v>
      </c>
      <c r="BO233" t="s">
        <v>0</v>
      </c>
      <c r="BP233" t="s">
        <v>17</v>
      </c>
      <c r="BQ233" t="s">
        <v>0</v>
      </c>
      <c r="BR233" t="s">
        <v>17</v>
      </c>
      <c r="BS233" t="s">
        <v>17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</row>
    <row r="234" spans="1:80" x14ac:dyDescent="0.25">
      <c r="A234" t="s">
        <v>308</v>
      </c>
      <c r="B234" s="2">
        <v>46034</v>
      </c>
      <c r="C234" s="2">
        <v>46034</v>
      </c>
      <c r="D234" s="2">
        <v>46065</v>
      </c>
      <c r="E234" t="s">
        <v>2</v>
      </c>
      <c r="F234" t="s">
        <v>3</v>
      </c>
      <c r="G234" t="s">
        <v>98</v>
      </c>
      <c r="H234" t="s">
        <v>4</v>
      </c>
      <c r="I234" t="s">
        <v>297</v>
      </c>
      <c r="J234" t="s">
        <v>6</v>
      </c>
      <c r="K234" t="s">
        <v>87</v>
      </c>
      <c r="L234" t="s">
        <v>35</v>
      </c>
      <c r="M234" t="s">
        <v>36</v>
      </c>
      <c r="N234" t="s">
        <v>10</v>
      </c>
      <c r="O234" t="s">
        <v>0</v>
      </c>
      <c r="P234" t="s">
        <v>11</v>
      </c>
      <c r="Q234" s="5">
        <v>10</v>
      </c>
      <c r="R234" s="4">
        <v>51000</v>
      </c>
      <c r="S234" s="5">
        <v>1</v>
      </c>
      <c r="T234" s="4">
        <v>510000</v>
      </c>
      <c r="U234" s="5">
        <v>0</v>
      </c>
      <c r="V234" s="4">
        <v>0</v>
      </c>
      <c r="W234" s="5">
        <v>0</v>
      </c>
      <c r="X234" s="4">
        <v>0</v>
      </c>
      <c r="Y234" s="4">
        <f t="shared" si="6"/>
        <v>510000</v>
      </c>
      <c r="Z234" t="s">
        <v>0</v>
      </c>
      <c r="AA234" t="s">
        <v>2</v>
      </c>
      <c r="AB234" t="s">
        <v>12</v>
      </c>
      <c r="AC234">
        <f>_xlfn.XLOOKUP(AB234,'[1]GST Codes'!$A:$A,'[1]GST Codes'!$C:$C,0,0)</f>
        <v>18</v>
      </c>
      <c r="AD234">
        <f t="shared" si="7"/>
        <v>601800</v>
      </c>
      <c r="AE234" t="s">
        <v>13</v>
      </c>
      <c r="AF234" t="s">
        <v>0</v>
      </c>
      <c r="AG234" t="s">
        <v>14</v>
      </c>
      <c r="AH234" t="s">
        <v>15</v>
      </c>
      <c r="AI234" t="s">
        <v>85</v>
      </c>
      <c r="AJ234" t="s">
        <v>17</v>
      </c>
      <c r="AK234" t="s">
        <v>18</v>
      </c>
      <c r="AL234" t="s">
        <v>19</v>
      </c>
      <c r="AM234" t="s">
        <v>297</v>
      </c>
      <c r="AN234" t="s">
        <v>0</v>
      </c>
      <c r="AO234" t="s">
        <v>0</v>
      </c>
      <c r="AP234" t="s">
        <v>0</v>
      </c>
      <c r="AQ234" s="5">
        <v>10</v>
      </c>
      <c r="AR234" t="s">
        <v>11</v>
      </c>
      <c r="AS234" t="s">
        <v>0</v>
      </c>
      <c r="AT234" t="s">
        <v>17</v>
      </c>
      <c r="AU234" s="4">
        <v>0</v>
      </c>
      <c r="AV234" s="4">
        <v>0</v>
      </c>
      <c r="AW234" s="4">
        <v>0</v>
      </c>
      <c r="AX234" s="4">
        <v>0</v>
      </c>
      <c r="AY234" s="5">
        <v>0</v>
      </c>
      <c r="AZ234" s="5">
        <v>0</v>
      </c>
      <c r="BA234" s="5">
        <v>0</v>
      </c>
      <c r="BB234" s="2"/>
      <c r="BC234" t="s">
        <v>0</v>
      </c>
      <c r="BD234" s="5">
        <v>1</v>
      </c>
      <c r="BE234" t="s">
        <v>0</v>
      </c>
      <c r="BF234" t="s">
        <v>300</v>
      </c>
      <c r="BG234" t="s">
        <v>17</v>
      </c>
      <c r="BH234" t="s">
        <v>0</v>
      </c>
      <c r="BI234" t="s">
        <v>11</v>
      </c>
      <c r="BJ234" t="s">
        <v>0</v>
      </c>
      <c r="BK234" t="s">
        <v>0</v>
      </c>
      <c r="BL234" s="5">
        <v>0</v>
      </c>
      <c r="BM234" t="s">
        <v>0</v>
      </c>
      <c r="BN234" t="s">
        <v>0</v>
      </c>
      <c r="BO234" t="s">
        <v>0</v>
      </c>
      <c r="BP234" t="s">
        <v>17</v>
      </c>
      <c r="BQ234" t="s">
        <v>0</v>
      </c>
      <c r="BR234" t="s">
        <v>17</v>
      </c>
      <c r="BS234" t="s">
        <v>17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</row>
    <row r="235" spans="1:80" x14ac:dyDescent="0.25">
      <c r="A235" t="s">
        <v>308</v>
      </c>
      <c r="B235" s="2">
        <v>46034</v>
      </c>
      <c r="C235" s="2">
        <v>46034</v>
      </c>
      <c r="D235" s="2">
        <v>46065</v>
      </c>
      <c r="E235" t="s">
        <v>2</v>
      </c>
      <c r="F235" t="s">
        <v>3</v>
      </c>
      <c r="G235" t="s">
        <v>98</v>
      </c>
      <c r="H235" t="s">
        <v>4</v>
      </c>
      <c r="I235" t="s">
        <v>297</v>
      </c>
      <c r="J235" t="s">
        <v>6</v>
      </c>
      <c r="K235" t="s">
        <v>88</v>
      </c>
      <c r="L235" t="s">
        <v>35</v>
      </c>
      <c r="M235" t="s">
        <v>36</v>
      </c>
      <c r="N235" t="s">
        <v>10</v>
      </c>
      <c r="O235" t="s">
        <v>0</v>
      </c>
      <c r="P235" t="s">
        <v>11</v>
      </c>
      <c r="Q235" s="5">
        <v>10</v>
      </c>
      <c r="R235" s="4">
        <v>51000</v>
      </c>
      <c r="S235" s="5">
        <v>1</v>
      </c>
      <c r="T235" s="4">
        <v>510000</v>
      </c>
      <c r="U235" s="5">
        <v>0</v>
      </c>
      <c r="V235" s="4">
        <v>0</v>
      </c>
      <c r="W235" s="5">
        <v>0</v>
      </c>
      <c r="X235" s="4">
        <v>0</v>
      </c>
      <c r="Y235" s="4">
        <f t="shared" si="6"/>
        <v>510000</v>
      </c>
      <c r="Z235" t="s">
        <v>0</v>
      </c>
      <c r="AA235" t="s">
        <v>2</v>
      </c>
      <c r="AB235" t="s">
        <v>12</v>
      </c>
      <c r="AC235">
        <f>_xlfn.XLOOKUP(AB235,'[1]GST Codes'!$A:$A,'[1]GST Codes'!$C:$C,0,0)</f>
        <v>18</v>
      </c>
      <c r="AD235">
        <f t="shared" si="7"/>
        <v>601800</v>
      </c>
      <c r="AE235" t="s">
        <v>13</v>
      </c>
      <c r="AF235" t="s">
        <v>0</v>
      </c>
      <c r="AG235" t="s">
        <v>14</v>
      </c>
      <c r="AH235" t="s">
        <v>15</v>
      </c>
      <c r="AI235" t="s">
        <v>85</v>
      </c>
      <c r="AJ235" t="s">
        <v>17</v>
      </c>
      <c r="AK235" t="s">
        <v>18</v>
      </c>
      <c r="AL235" t="s">
        <v>19</v>
      </c>
      <c r="AM235" t="s">
        <v>297</v>
      </c>
      <c r="AN235" t="s">
        <v>0</v>
      </c>
      <c r="AO235" t="s">
        <v>0</v>
      </c>
      <c r="AP235" t="s">
        <v>0</v>
      </c>
      <c r="AQ235" s="5">
        <v>10</v>
      </c>
      <c r="AR235" t="s">
        <v>11</v>
      </c>
      <c r="AS235" t="s">
        <v>0</v>
      </c>
      <c r="AT235" t="s">
        <v>17</v>
      </c>
      <c r="AU235" s="4">
        <v>0</v>
      </c>
      <c r="AV235" s="4">
        <v>0</v>
      </c>
      <c r="AW235" s="4">
        <v>0</v>
      </c>
      <c r="AX235" s="4">
        <v>0</v>
      </c>
      <c r="AY235" s="5">
        <v>0</v>
      </c>
      <c r="AZ235" s="5">
        <v>0</v>
      </c>
      <c r="BA235" s="5">
        <v>0</v>
      </c>
      <c r="BB235" s="2"/>
      <c r="BC235" t="s">
        <v>0</v>
      </c>
      <c r="BD235" s="5">
        <v>1</v>
      </c>
      <c r="BE235" t="s">
        <v>0</v>
      </c>
      <c r="BF235" t="s">
        <v>300</v>
      </c>
      <c r="BG235" t="s">
        <v>17</v>
      </c>
      <c r="BH235" t="s">
        <v>0</v>
      </c>
      <c r="BI235" t="s">
        <v>11</v>
      </c>
      <c r="BJ235" t="s">
        <v>0</v>
      </c>
      <c r="BK235" t="s">
        <v>0</v>
      </c>
      <c r="BL235" s="5">
        <v>0</v>
      </c>
      <c r="BM235" t="s">
        <v>0</v>
      </c>
      <c r="BN235" t="s">
        <v>0</v>
      </c>
      <c r="BO235" t="s">
        <v>0</v>
      </c>
      <c r="BP235" t="s">
        <v>17</v>
      </c>
      <c r="BQ235" t="s">
        <v>0</v>
      </c>
      <c r="BR235" t="s">
        <v>17</v>
      </c>
      <c r="BS235" t="s">
        <v>17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</row>
    <row r="236" spans="1:80" x14ac:dyDescent="0.25">
      <c r="A236" t="s">
        <v>308</v>
      </c>
      <c r="B236" s="2">
        <v>46034</v>
      </c>
      <c r="C236" s="2">
        <v>46034</v>
      </c>
      <c r="D236" s="2">
        <v>46065</v>
      </c>
      <c r="E236" t="s">
        <v>2</v>
      </c>
      <c r="F236" t="s">
        <v>3</v>
      </c>
      <c r="G236" t="s">
        <v>98</v>
      </c>
      <c r="H236" t="s">
        <v>4</v>
      </c>
      <c r="I236" t="s">
        <v>297</v>
      </c>
      <c r="J236" t="s">
        <v>6</v>
      </c>
      <c r="K236" t="s">
        <v>89</v>
      </c>
      <c r="L236" t="s">
        <v>35</v>
      </c>
      <c r="M236" t="s">
        <v>36</v>
      </c>
      <c r="N236" t="s">
        <v>10</v>
      </c>
      <c r="O236" t="s">
        <v>0</v>
      </c>
      <c r="P236" t="s">
        <v>11</v>
      </c>
      <c r="Q236" s="5">
        <v>10</v>
      </c>
      <c r="R236" s="4">
        <v>51000</v>
      </c>
      <c r="S236" s="5">
        <v>1</v>
      </c>
      <c r="T236" s="4">
        <v>510000</v>
      </c>
      <c r="U236" s="5">
        <v>0</v>
      </c>
      <c r="V236" s="4">
        <v>0</v>
      </c>
      <c r="W236" s="5">
        <v>0</v>
      </c>
      <c r="X236" s="4">
        <v>0</v>
      </c>
      <c r="Y236" s="4">
        <f t="shared" si="6"/>
        <v>510000</v>
      </c>
      <c r="Z236" t="s">
        <v>0</v>
      </c>
      <c r="AA236" t="s">
        <v>2</v>
      </c>
      <c r="AB236" t="s">
        <v>12</v>
      </c>
      <c r="AC236">
        <f>_xlfn.XLOOKUP(AB236,'[1]GST Codes'!$A:$A,'[1]GST Codes'!$C:$C,0,0)</f>
        <v>18</v>
      </c>
      <c r="AD236">
        <f t="shared" si="7"/>
        <v>601800</v>
      </c>
      <c r="AE236" t="s">
        <v>13</v>
      </c>
      <c r="AF236" t="s">
        <v>0</v>
      </c>
      <c r="AG236" t="s">
        <v>14</v>
      </c>
      <c r="AH236" t="s">
        <v>15</v>
      </c>
      <c r="AI236" t="s">
        <v>85</v>
      </c>
      <c r="AJ236" t="s">
        <v>17</v>
      </c>
      <c r="AK236" t="s">
        <v>18</v>
      </c>
      <c r="AL236" t="s">
        <v>19</v>
      </c>
      <c r="AM236" t="s">
        <v>297</v>
      </c>
      <c r="AN236" t="s">
        <v>0</v>
      </c>
      <c r="AO236" t="s">
        <v>0</v>
      </c>
      <c r="AP236" t="s">
        <v>0</v>
      </c>
      <c r="AQ236" s="5">
        <v>10</v>
      </c>
      <c r="AR236" t="s">
        <v>11</v>
      </c>
      <c r="AS236" t="s">
        <v>0</v>
      </c>
      <c r="AT236" t="s">
        <v>17</v>
      </c>
      <c r="AU236" s="4">
        <v>0</v>
      </c>
      <c r="AV236" s="4">
        <v>0</v>
      </c>
      <c r="AW236" s="4">
        <v>0</v>
      </c>
      <c r="AX236" s="4">
        <v>0</v>
      </c>
      <c r="AY236" s="5">
        <v>0</v>
      </c>
      <c r="AZ236" s="5">
        <v>0</v>
      </c>
      <c r="BA236" s="5">
        <v>0</v>
      </c>
      <c r="BB236" s="2"/>
      <c r="BC236" t="s">
        <v>0</v>
      </c>
      <c r="BD236" s="5">
        <v>1</v>
      </c>
      <c r="BE236" t="s">
        <v>0</v>
      </c>
      <c r="BF236" t="s">
        <v>300</v>
      </c>
      <c r="BG236" t="s">
        <v>17</v>
      </c>
      <c r="BH236" t="s">
        <v>0</v>
      </c>
      <c r="BI236" t="s">
        <v>11</v>
      </c>
      <c r="BJ236" t="s">
        <v>0</v>
      </c>
      <c r="BK236" t="s">
        <v>0</v>
      </c>
      <c r="BL236" s="5">
        <v>0</v>
      </c>
      <c r="BM236" t="s">
        <v>0</v>
      </c>
      <c r="BN236" t="s">
        <v>0</v>
      </c>
      <c r="BO236" t="s">
        <v>0</v>
      </c>
      <c r="BP236" t="s">
        <v>17</v>
      </c>
      <c r="BQ236" t="s">
        <v>0</v>
      </c>
      <c r="BR236" t="s">
        <v>17</v>
      </c>
      <c r="BS236" t="s">
        <v>17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</row>
    <row r="237" spans="1:80" x14ac:dyDescent="0.25">
      <c r="A237" t="s">
        <v>308</v>
      </c>
      <c r="B237" s="2">
        <v>46034</v>
      </c>
      <c r="C237" s="2">
        <v>46034</v>
      </c>
      <c r="D237" s="2">
        <v>46065</v>
      </c>
      <c r="E237" t="s">
        <v>2</v>
      </c>
      <c r="F237" t="s">
        <v>3</v>
      </c>
      <c r="G237" t="s">
        <v>98</v>
      </c>
      <c r="H237" t="s">
        <v>4</v>
      </c>
      <c r="I237" t="s">
        <v>297</v>
      </c>
      <c r="J237" t="s">
        <v>6</v>
      </c>
      <c r="K237" t="s">
        <v>90</v>
      </c>
      <c r="L237" t="s">
        <v>35</v>
      </c>
      <c r="M237" t="s">
        <v>36</v>
      </c>
      <c r="N237" t="s">
        <v>10</v>
      </c>
      <c r="O237" t="s">
        <v>0</v>
      </c>
      <c r="P237" t="s">
        <v>11</v>
      </c>
      <c r="Q237" s="5">
        <v>10</v>
      </c>
      <c r="R237" s="4">
        <v>51000</v>
      </c>
      <c r="S237" s="5">
        <v>1</v>
      </c>
      <c r="T237" s="4">
        <v>510000</v>
      </c>
      <c r="U237" s="5">
        <v>0</v>
      </c>
      <c r="V237" s="4">
        <v>0</v>
      </c>
      <c r="W237" s="5">
        <v>0</v>
      </c>
      <c r="X237" s="4">
        <v>0</v>
      </c>
      <c r="Y237" s="4">
        <f t="shared" si="6"/>
        <v>510000</v>
      </c>
      <c r="Z237" t="s">
        <v>0</v>
      </c>
      <c r="AA237" t="s">
        <v>2</v>
      </c>
      <c r="AB237" t="s">
        <v>12</v>
      </c>
      <c r="AC237">
        <f>_xlfn.XLOOKUP(AB237,'[1]GST Codes'!$A:$A,'[1]GST Codes'!$C:$C,0,0)</f>
        <v>18</v>
      </c>
      <c r="AD237">
        <f t="shared" si="7"/>
        <v>601800</v>
      </c>
      <c r="AE237" t="s">
        <v>13</v>
      </c>
      <c r="AF237" t="s">
        <v>0</v>
      </c>
      <c r="AG237" t="s">
        <v>14</v>
      </c>
      <c r="AH237" t="s">
        <v>15</v>
      </c>
      <c r="AI237" t="s">
        <v>85</v>
      </c>
      <c r="AJ237" t="s">
        <v>17</v>
      </c>
      <c r="AK237" t="s">
        <v>18</v>
      </c>
      <c r="AL237" t="s">
        <v>19</v>
      </c>
      <c r="AM237" t="s">
        <v>297</v>
      </c>
      <c r="AN237" t="s">
        <v>0</v>
      </c>
      <c r="AO237" t="s">
        <v>0</v>
      </c>
      <c r="AP237" t="s">
        <v>0</v>
      </c>
      <c r="AQ237" s="5">
        <v>10</v>
      </c>
      <c r="AR237" t="s">
        <v>11</v>
      </c>
      <c r="AS237" t="s">
        <v>0</v>
      </c>
      <c r="AT237" t="s">
        <v>17</v>
      </c>
      <c r="AU237" s="4">
        <v>0</v>
      </c>
      <c r="AV237" s="4">
        <v>0</v>
      </c>
      <c r="AW237" s="4">
        <v>0</v>
      </c>
      <c r="AX237" s="4">
        <v>0</v>
      </c>
      <c r="AY237" s="5">
        <v>0</v>
      </c>
      <c r="AZ237" s="5">
        <v>0</v>
      </c>
      <c r="BA237" s="5">
        <v>0</v>
      </c>
      <c r="BB237" s="2"/>
      <c r="BC237" t="s">
        <v>0</v>
      </c>
      <c r="BD237" s="5">
        <v>1</v>
      </c>
      <c r="BE237" t="s">
        <v>0</v>
      </c>
      <c r="BF237" t="s">
        <v>300</v>
      </c>
      <c r="BG237" t="s">
        <v>17</v>
      </c>
      <c r="BH237" t="s">
        <v>0</v>
      </c>
      <c r="BI237" t="s">
        <v>11</v>
      </c>
      <c r="BJ237" t="s">
        <v>0</v>
      </c>
      <c r="BK237" t="s">
        <v>0</v>
      </c>
      <c r="BL237" s="5">
        <v>0</v>
      </c>
      <c r="BM237" t="s">
        <v>0</v>
      </c>
      <c r="BN237" t="s">
        <v>0</v>
      </c>
      <c r="BO237" t="s">
        <v>0</v>
      </c>
      <c r="BP237" t="s">
        <v>17</v>
      </c>
      <c r="BQ237" t="s">
        <v>0</v>
      </c>
      <c r="BR237" t="s">
        <v>17</v>
      </c>
      <c r="BS237" t="s">
        <v>17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</row>
    <row r="238" spans="1:80" ht="13.95" customHeight="1" x14ac:dyDescent="0.25">
      <c r="A238" t="s">
        <v>308</v>
      </c>
      <c r="B238" s="2">
        <v>46034</v>
      </c>
      <c r="C238" s="2">
        <v>46034</v>
      </c>
      <c r="D238" s="2">
        <v>46065</v>
      </c>
      <c r="E238" t="s">
        <v>2</v>
      </c>
      <c r="F238" t="s">
        <v>3</v>
      </c>
      <c r="G238" t="s">
        <v>0</v>
      </c>
      <c r="H238" t="s">
        <v>4</v>
      </c>
      <c r="I238" t="s">
        <v>297</v>
      </c>
      <c r="J238" t="s">
        <v>6</v>
      </c>
      <c r="K238" t="s">
        <v>177</v>
      </c>
      <c r="L238" t="s">
        <v>70</v>
      </c>
      <c r="M238" t="s">
        <v>309</v>
      </c>
      <c r="N238" t="s">
        <v>10</v>
      </c>
      <c r="O238" t="s">
        <v>0</v>
      </c>
      <c r="P238" t="s">
        <v>11</v>
      </c>
      <c r="Q238" s="5">
        <v>42</v>
      </c>
      <c r="R238" s="4">
        <v>52000</v>
      </c>
      <c r="S238" s="5">
        <v>1</v>
      </c>
      <c r="T238" s="4">
        <v>2184000</v>
      </c>
      <c r="U238" s="3">
        <v>8.9600000000000009</v>
      </c>
      <c r="V238" s="4">
        <v>465920</v>
      </c>
      <c r="W238" s="3">
        <v>8.9600000000000009</v>
      </c>
      <c r="X238" s="4">
        <v>465920</v>
      </c>
      <c r="Y238" s="4">
        <f t="shared" si="6"/>
        <v>1718080</v>
      </c>
      <c r="Z238" s="6" t="s">
        <v>0</v>
      </c>
      <c r="AA238" t="s">
        <v>2</v>
      </c>
      <c r="AB238" t="s">
        <v>12</v>
      </c>
      <c r="AC238">
        <f>_xlfn.XLOOKUP(AB238,'[1]GST Codes'!$A:$A,'[1]GST Codes'!$C:$C,0,0)</f>
        <v>18</v>
      </c>
      <c r="AD238">
        <f t="shared" si="7"/>
        <v>2027334.4</v>
      </c>
      <c r="AE238" t="s">
        <v>13</v>
      </c>
      <c r="AF238" t="s">
        <v>0</v>
      </c>
      <c r="AG238" t="s">
        <v>14</v>
      </c>
      <c r="AH238" t="s">
        <v>15</v>
      </c>
      <c r="AI238" t="s">
        <v>85</v>
      </c>
      <c r="AJ238" t="s">
        <v>17</v>
      </c>
      <c r="AK238" t="s">
        <v>18</v>
      </c>
      <c r="AL238" t="s">
        <v>19</v>
      </c>
      <c r="AM238" t="s">
        <v>297</v>
      </c>
      <c r="AN238" t="s">
        <v>0</v>
      </c>
      <c r="AO238" t="s">
        <v>0</v>
      </c>
      <c r="AP238" t="s">
        <v>0</v>
      </c>
      <c r="AQ238" s="5">
        <v>42</v>
      </c>
      <c r="AR238" t="s">
        <v>11</v>
      </c>
      <c r="AS238" t="s">
        <v>0</v>
      </c>
      <c r="AT238" t="s">
        <v>17</v>
      </c>
      <c r="AU238" s="4">
        <v>0</v>
      </c>
      <c r="AV238" s="4">
        <v>0</v>
      </c>
      <c r="AW238" s="4">
        <v>0</v>
      </c>
      <c r="AX238" s="4">
        <v>0</v>
      </c>
      <c r="AY238" s="5">
        <v>0</v>
      </c>
      <c r="AZ238" s="5">
        <v>0</v>
      </c>
      <c r="BA238" s="5">
        <v>0</v>
      </c>
      <c r="BB238" s="2"/>
      <c r="BC238" t="s">
        <v>0</v>
      </c>
      <c r="BD238" s="5">
        <v>1</v>
      </c>
      <c r="BE238" t="s">
        <v>0</v>
      </c>
      <c r="BF238" t="s">
        <v>298</v>
      </c>
      <c r="BG238" t="s">
        <v>17</v>
      </c>
      <c r="BH238" t="s">
        <v>0</v>
      </c>
      <c r="BI238" t="s">
        <v>11</v>
      </c>
      <c r="BJ238" t="s">
        <v>0</v>
      </c>
      <c r="BK238" t="s">
        <v>0</v>
      </c>
      <c r="BL238" s="5">
        <v>0</v>
      </c>
      <c r="BM238" t="s">
        <v>0</v>
      </c>
      <c r="BN238" t="s">
        <v>0</v>
      </c>
      <c r="BO238" t="s">
        <v>0</v>
      </c>
      <c r="BP238" t="s">
        <v>17</v>
      </c>
      <c r="BQ238" t="s">
        <v>0</v>
      </c>
      <c r="BR238" t="s">
        <v>17</v>
      </c>
      <c r="BS238" t="s">
        <v>17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</row>
    <row r="239" spans="1:80" ht="13.95" customHeight="1" x14ac:dyDescent="0.25">
      <c r="A239" t="s">
        <v>310</v>
      </c>
      <c r="B239" s="2">
        <v>46060</v>
      </c>
      <c r="C239" s="2">
        <v>46060</v>
      </c>
      <c r="D239" s="2">
        <v>46112</v>
      </c>
      <c r="E239" t="s">
        <v>2</v>
      </c>
      <c r="F239" t="s">
        <v>3</v>
      </c>
      <c r="G239" t="s">
        <v>0</v>
      </c>
      <c r="H239" t="s">
        <v>4</v>
      </c>
      <c r="I239" t="s">
        <v>297</v>
      </c>
      <c r="J239" t="s">
        <v>6</v>
      </c>
      <c r="K239" t="s">
        <v>7</v>
      </c>
      <c r="L239" t="s">
        <v>70</v>
      </c>
      <c r="M239" t="s">
        <v>71</v>
      </c>
      <c r="N239" t="s">
        <v>10</v>
      </c>
      <c r="O239" t="s">
        <v>0</v>
      </c>
      <c r="P239" t="s">
        <v>11</v>
      </c>
      <c r="Q239" s="5">
        <v>7</v>
      </c>
      <c r="R239" s="4">
        <v>55300</v>
      </c>
      <c r="S239" s="5">
        <v>1</v>
      </c>
      <c r="T239" s="4">
        <v>387100</v>
      </c>
      <c r="U239" s="5">
        <v>0</v>
      </c>
      <c r="V239" s="4">
        <v>0</v>
      </c>
      <c r="W239" s="5">
        <v>0</v>
      </c>
      <c r="X239" s="4">
        <v>0</v>
      </c>
      <c r="Y239" s="4">
        <f t="shared" si="6"/>
        <v>387100</v>
      </c>
      <c r="Z239" s="6" t="s">
        <v>0</v>
      </c>
      <c r="AA239" t="s">
        <v>2</v>
      </c>
      <c r="AB239" t="s">
        <v>12</v>
      </c>
      <c r="AC239">
        <f>_xlfn.XLOOKUP(AB239,'[1]GST Codes'!$A:$A,'[1]GST Codes'!$C:$C,0,0)</f>
        <v>18</v>
      </c>
      <c r="AD239">
        <f t="shared" si="7"/>
        <v>456778</v>
      </c>
      <c r="AE239" t="s">
        <v>13</v>
      </c>
      <c r="AF239" t="s">
        <v>0</v>
      </c>
      <c r="AG239" t="s">
        <v>14</v>
      </c>
      <c r="AH239" t="s">
        <v>15</v>
      </c>
      <c r="AI239" t="s">
        <v>85</v>
      </c>
      <c r="AJ239" t="s">
        <v>17</v>
      </c>
      <c r="AK239" t="s">
        <v>18</v>
      </c>
      <c r="AL239" t="s">
        <v>19</v>
      </c>
      <c r="AM239" t="s">
        <v>297</v>
      </c>
      <c r="AN239" t="s">
        <v>0</v>
      </c>
      <c r="AO239" t="s">
        <v>0</v>
      </c>
      <c r="AP239" t="s">
        <v>0</v>
      </c>
      <c r="AQ239" s="5">
        <v>7</v>
      </c>
      <c r="AR239" t="s">
        <v>11</v>
      </c>
      <c r="AS239" t="s">
        <v>0</v>
      </c>
      <c r="AT239" t="s">
        <v>17</v>
      </c>
      <c r="AU239" s="4">
        <v>0</v>
      </c>
      <c r="AV239" s="4">
        <v>0</v>
      </c>
      <c r="AW239" s="4">
        <v>0</v>
      </c>
      <c r="AX239" s="4">
        <v>0</v>
      </c>
      <c r="AY239" s="5">
        <v>0</v>
      </c>
      <c r="AZ239" s="5">
        <v>0</v>
      </c>
      <c r="BA239" s="5">
        <v>0</v>
      </c>
      <c r="BB239" s="2"/>
      <c r="BC239" t="s">
        <v>0</v>
      </c>
      <c r="BD239" s="5">
        <v>1</v>
      </c>
      <c r="BE239" t="s">
        <v>0</v>
      </c>
      <c r="BF239" t="s">
        <v>298</v>
      </c>
      <c r="BG239" t="s">
        <v>17</v>
      </c>
      <c r="BH239" t="s">
        <v>0</v>
      </c>
      <c r="BI239" t="s">
        <v>11</v>
      </c>
      <c r="BJ239" t="s">
        <v>0</v>
      </c>
      <c r="BK239" t="s">
        <v>0</v>
      </c>
      <c r="BL239" s="5">
        <v>0</v>
      </c>
      <c r="BM239" t="s">
        <v>0</v>
      </c>
      <c r="BN239" t="s">
        <v>0</v>
      </c>
      <c r="BO239" t="s">
        <v>0</v>
      </c>
      <c r="BP239" t="s">
        <v>17</v>
      </c>
      <c r="BQ239" t="s">
        <v>0</v>
      </c>
      <c r="BR239" t="s">
        <v>17</v>
      </c>
      <c r="BS239" t="s">
        <v>17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</row>
    <row r="240" spans="1:80" ht="13.95" customHeight="1" x14ac:dyDescent="0.25">
      <c r="A240" t="s">
        <v>310</v>
      </c>
      <c r="B240" s="2">
        <v>46060</v>
      </c>
      <c r="C240" s="2">
        <v>46060</v>
      </c>
      <c r="D240" s="2">
        <v>46112</v>
      </c>
      <c r="E240" t="s">
        <v>2</v>
      </c>
      <c r="F240" t="s">
        <v>3</v>
      </c>
      <c r="G240" t="s">
        <v>0</v>
      </c>
      <c r="H240" t="s">
        <v>4</v>
      </c>
      <c r="I240" t="s">
        <v>297</v>
      </c>
      <c r="J240" t="s">
        <v>6</v>
      </c>
      <c r="K240" t="s">
        <v>22</v>
      </c>
      <c r="L240" t="s">
        <v>70</v>
      </c>
      <c r="M240" t="s">
        <v>71</v>
      </c>
      <c r="N240" t="s">
        <v>10</v>
      </c>
      <c r="O240" t="s">
        <v>0</v>
      </c>
      <c r="P240" t="s">
        <v>11</v>
      </c>
      <c r="Q240" s="5">
        <v>7</v>
      </c>
      <c r="R240" s="4">
        <v>55300</v>
      </c>
      <c r="S240" s="5">
        <v>1</v>
      </c>
      <c r="T240" s="4">
        <v>387100</v>
      </c>
      <c r="U240" s="5">
        <v>0</v>
      </c>
      <c r="V240" s="4">
        <v>0</v>
      </c>
      <c r="W240" s="5">
        <v>0</v>
      </c>
      <c r="X240" s="4">
        <v>0</v>
      </c>
      <c r="Y240" s="4">
        <f t="shared" si="6"/>
        <v>387100</v>
      </c>
      <c r="Z240" s="6" t="s">
        <v>0</v>
      </c>
      <c r="AA240" t="s">
        <v>2</v>
      </c>
      <c r="AB240" t="s">
        <v>12</v>
      </c>
      <c r="AC240">
        <f>_xlfn.XLOOKUP(AB240,'[1]GST Codes'!$A:$A,'[1]GST Codes'!$C:$C,0,0)</f>
        <v>18</v>
      </c>
      <c r="AD240">
        <f t="shared" si="7"/>
        <v>456778</v>
      </c>
      <c r="AE240" t="s">
        <v>13</v>
      </c>
      <c r="AF240" t="s">
        <v>0</v>
      </c>
      <c r="AG240" t="s">
        <v>14</v>
      </c>
      <c r="AH240" t="s">
        <v>15</v>
      </c>
      <c r="AI240" t="s">
        <v>85</v>
      </c>
      <c r="AJ240" t="s">
        <v>17</v>
      </c>
      <c r="AK240" t="s">
        <v>18</v>
      </c>
      <c r="AL240" t="s">
        <v>19</v>
      </c>
      <c r="AM240" t="s">
        <v>297</v>
      </c>
      <c r="AN240" t="s">
        <v>0</v>
      </c>
      <c r="AO240" t="s">
        <v>0</v>
      </c>
      <c r="AP240" t="s">
        <v>0</v>
      </c>
      <c r="AQ240" s="5">
        <v>7</v>
      </c>
      <c r="AR240" t="s">
        <v>11</v>
      </c>
      <c r="AS240" t="s">
        <v>0</v>
      </c>
      <c r="AT240" t="s">
        <v>17</v>
      </c>
      <c r="AU240" s="4">
        <v>0</v>
      </c>
      <c r="AV240" s="4">
        <v>0</v>
      </c>
      <c r="AW240" s="4">
        <v>0</v>
      </c>
      <c r="AX240" s="4">
        <v>0</v>
      </c>
      <c r="AY240" s="5">
        <v>0</v>
      </c>
      <c r="AZ240" s="5">
        <v>0</v>
      </c>
      <c r="BA240" s="5">
        <v>0</v>
      </c>
      <c r="BB240" s="2"/>
      <c r="BC240" t="s">
        <v>0</v>
      </c>
      <c r="BD240" s="5">
        <v>1</v>
      </c>
      <c r="BE240" t="s">
        <v>0</v>
      </c>
      <c r="BF240" t="s">
        <v>298</v>
      </c>
      <c r="BG240" t="s">
        <v>17</v>
      </c>
      <c r="BH240" t="s">
        <v>0</v>
      </c>
      <c r="BI240" t="s">
        <v>11</v>
      </c>
      <c r="BJ240" t="s">
        <v>0</v>
      </c>
      <c r="BK240" t="s">
        <v>0</v>
      </c>
      <c r="BL240" s="5">
        <v>0</v>
      </c>
      <c r="BM240" t="s">
        <v>0</v>
      </c>
      <c r="BN240" t="s">
        <v>0</v>
      </c>
      <c r="BO240" t="s">
        <v>0</v>
      </c>
      <c r="BP240" t="s">
        <v>17</v>
      </c>
      <c r="BQ240" t="s">
        <v>0</v>
      </c>
      <c r="BR240" t="s">
        <v>17</v>
      </c>
      <c r="BS240" t="s">
        <v>17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</row>
    <row r="241" spans="1:80" ht="13.95" customHeight="1" x14ac:dyDescent="0.25">
      <c r="A241" t="s">
        <v>310</v>
      </c>
      <c r="B241" s="2">
        <v>46060</v>
      </c>
      <c r="C241" s="2">
        <v>46060</v>
      </c>
      <c r="D241" s="2">
        <v>46112</v>
      </c>
      <c r="E241" t="s">
        <v>2</v>
      </c>
      <c r="F241" t="s">
        <v>3</v>
      </c>
      <c r="G241" t="s">
        <v>0</v>
      </c>
      <c r="H241" t="s">
        <v>4</v>
      </c>
      <c r="I241" t="s">
        <v>297</v>
      </c>
      <c r="J241" t="s">
        <v>6</v>
      </c>
      <c r="K241" t="s">
        <v>26</v>
      </c>
      <c r="L241" t="s">
        <v>70</v>
      </c>
      <c r="M241" t="s">
        <v>71</v>
      </c>
      <c r="N241" t="s">
        <v>10</v>
      </c>
      <c r="O241" t="s">
        <v>0</v>
      </c>
      <c r="P241" t="s">
        <v>11</v>
      </c>
      <c r="Q241" s="5">
        <v>7</v>
      </c>
      <c r="R241" s="4">
        <v>55300</v>
      </c>
      <c r="S241" s="5">
        <v>1</v>
      </c>
      <c r="T241" s="4">
        <v>387100</v>
      </c>
      <c r="U241" s="5">
        <v>0</v>
      </c>
      <c r="V241" s="4">
        <v>0</v>
      </c>
      <c r="W241" s="5">
        <v>0</v>
      </c>
      <c r="X241" s="4">
        <v>0</v>
      </c>
      <c r="Y241" s="4">
        <f t="shared" si="6"/>
        <v>387100</v>
      </c>
      <c r="Z241" s="6" t="s">
        <v>0</v>
      </c>
      <c r="AA241" t="s">
        <v>2</v>
      </c>
      <c r="AB241" t="s">
        <v>12</v>
      </c>
      <c r="AC241">
        <f>_xlfn.XLOOKUP(AB241,'[1]GST Codes'!$A:$A,'[1]GST Codes'!$C:$C,0,0)</f>
        <v>18</v>
      </c>
      <c r="AD241">
        <f t="shared" si="7"/>
        <v>456778</v>
      </c>
      <c r="AE241" t="s">
        <v>13</v>
      </c>
      <c r="AF241" t="s">
        <v>0</v>
      </c>
      <c r="AG241" t="s">
        <v>14</v>
      </c>
      <c r="AH241" t="s">
        <v>15</v>
      </c>
      <c r="AI241" t="s">
        <v>85</v>
      </c>
      <c r="AJ241" t="s">
        <v>17</v>
      </c>
      <c r="AK241" t="s">
        <v>18</v>
      </c>
      <c r="AL241" t="s">
        <v>19</v>
      </c>
      <c r="AM241" t="s">
        <v>297</v>
      </c>
      <c r="AN241" t="s">
        <v>0</v>
      </c>
      <c r="AO241" t="s">
        <v>0</v>
      </c>
      <c r="AP241" t="s">
        <v>0</v>
      </c>
      <c r="AQ241" s="5">
        <v>7</v>
      </c>
      <c r="AR241" t="s">
        <v>11</v>
      </c>
      <c r="AS241" t="s">
        <v>0</v>
      </c>
      <c r="AT241" t="s">
        <v>17</v>
      </c>
      <c r="AU241" s="4">
        <v>0</v>
      </c>
      <c r="AV241" s="4">
        <v>0</v>
      </c>
      <c r="AW241" s="4">
        <v>0</v>
      </c>
      <c r="AX241" s="4">
        <v>0</v>
      </c>
      <c r="AY241" s="5">
        <v>0</v>
      </c>
      <c r="AZ241" s="5">
        <v>0</v>
      </c>
      <c r="BA241" s="5">
        <v>0</v>
      </c>
      <c r="BB241" s="2"/>
      <c r="BC241" t="s">
        <v>0</v>
      </c>
      <c r="BD241" s="5">
        <v>1</v>
      </c>
      <c r="BE241" t="s">
        <v>0</v>
      </c>
      <c r="BF241" t="s">
        <v>298</v>
      </c>
      <c r="BG241" t="s">
        <v>17</v>
      </c>
      <c r="BH241" t="s">
        <v>0</v>
      </c>
      <c r="BI241" t="s">
        <v>11</v>
      </c>
      <c r="BJ241" t="s">
        <v>0</v>
      </c>
      <c r="BK241" t="s">
        <v>0</v>
      </c>
      <c r="BL241" s="5">
        <v>0</v>
      </c>
      <c r="BM241" t="s">
        <v>0</v>
      </c>
      <c r="BN241" t="s">
        <v>0</v>
      </c>
      <c r="BO241" t="s">
        <v>0</v>
      </c>
      <c r="BP241" t="s">
        <v>17</v>
      </c>
      <c r="BQ241" t="s">
        <v>0</v>
      </c>
      <c r="BR241" t="s">
        <v>17</v>
      </c>
      <c r="BS241" t="s">
        <v>17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</row>
    <row r="242" spans="1:80" ht="13.95" customHeight="1" x14ac:dyDescent="0.25">
      <c r="A242" t="s">
        <v>310</v>
      </c>
      <c r="B242" s="2">
        <v>46060</v>
      </c>
      <c r="C242" s="2">
        <v>46060</v>
      </c>
      <c r="D242" s="2">
        <v>46112</v>
      </c>
      <c r="E242" t="s">
        <v>2</v>
      </c>
      <c r="F242" t="s">
        <v>3</v>
      </c>
      <c r="G242" t="s">
        <v>0</v>
      </c>
      <c r="H242" t="s">
        <v>4</v>
      </c>
      <c r="I242" t="s">
        <v>297</v>
      </c>
      <c r="J242" t="s">
        <v>6</v>
      </c>
      <c r="K242" t="s">
        <v>30</v>
      </c>
      <c r="L242" t="s">
        <v>70</v>
      </c>
      <c r="M242" t="s">
        <v>71</v>
      </c>
      <c r="N242" t="s">
        <v>10</v>
      </c>
      <c r="O242" t="s">
        <v>0</v>
      </c>
      <c r="P242" t="s">
        <v>11</v>
      </c>
      <c r="Q242" s="5">
        <v>7</v>
      </c>
      <c r="R242" s="4">
        <v>55300</v>
      </c>
      <c r="S242" s="5">
        <v>1</v>
      </c>
      <c r="T242" s="4">
        <v>387100</v>
      </c>
      <c r="U242" s="5">
        <v>0</v>
      </c>
      <c r="V242" s="4">
        <v>0</v>
      </c>
      <c r="W242" s="5">
        <v>0</v>
      </c>
      <c r="X242" s="4">
        <v>0</v>
      </c>
      <c r="Y242" s="4">
        <f t="shared" si="6"/>
        <v>387100</v>
      </c>
      <c r="Z242" s="6" t="s">
        <v>0</v>
      </c>
      <c r="AA242" t="s">
        <v>2</v>
      </c>
      <c r="AB242" t="s">
        <v>12</v>
      </c>
      <c r="AC242">
        <f>_xlfn.XLOOKUP(AB242,'[1]GST Codes'!$A:$A,'[1]GST Codes'!$C:$C,0,0)</f>
        <v>18</v>
      </c>
      <c r="AD242">
        <f t="shared" si="7"/>
        <v>456778</v>
      </c>
      <c r="AE242" t="s">
        <v>13</v>
      </c>
      <c r="AF242" t="s">
        <v>0</v>
      </c>
      <c r="AG242" t="s">
        <v>14</v>
      </c>
      <c r="AH242" t="s">
        <v>15</v>
      </c>
      <c r="AI242" t="s">
        <v>85</v>
      </c>
      <c r="AJ242" t="s">
        <v>17</v>
      </c>
      <c r="AK242" t="s">
        <v>18</v>
      </c>
      <c r="AL242" t="s">
        <v>19</v>
      </c>
      <c r="AM242" t="s">
        <v>297</v>
      </c>
      <c r="AN242" t="s">
        <v>0</v>
      </c>
      <c r="AO242" t="s">
        <v>0</v>
      </c>
      <c r="AP242" t="s">
        <v>0</v>
      </c>
      <c r="AQ242" s="5">
        <v>7</v>
      </c>
      <c r="AR242" t="s">
        <v>11</v>
      </c>
      <c r="AS242" t="s">
        <v>0</v>
      </c>
      <c r="AT242" t="s">
        <v>17</v>
      </c>
      <c r="AU242" s="4">
        <v>0</v>
      </c>
      <c r="AV242" s="4">
        <v>0</v>
      </c>
      <c r="AW242" s="4">
        <v>0</v>
      </c>
      <c r="AX242" s="4">
        <v>0</v>
      </c>
      <c r="AY242" s="5">
        <v>0</v>
      </c>
      <c r="AZ242" s="5">
        <v>0</v>
      </c>
      <c r="BA242" s="5">
        <v>0</v>
      </c>
      <c r="BB242" s="2"/>
      <c r="BC242" t="s">
        <v>0</v>
      </c>
      <c r="BD242" s="5">
        <v>1</v>
      </c>
      <c r="BE242" t="s">
        <v>0</v>
      </c>
      <c r="BF242" t="s">
        <v>298</v>
      </c>
      <c r="BG242" t="s">
        <v>17</v>
      </c>
      <c r="BH242" t="s">
        <v>0</v>
      </c>
      <c r="BI242" t="s">
        <v>11</v>
      </c>
      <c r="BJ242" t="s">
        <v>0</v>
      </c>
      <c r="BK242" t="s">
        <v>0</v>
      </c>
      <c r="BL242" s="5">
        <v>0</v>
      </c>
      <c r="BM242" t="s">
        <v>0</v>
      </c>
      <c r="BN242" t="s">
        <v>0</v>
      </c>
      <c r="BO242" t="s">
        <v>0</v>
      </c>
      <c r="BP242" t="s">
        <v>17</v>
      </c>
      <c r="BQ242" t="s">
        <v>0</v>
      </c>
      <c r="BR242" t="s">
        <v>17</v>
      </c>
      <c r="BS242" t="s">
        <v>17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</row>
    <row r="243" spans="1:80" ht="13.95" customHeight="1" x14ac:dyDescent="0.25">
      <c r="A243" t="s">
        <v>310</v>
      </c>
      <c r="B243" s="2">
        <v>46060</v>
      </c>
      <c r="C243" s="2">
        <v>46060</v>
      </c>
      <c r="D243" s="2">
        <v>46112</v>
      </c>
      <c r="E243" t="s">
        <v>2</v>
      </c>
      <c r="F243" t="s">
        <v>3</v>
      </c>
      <c r="G243" t="s">
        <v>0</v>
      </c>
      <c r="H243" t="s">
        <v>4</v>
      </c>
      <c r="I243" t="s">
        <v>297</v>
      </c>
      <c r="J243" t="s">
        <v>6</v>
      </c>
      <c r="K243" t="s">
        <v>34</v>
      </c>
      <c r="L243" t="s">
        <v>70</v>
      </c>
      <c r="M243" t="s">
        <v>71</v>
      </c>
      <c r="N243" t="s">
        <v>10</v>
      </c>
      <c r="O243" t="s">
        <v>0</v>
      </c>
      <c r="P243" t="s">
        <v>11</v>
      </c>
      <c r="Q243" s="5">
        <v>6</v>
      </c>
      <c r="R243" s="4">
        <v>55300</v>
      </c>
      <c r="S243" s="5">
        <v>1</v>
      </c>
      <c r="T243" s="4">
        <v>331800</v>
      </c>
      <c r="U243" s="5">
        <v>0</v>
      </c>
      <c r="V243" s="4">
        <v>0</v>
      </c>
      <c r="W243" s="5">
        <v>0</v>
      </c>
      <c r="X243" s="4">
        <v>0</v>
      </c>
      <c r="Y243" s="4">
        <f t="shared" si="6"/>
        <v>331800</v>
      </c>
      <c r="Z243" s="6" t="s">
        <v>0</v>
      </c>
      <c r="AA243" t="s">
        <v>2</v>
      </c>
      <c r="AB243" t="s">
        <v>12</v>
      </c>
      <c r="AC243">
        <f>_xlfn.XLOOKUP(AB243,'[1]GST Codes'!$A:$A,'[1]GST Codes'!$C:$C,0,0)</f>
        <v>18</v>
      </c>
      <c r="AD243">
        <f t="shared" si="7"/>
        <v>391524</v>
      </c>
      <c r="AE243" t="s">
        <v>13</v>
      </c>
      <c r="AF243" t="s">
        <v>0</v>
      </c>
      <c r="AG243" t="s">
        <v>14</v>
      </c>
      <c r="AH243" t="s">
        <v>15</v>
      </c>
      <c r="AI243" t="s">
        <v>85</v>
      </c>
      <c r="AJ243" t="s">
        <v>17</v>
      </c>
      <c r="AK243" t="s">
        <v>18</v>
      </c>
      <c r="AL243" t="s">
        <v>19</v>
      </c>
      <c r="AM243" t="s">
        <v>297</v>
      </c>
      <c r="AN243" t="s">
        <v>0</v>
      </c>
      <c r="AO243" t="s">
        <v>0</v>
      </c>
      <c r="AP243" t="s">
        <v>0</v>
      </c>
      <c r="AQ243" s="5">
        <v>6</v>
      </c>
      <c r="AR243" t="s">
        <v>11</v>
      </c>
      <c r="AS243" t="s">
        <v>0</v>
      </c>
      <c r="AT243" t="s">
        <v>17</v>
      </c>
      <c r="AU243" s="4">
        <v>0</v>
      </c>
      <c r="AV243" s="4">
        <v>0</v>
      </c>
      <c r="AW243" s="4">
        <v>0</v>
      </c>
      <c r="AX243" s="4">
        <v>0</v>
      </c>
      <c r="AY243" s="5">
        <v>0</v>
      </c>
      <c r="AZ243" s="5">
        <v>0</v>
      </c>
      <c r="BA243" s="5">
        <v>0</v>
      </c>
      <c r="BB243" s="2"/>
      <c r="BC243" t="s">
        <v>0</v>
      </c>
      <c r="BD243" s="5">
        <v>1</v>
      </c>
      <c r="BE243" t="s">
        <v>0</v>
      </c>
      <c r="BF243" t="s">
        <v>298</v>
      </c>
      <c r="BG243" t="s">
        <v>17</v>
      </c>
      <c r="BH243" t="s">
        <v>0</v>
      </c>
      <c r="BI243" t="s">
        <v>11</v>
      </c>
      <c r="BJ243" t="s">
        <v>0</v>
      </c>
      <c r="BK243" t="s">
        <v>0</v>
      </c>
      <c r="BL243" s="5">
        <v>0</v>
      </c>
      <c r="BM243" t="s">
        <v>0</v>
      </c>
      <c r="BN243" t="s">
        <v>0</v>
      </c>
      <c r="BO243" t="s">
        <v>0</v>
      </c>
      <c r="BP243" t="s">
        <v>17</v>
      </c>
      <c r="BQ243" t="s">
        <v>0</v>
      </c>
      <c r="BR243" t="s">
        <v>17</v>
      </c>
      <c r="BS243" t="s">
        <v>17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</row>
    <row r="244" spans="1:80" ht="13.95" customHeight="1" x14ac:dyDescent="0.25">
      <c r="A244" t="s">
        <v>310</v>
      </c>
      <c r="B244" s="2">
        <v>46060</v>
      </c>
      <c r="C244" s="2">
        <v>46060</v>
      </c>
      <c r="D244" s="2">
        <v>46112</v>
      </c>
      <c r="E244" t="s">
        <v>2</v>
      </c>
      <c r="F244" t="s">
        <v>3</v>
      </c>
      <c r="G244" t="s">
        <v>0</v>
      </c>
      <c r="H244" t="s">
        <v>4</v>
      </c>
      <c r="I244" t="s">
        <v>297</v>
      </c>
      <c r="J244" t="s">
        <v>6</v>
      </c>
      <c r="K244" t="s">
        <v>38</v>
      </c>
      <c r="L244" t="s">
        <v>70</v>
      </c>
      <c r="M244" t="s">
        <v>71</v>
      </c>
      <c r="N244" t="s">
        <v>10</v>
      </c>
      <c r="O244" t="s">
        <v>0</v>
      </c>
      <c r="P244" t="s">
        <v>11</v>
      </c>
      <c r="Q244" s="5">
        <v>6</v>
      </c>
      <c r="R244" s="4">
        <v>55300</v>
      </c>
      <c r="S244" s="5">
        <v>1</v>
      </c>
      <c r="T244" s="4">
        <v>331800</v>
      </c>
      <c r="U244" s="5">
        <v>0</v>
      </c>
      <c r="V244" s="4">
        <v>0</v>
      </c>
      <c r="W244" s="5">
        <v>0</v>
      </c>
      <c r="X244" s="4">
        <v>0</v>
      </c>
      <c r="Y244" s="4">
        <f t="shared" si="6"/>
        <v>331800</v>
      </c>
      <c r="Z244" s="6" t="s">
        <v>0</v>
      </c>
      <c r="AA244" t="s">
        <v>2</v>
      </c>
      <c r="AB244" t="s">
        <v>12</v>
      </c>
      <c r="AC244">
        <f>_xlfn.XLOOKUP(AB244,'[1]GST Codes'!$A:$A,'[1]GST Codes'!$C:$C,0,0)</f>
        <v>18</v>
      </c>
      <c r="AD244">
        <f t="shared" si="7"/>
        <v>391524</v>
      </c>
      <c r="AE244" t="s">
        <v>13</v>
      </c>
      <c r="AF244" t="s">
        <v>0</v>
      </c>
      <c r="AG244" t="s">
        <v>14</v>
      </c>
      <c r="AH244" t="s">
        <v>15</v>
      </c>
      <c r="AI244" t="s">
        <v>85</v>
      </c>
      <c r="AJ244" t="s">
        <v>17</v>
      </c>
      <c r="AK244" t="s">
        <v>18</v>
      </c>
      <c r="AL244" t="s">
        <v>19</v>
      </c>
      <c r="AM244" t="s">
        <v>297</v>
      </c>
      <c r="AN244" t="s">
        <v>0</v>
      </c>
      <c r="AO244" t="s">
        <v>0</v>
      </c>
      <c r="AP244" t="s">
        <v>0</v>
      </c>
      <c r="AQ244" s="5">
        <v>6</v>
      </c>
      <c r="AR244" t="s">
        <v>11</v>
      </c>
      <c r="AS244" t="s">
        <v>0</v>
      </c>
      <c r="AT244" t="s">
        <v>17</v>
      </c>
      <c r="AU244" s="4">
        <v>0</v>
      </c>
      <c r="AV244" s="4">
        <v>0</v>
      </c>
      <c r="AW244" s="4">
        <v>0</v>
      </c>
      <c r="AX244" s="4">
        <v>0</v>
      </c>
      <c r="AY244" s="5">
        <v>0</v>
      </c>
      <c r="AZ244" s="5">
        <v>0</v>
      </c>
      <c r="BA244" s="5">
        <v>0</v>
      </c>
      <c r="BB244" s="2"/>
      <c r="BC244" t="s">
        <v>0</v>
      </c>
      <c r="BD244" s="5">
        <v>1</v>
      </c>
      <c r="BE244" t="s">
        <v>0</v>
      </c>
      <c r="BF244" t="s">
        <v>298</v>
      </c>
      <c r="BG244" t="s">
        <v>17</v>
      </c>
      <c r="BH244" t="s">
        <v>0</v>
      </c>
      <c r="BI244" t="s">
        <v>11</v>
      </c>
      <c r="BJ244" t="s">
        <v>0</v>
      </c>
      <c r="BK244" t="s">
        <v>0</v>
      </c>
      <c r="BL244" s="5">
        <v>0</v>
      </c>
      <c r="BM244" t="s">
        <v>0</v>
      </c>
      <c r="BN244" t="s">
        <v>0</v>
      </c>
      <c r="BO244" t="s">
        <v>0</v>
      </c>
      <c r="BP244" t="s">
        <v>17</v>
      </c>
      <c r="BQ244" t="s">
        <v>0</v>
      </c>
      <c r="BR244" t="s">
        <v>17</v>
      </c>
      <c r="BS244" t="s">
        <v>17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</row>
    <row r="245" spans="1:80" ht="13.95" customHeight="1" x14ac:dyDescent="0.25">
      <c r="A245" t="s">
        <v>310</v>
      </c>
      <c r="B245" s="2">
        <v>46060</v>
      </c>
      <c r="C245" s="2">
        <v>46060</v>
      </c>
      <c r="D245" s="2">
        <v>46112</v>
      </c>
      <c r="E245" t="s">
        <v>2</v>
      </c>
      <c r="F245" t="s">
        <v>3</v>
      </c>
      <c r="G245" t="s">
        <v>0</v>
      </c>
      <c r="H245" t="s">
        <v>4</v>
      </c>
      <c r="I245" t="s">
        <v>297</v>
      </c>
      <c r="J245" t="s">
        <v>6</v>
      </c>
      <c r="K245" t="s">
        <v>42</v>
      </c>
      <c r="L245" t="s">
        <v>35</v>
      </c>
      <c r="M245" t="s">
        <v>36</v>
      </c>
      <c r="N245" t="s">
        <v>10</v>
      </c>
      <c r="O245" t="s">
        <v>0</v>
      </c>
      <c r="P245" t="s">
        <v>11</v>
      </c>
      <c r="Q245" s="5">
        <v>11</v>
      </c>
      <c r="R245" s="4">
        <v>54300</v>
      </c>
      <c r="S245" s="5">
        <v>1</v>
      </c>
      <c r="T245" s="4">
        <v>597300</v>
      </c>
      <c r="U245" s="5">
        <v>0</v>
      </c>
      <c r="V245" s="4">
        <v>0</v>
      </c>
      <c r="W245" s="5">
        <v>0</v>
      </c>
      <c r="X245" s="4">
        <v>0</v>
      </c>
      <c r="Y245" s="4">
        <f t="shared" si="6"/>
        <v>597300</v>
      </c>
      <c r="Z245" s="6" t="s">
        <v>0</v>
      </c>
      <c r="AA245" t="s">
        <v>2</v>
      </c>
      <c r="AB245" t="s">
        <v>12</v>
      </c>
      <c r="AC245">
        <f>_xlfn.XLOOKUP(AB245,'[1]GST Codes'!$A:$A,'[1]GST Codes'!$C:$C,0,0)</f>
        <v>18</v>
      </c>
      <c r="AD245">
        <f t="shared" si="7"/>
        <v>704814</v>
      </c>
      <c r="AE245" t="s">
        <v>13</v>
      </c>
      <c r="AF245" t="s">
        <v>0</v>
      </c>
      <c r="AG245" t="s">
        <v>14</v>
      </c>
      <c r="AH245" t="s">
        <v>15</v>
      </c>
      <c r="AI245" t="s">
        <v>85</v>
      </c>
      <c r="AJ245" t="s">
        <v>17</v>
      </c>
      <c r="AK245" t="s">
        <v>18</v>
      </c>
      <c r="AL245" t="s">
        <v>19</v>
      </c>
      <c r="AM245" t="s">
        <v>297</v>
      </c>
      <c r="AN245" t="s">
        <v>0</v>
      </c>
      <c r="AO245" t="s">
        <v>0</v>
      </c>
      <c r="AP245" t="s">
        <v>0</v>
      </c>
      <c r="AQ245" s="5">
        <v>11</v>
      </c>
      <c r="AR245" t="s">
        <v>11</v>
      </c>
      <c r="AS245" t="s">
        <v>0</v>
      </c>
      <c r="AT245" t="s">
        <v>17</v>
      </c>
      <c r="AU245" s="4">
        <v>0</v>
      </c>
      <c r="AV245" s="4">
        <v>0</v>
      </c>
      <c r="AW245" s="4">
        <v>0</v>
      </c>
      <c r="AX245" s="4">
        <v>0</v>
      </c>
      <c r="AY245" s="5">
        <v>0</v>
      </c>
      <c r="AZ245" s="5">
        <v>0</v>
      </c>
      <c r="BA245" s="5">
        <v>0</v>
      </c>
      <c r="BB245" s="2"/>
      <c r="BC245" t="s">
        <v>0</v>
      </c>
      <c r="BD245" s="5">
        <v>1</v>
      </c>
      <c r="BE245" t="s">
        <v>0</v>
      </c>
      <c r="BF245" t="s">
        <v>300</v>
      </c>
      <c r="BG245" t="s">
        <v>17</v>
      </c>
      <c r="BH245" t="s">
        <v>0</v>
      </c>
      <c r="BI245" t="s">
        <v>11</v>
      </c>
      <c r="BJ245" t="s">
        <v>0</v>
      </c>
      <c r="BK245" t="s">
        <v>0</v>
      </c>
      <c r="BL245" s="5">
        <v>0</v>
      </c>
      <c r="BM245" t="s">
        <v>0</v>
      </c>
      <c r="BN245" t="s">
        <v>0</v>
      </c>
      <c r="BO245" t="s">
        <v>0</v>
      </c>
      <c r="BP245" t="s">
        <v>17</v>
      </c>
      <c r="BQ245" t="s">
        <v>0</v>
      </c>
      <c r="BR245" t="s">
        <v>17</v>
      </c>
      <c r="BS245" t="s">
        <v>17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</row>
    <row r="246" spans="1:80" ht="13.95" customHeight="1" x14ac:dyDescent="0.25">
      <c r="A246" t="s">
        <v>310</v>
      </c>
      <c r="B246" s="2">
        <v>46060</v>
      </c>
      <c r="C246" s="2">
        <v>46060</v>
      </c>
      <c r="D246" s="2">
        <v>46112</v>
      </c>
      <c r="E246" t="s">
        <v>2</v>
      </c>
      <c r="F246" t="s">
        <v>3</v>
      </c>
      <c r="G246" t="s">
        <v>0</v>
      </c>
      <c r="H246" t="s">
        <v>4</v>
      </c>
      <c r="I246" t="s">
        <v>297</v>
      </c>
      <c r="J246" t="s">
        <v>6</v>
      </c>
      <c r="K246" t="s">
        <v>86</v>
      </c>
      <c r="L246" t="s">
        <v>35</v>
      </c>
      <c r="M246" t="s">
        <v>36</v>
      </c>
      <c r="N246" t="s">
        <v>10</v>
      </c>
      <c r="O246" t="s">
        <v>0</v>
      </c>
      <c r="P246" t="s">
        <v>11</v>
      </c>
      <c r="Q246" s="5">
        <v>11</v>
      </c>
      <c r="R246" s="4">
        <v>54300</v>
      </c>
      <c r="S246" s="5">
        <v>1</v>
      </c>
      <c r="T246" s="4">
        <v>597300</v>
      </c>
      <c r="U246" s="5">
        <v>0</v>
      </c>
      <c r="V246" s="4">
        <v>0</v>
      </c>
      <c r="W246" s="5">
        <v>0</v>
      </c>
      <c r="X246" s="4">
        <v>0</v>
      </c>
      <c r="Y246" s="4">
        <f t="shared" si="6"/>
        <v>597300</v>
      </c>
      <c r="Z246" s="6" t="s">
        <v>0</v>
      </c>
      <c r="AA246" t="s">
        <v>2</v>
      </c>
      <c r="AB246" t="s">
        <v>12</v>
      </c>
      <c r="AC246">
        <f>_xlfn.XLOOKUP(AB246,'[1]GST Codes'!$A:$A,'[1]GST Codes'!$C:$C,0,0)</f>
        <v>18</v>
      </c>
      <c r="AD246">
        <f t="shared" si="7"/>
        <v>704814</v>
      </c>
      <c r="AE246" t="s">
        <v>13</v>
      </c>
      <c r="AF246" t="s">
        <v>0</v>
      </c>
      <c r="AG246" t="s">
        <v>14</v>
      </c>
      <c r="AH246" t="s">
        <v>15</v>
      </c>
      <c r="AI246" t="s">
        <v>85</v>
      </c>
      <c r="AJ246" t="s">
        <v>17</v>
      </c>
      <c r="AK246" t="s">
        <v>18</v>
      </c>
      <c r="AL246" t="s">
        <v>19</v>
      </c>
      <c r="AM246" t="s">
        <v>297</v>
      </c>
      <c r="AN246" t="s">
        <v>0</v>
      </c>
      <c r="AO246" t="s">
        <v>0</v>
      </c>
      <c r="AP246" t="s">
        <v>0</v>
      </c>
      <c r="AQ246" s="5">
        <v>11</v>
      </c>
      <c r="AR246" t="s">
        <v>11</v>
      </c>
      <c r="AS246" t="s">
        <v>0</v>
      </c>
      <c r="AT246" t="s">
        <v>17</v>
      </c>
      <c r="AU246" s="4">
        <v>0</v>
      </c>
      <c r="AV246" s="4">
        <v>0</v>
      </c>
      <c r="AW246" s="4">
        <v>0</v>
      </c>
      <c r="AX246" s="4">
        <v>0</v>
      </c>
      <c r="AY246" s="5">
        <v>0</v>
      </c>
      <c r="AZ246" s="5">
        <v>0</v>
      </c>
      <c r="BA246" s="5">
        <v>0</v>
      </c>
      <c r="BB246" s="2"/>
      <c r="BC246" t="s">
        <v>0</v>
      </c>
      <c r="BD246" s="5">
        <v>1</v>
      </c>
      <c r="BE246" t="s">
        <v>0</v>
      </c>
      <c r="BF246" t="s">
        <v>300</v>
      </c>
      <c r="BG246" t="s">
        <v>17</v>
      </c>
      <c r="BH246" t="s">
        <v>0</v>
      </c>
      <c r="BI246" t="s">
        <v>11</v>
      </c>
      <c r="BJ246" t="s">
        <v>0</v>
      </c>
      <c r="BK246" t="s">
        <v>0</v>
      </c>
      <c r="BL246" s="5">
        <v>0</v>
      </c>
      <c r="BM246" t="s">
        <v>0</v>
      </c>
      <c r="BN246" t="s">
        <v>0</v>
      </c>
      <c r="BO246" t="s">
        <v>0</v>
      </c>
      <c r="BP246" t="s">
        <v>17</v>
      </c>
      <c r="BQ246" t="s">
        <v>0</v>
      </c>
      <c r="BR246" t="s">
        <v>17</v>
      </c>
      <c r="BS246" t="s">
        <v>17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</row>
    <row r="247" spans="1:80" ht="13.95" customHeight="1" x14ac:dyDescent="0.25">
      <c r="A247" t="s">
        <v>310</v>
      </c>
      <c r="B247" s="2">
        <v>46060</v>
      </c>
      <c r="C247" s="2">
        <v>46060</v>
      </c>
      <c r="D247" s="2">
        <v>46112</v>
      </c>
      <c r="E247" t="s">
        <v>2</v>
      </c>
      <c r="F247" t="s">
        <v>3</v>
      </c>
      <c r="G247" t="s">
        <v>0</v>
      </c>
      <c r="H247" t="s">
        <v>4</v>
      </c>
      <c r="I247" t="s">
        <v>297</v>
      </c>
      <c r="J247" t="s">
        <v>6</v>
      </c>
      <c r="K247" t="s">
        <v>87</v>
      </c>
      <c r="L247" t="s">
        <v>35</v>
      </c>
      <c r="M247" t="s">
        <v>36</v>
      </c>
      <c r="N247" t="s">
        <v>10</v>
      </c>
      <c r="O247" t="s">
        <v>0</v>
      </c>
      <c r="P247" t="s">
        <v>11</v>
      </c>
      <c r="Q247" s="5">
        <v>12</v>
      </c>
      <c r="R247" s="4">
        <v>54300</v>
      </c>
      <c r="S247" s="5">
        <v>1</v>
      </c>
      <c r="T247" s="4">
        <v>651600</v>
      </c>
      <c r="U247" s="5">
        <v>0</v>
      </c>
      <c r="V247" s="4">
        <v>0</v>
      </c>
      <c r="W247" s="5">
        <v>0</v>
      </c>
      <c r="X247" s="4">
        <v>0</v>
      </c>
      <c r="Y247" s="4">
        <f t="shared" si="6"/>
        <v>651600</v>
      </c>
      <c r="Z247" s="6" t="s">
        <v>0</v>
      </c>
      <c r="AA247" t="s">
        <v>2</v>
      </c>
      <c r="AB247" t="s">
        <v>12</v>
      </c>
      <c r="AC247">
        <f>_xlfn.XLOOKUP(AB247,'[1]GST Codes'!$A:$A,'[1]GST Codes'!$C:$C,0,0)</f>
        <v>18</v>
      </c>
      <c r="AD247">
        <f t="shared" si="7"/>
        <v>768888</v>
      </c>
      <c r="AE247" t="s">
        <v>13</v>
      </c>
      <c r="AF247" t="s">
        <v>0</v>
      </c>
      <c r="AG247" t="s">
        <v>14</v>
      </c>
      <c r="AH247" t="s">
        <v>15</v>
      </c>
      <c r="AI247" t="s">
        <v>85</v>
      </c>
      <c r="AJ247" t="s">
        <v>17</v>
      </c>
      <c r="AK247" t="s">
        <v>18</v>
      </c>
      <c r="AL247" t="s">
        <v>19</v>
      </c>
      <c r="AM247" t="s">
        <v>297</v>
      </c>
      <c r="AN247" t="s">
        <v>0</v>
      </c>
      <c r="AO247" t="s">
        <v>0</v>
      </c>
      <c r="AP247" t="s">
        <v>0</v>
      </c>
      <c r="AQ247" s="5">
        <v>12</v>
      </c>
      <c r="AR247" t="s">
        <v>11</v>
      </c>
      <c r="AS247" t="s">
        <v>0</v>
      </c>
      <c r="AT247" t="s">
        <v>17</v>
      </c>
      <c r="AU247" s="4">
        <v>0</v>
      </c>
      <c r="AV247" s="4">
        <v>0</v>
      </c>
      <c r="AW247" s="4">
        <v>0</v>
      </c>
      <c r="AX247" s="4">
        <v>0</v>
      </c>
      <c r="AY247" s="5">
        <v>0</v>
      </c>
      <c r="AZ247" s="5">
        <v>0</v>
      </c>
      <c r="BA247" s="5">
        <v>0</v>
      </c>
      <c r="BB247" s="2"/>
      <c r="BC247" t="s">
        <v>0</v>
      </c>
      <c r="BD247" s="5">
        <v>1</v>
      </c>
      <c r="BE247" t="s">
        <v>0</v>
      </c>
      <c r="BF247" t="s">
        <v>300</v>
      </c>
      <c r="BG247" t="s">
        <v>17</v>
      </c>
      <c r="BH247" t="s">
        <v>0</v>
      </c>
      <c r="BI247" t="s">
        <v>11</v>
      </c>
      <c r="BJ247" t="s">
        <v>0</v>
      </c>
      <c r="BK247" t="s">
        <v>0</v>
      </c>
      <c r="BL247" s="5">
        <v>0</v>
      </c>
      <c r="BM247" t="s">
        <v>0</v>
      </c>
      <c r="BN247" t="s">
        <v>0</v>
      </c>
      <c r="BO247" t="s">
        <v>0</v>
      </c>
      <c r="BP247" t="s">
        <v>17</v>
      </c>
      <c r="BQ247" t="s">
        <v>0</v>
      </c>
      <c r="BR247" t="s">
        <v>17</v>
      </c>
      <c r="BS247" t="s">
        <v>17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</row>
    <row r="248" spans="1:80" ht="13.95" customHeight="1" x14ac:dyDescent="0.25">
      <c r="A248" t="s">
        <v>310</v>
      </c>
      <c r="B248" s="2">
        <v>46060</v>
      </c>
      <c r="C248" s="2">
        <v>46060</v>
      </c>
      <c r="D248" s="2">
        <v>46112</v>
      </c>
      <c r="E248" t="s">
        <v>2</v>
      </c>
      <c r="F248" t="s">
        <v>3</v>
      </c>
      <c r="G248" t="s">
        <v>0</v>
      </c>
      <c r="H248" t="s">
        <v>4</v>
      </c>
      <c r="I248" t="s">
        <v>297</v>
      </c>
      <c r="J248" t="s">
        <v>6</v>
      </c>
      <c r="K248" t="s">
        <v>88</v>
      </c>
      <c r="L248" t="s">
        <v>35</v>
      </c>
      <c r="M248" t="s">
        <v>36</v>
      </c>
      <c r="N248" t="s">
        <v>10</v>
      </c>
      <c r="O248" t="s">
        <v>0</v>
      </c>
      <c r="P248" t="s">
        <v>11</v>
      </c>
      <c r="Q248" s="5">
        <v>12</v>
      </c>
      <c r="R248" s="4">
        <v>54300</v>
      </c>
      <c r="S248" s="5">
        <v>1</v>
      </c>
      <c r="T248" s="4">
        <v>651600</v>
      </c>
      <c r="U248" s="5">
        <v>0</v>
      </c>
      <c r="V248" s="4">
        <v>0</v>
      </c>
      <c r="W248" s="5">
        <v>0</v>
      </c>
      <c r="X248" s="4">
        <v>0</v>
      </c>
      <c r="Y248" s="4">
        <f t="shared" si="6"/>
        <v>651600</v>
      </c>
      <c r="Z248" s="6" t="s">
        <v>0</v>
      </c>
      <c r="AA248" t="s">
        <v>2</v>
      </c>
      <c r="AB248" t="s">
        <v>12</v>
      </c>
      <c r="AC248">
        <f>_xlfn.XLOOKUP(AB248,'[1]GST Codes'!$A:$A,'[1]GST Codes'!$C:$C,0,0)</f>
        <v>18</v>
      </c>
      <c r="AD248">
        <f t="shared" si="7"/>
        <v>768888</v>
      </c>
      <c r="AE248" t="s">
        <v>13</v>
      </c>
      <c r="AF248" t="s">
        <v>0</v>
      </c>
      <c r="AG248" t="s">
        <v>14</v>
      </c>
      <c r="AH248" t="s">
        <v>15</v>
      </c>
      <c r="AI248" t="s">
        <v>85</v>
      </c>
      <c r="AJ248" t="s">
        <v>17</v>
      </c>
      <c r="AK248" t="s">
        <v>18</v>
      </c>
      <c r="AL248" t="s">
        <v>19</v>
      </c>
      <c r="AM248" t="s">
        <v>297</v>
      </c>
      <c r="AN248" t="s">
        <v>0</v>
      </c>
      <c r="AO248" t="s">
        <v>0</v>
      </c>
      <c r="AP248" t="s">
        <v>0</v>
      </c>
      <c r="AQ248" s="5">
        <v>12</v>
      </c>
      <c r="AR248" t="s">
        <v>11</v>
      </c>
      <c r="AS248" t="s">
        <v>0</v>
      </c>
      <c r="AT248" t="s">
        <v>17</v>
      </c>
      <c r="AU248" s="4">
        <v>0</v>
      </c>
      <c r="AV248" s="4">
        <v>0</v>
      </c>
      <c r="AW248" s="4">
        <v>0</v>
      </c>
      <c r="AX248" s="4">
        <v>0</v>
      </c>
      <c r="AY248" s="5">
        <v>0</v>
      </c>
      <c r="AZ248" s="5">
        <v>0</v>
      </c>
      <c r="BA248" s="5">
        <v>0</v>
      </c>
      <c r="BB248" s="2"/>
      <c r="BC248" t="s">
        <v>0</v>
      </c>
      <c r="BD248" s="5">
        <v>1</v>
      </c>
      <c r="BE248" t="s">
        <v>0</v>
      </c>
      <c r="BF248" t="s">
        <v>300</v>
      </c>
      <c r="BG248" t="s">
        <v>17</v>
      </c>
      <c r="BH248" t="s">
        <v>0</v>
      </c>
      <c r="BI248" t="s">
        <v>11</v>
      </c>
      <c r="BJ248" t="s">
        <v>0</v>
      </c>
      <c r="BK248" t="s">
        <v>0</v>
      </c>
      <c r="BL248" s="5">
        <v>0</v>
      </c>
      <c r="BM248" t="s">
        <v>0</v>
      </c>
      <c r="BN248" t="s">
        <v>0</v>
      </c>
      <c r="BO248" t="s">
        <v>0</v>
      </c>
      <c r="BP248" t="s">
        <v>17</v>
      </c>
      <c r="BQ248" t="s">
        <v>0</v>
      </c>
      <c r="BR248" t="s">
        <v>17</v>
      </c>
      <c r="BS248" t="s">
        <v>17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</row>
    <row r="249" spans="1:80" ht="13.95" customHeight="1" x14ac:dyDescent="0.25">
      <c r="A249" t="s">
        <v>310</v>
      </c>
      <c r="B249" s="2">
        <v>46060</v>
      </c>
      <c r="C249" s="2">
        <v>46060</v>
      </c>
      <c r="D249" s="2">
        <v>46112</v>
      </c>
      <c r="E249" t="s">
        <v>2</v>
      </c>
      <c r="F249" t="s">
        <v>3</v>
      </c>
      <c r="G249" t="s">
        <v>0</v>
      </c>
      <c r="H249" t="s">
        <v>4</v>
      </c>
      <c r="I249" t="s">
        <v>297</v>
      </c>
      <c r="J249" t="s">
        <v>6</v>
      </c>
      <c r="K249" t="s">
        <v>89</v>
      </c>
      <c r="L249" t="s">
        <v>35</v>
      </c>
      <c r="M249" t="s">
        <v>36</v>
      </c>
      <c r="N249" t="s">
        <v>10</v>
      </c>
      <c r="O249" t="s">
        <v>0</v>
      </c>
      <c r="P249" t="s">
        <v>11</v>
      </c>
      <c r="Q249" s="5">
        <v>12</v>
      </c>
      <c r="R249" s="4">
        <v>54300</v>
      </c>
      <c r="S249" s="5">
        <v>1</v>
      </c>
      <c r="T249" s="4">
        <v>651600</v>
      </c>
      <c r="U249" s="5">
        <v>0</v>
      </c>
      <c r="V249" s="4">
        <v>0</v>
      </c>
      <c r="W249" s="5">
        <v>0</v>
      </c>
      <c r="X249" s="4">
        <v>0</v>
      </c>
      <c r="Y249" s="4">
        <f t="shared" si="6"/>
        <v>651600</v>
      </c>
      <c r="Z249" s="6" t="s">
        <v>0</v>
      </c>
      <c r="AA249" t="s">
        <v>2</v>
      </c>
      <c r="AB249" t="s">
        <v>12</v>
      </c>
      <c r="AC249">
        <f>_xlfn.XLOOKUP(AB249,'[1]GST Codes'!$A:$A,'[1]GST Codes'!$C:$C,0,0)</f>
        <v>18</v>
      </c>
      <c r="AD249">
        <f t="shared" si="7"/>
        <v>768888</v>
      </c>
      <c r="AE249" t="s">
        <v>13</v>
      </c>
      <c r="AF249" t="s">
        <v>0</v>
      </c>
      <c r="AG249" t="s">
        <v>14</v>
      </c>
      <c r="AH249" t="s">
        <v>15</v>
      </c>
      <c r="AI249" t="s">
        <v>85</v>
      </c>
      <c r="AJ249" t="s">
        <v>17</v>
      </c>
      <c r="AK249" t="s">
        <v>18</v>
      </c>
      <c r="AL249" t="s">
        <v>19</v>
      </c>
      <c r="AM249" t="s">
        <v>297</v>
      </c>
      <c r="AN249" t="s">
        <v>0</v>
      </c>
      <c r="AO249" t="s">
        <v>0</v>
      </c>
      <c r="AP249" t="s">
        <v>0</v>
      </c>
      <c r="AQ249" s="5">
        <v>12</v>
      </c>
      <c r="AR249" t="s">
        <v>11</v>
      </c>
      <c r="AS249" t="s">
        <v>0</v>
      </c>
      <c r="AT249" t="s">
        <v>17</v>
      </c>
      <c r="AU249" s="4">
        <v>0</v>
      </c>
      <c r="AV249" s="4">
        <v>0</v>
      </c>
      <c r="AW249" s="4">
        <v>0</v>
      </c>
      <c r="AX249" s="4">
        <v>0</v>
      </c>
      <c r="AY249" s="5">
        <v>0</v>
      </c>
      <c r="AZ249" s="5">
        <v>0</v>
      </c>
      <c r="BA249" s="5">
        <v>0</v>
      </c>
      <c r="BB249" s="2"/>
      <c r="BC249" t="s">
        <v>0</v>
      </c>
      <c r="BD249" s="5">
        <v>1</v>
      </c>
      <c r="BE249" t="s">
        <v>0</v>
      </c>
      <c r="BF249" t="s">
        <v>300</v>
      </c>
      <c r="BG249" t="s">
        <v>17</v>
      </c>
      <c r="BH249" t="s">
        <v>0</v>
      </c>
      <c r="BI249" t="s">
        <v>11</v>
      </c>
      <c r="BJ249" t="s">
        <v>0</v>
      </c>
      <c r="BK249" t="s">
        <v>0</v>
      </c>
      <c r="BL249" s="5">
        <v>0</v>
      </c>
      <c r="BM249" t="s">
        <v>0</v>
      </c>
      <c r="BN249" t="s">
        <v>0</v>
      </c>
      <c r="BO249" t="s">
        <v>0</v>
      </c>
      <c r="BP249" t="s">
        <v>17</v>
      </c>
      <c r="BQ249" t="s">
        <v>0</v>
      </c>
      <c r="BR249" t="s">
        <v>17</v>
      </c>
      <c r="BS249" t="s">
        <v>17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</row>
    <row r="250" spans="1:80" ht="13.95" customHeight="1" x14ac:dyDescent="0.25">
      <c r="A250" t="s">
        <v>310</v>
      </c>
      <c r="B250" s="2">
        <v>46060</v>
      </c>
      <c r="C250" s="2">
        <v>46060</v>
      </c>
      <c r="D250" s="2">
        <v>46112</v>
      </c>
      <c r="E250" t="s">
        <v>2</v>
      </c>
      <c r="F250" t="s">
        <v>3</v>
      </c>
      <c r="G250" t="s">
        <v>0</v>
      </c>
      <c r="H250" t="s">
        <v>4</v>
      </c>
      <c r="I250" t="s">
        <v>297</v>
      </c>
      <c r="J250" t="s">
        <v>6</v>
      </c>
      <c r="K250" t="s">
        <v>90</v>
      </c>
      <c r="L250" t="s">
        <v>35</v>
      </c>
      <c r="M250" t="s">
        <v>36</v>
      </c>
      <c r="N250" t="s">
        <v>10</v>
      </c>
      <c r="O250" t="s">
        <v>0</v>
      </c>
      <c r="P250" t="s">
        <v>11</v>
      </c>
      <c r="Q250" s="5">
        <v>12</v>
      </c>
      <c r="R250" s="4">
        <v>54300</v>
      </c>
      <c r="S250" s="5">
        <v>1</v>
      </c>
      <c r="T250" s="4">
        <v>651600</v>
      </c>
      <c r="U250" s="5">
        <v>0</v>
      </c>
      <c r="V250" s="4">
        <v>0</v>
      </c>
      <c r="W250" s="5">
        <v>0</v>
      </c>
      <c r="X250" s="4">
        <v>0</v>
      </c>
      <c r="Y250" s="4">
        <f t="shared" si="6"/>
        <v>651600</v>
      </c>
      <c r="Z250" s="6" t="s">
        <v>0</v>
      </c>
      <c r="AA250" t="s">
        <v>2</v>
      </c>
      <c r="AB250" t="s">
        <v>12</v>
      </c>
      <c r="AC250">
        <f>_xlfn.XLOOKUP(AB250,'[1]GST Codes'!$A:$A,'[1]GST Codes'!$C:$C,0,0)</f>
        <v>18</v>
      </c>
      <c r="AD250">
        <f t="shared" si="7"/>
        <v>768888</v>
      </c>
      <c r="AE250" t="s">
        <v>13</v>
      </c>
      <c r="AF250" t="s">
        <v>0</v>
      </c>
      <c r="AG250" t="s">
        <v>14</v>
      </c>
      <c r="AH250" t="s">
        <v>15</v>
      </c>
      <c r="AI250" t="s">
        <v>85</v>
      </c>
      <c r="AJ250" t="s">
        <v>17</v>
      </c>
      <c r="AK250" t="s">
        <v>18</v>
      </c>
      <c r="AL250" t="s">
        <v>19</v>
      </c>
      <c r="AM250" t="s">
        <v>297</v>
      </c>
      <c r="AN250" t="s">
        <v>0</v>
      </c>
      <c r="AO250" t="s">
        <v>0</v>
      </c>
      <c r="AP250" t="s">
        <v>0</v>
      </c>
      <c r="AQ250" s="5">
        <v>12</v>
      </c>
      <c r="AR250" t="s">
        <v>11</v>
      </c>
      <c r="AS250" t="s">
        <v>0</v>
      </c>
      <c r="AT250" t="s">
        <v>17</v>
      </c>
      <c r="AU250" s="4">
        <v>0</v>
      </c>
      <c r="AV250" s="4">
        <v>0</v>
      </c>
      <c r="AW250" s="4">
        <v>0</v>
      </c>
      <c r="AX250" s="4">
        <v>0</v>
      </c>
      <c r="AY250" s="5">
        <v>0</v>
      </c>
      <c r="AZ250" s="5">
        <v>0</v>
      </c>
      <c r="BA250" s="5">
        <v>0</v>
      </c>
      <c r="BB250" s="2"/>
      <c r="BC250" t="s">
        <v>0</v>
      </c>
      <c r="BD250" s="5">
        <v>1</v>
      </c>
      <c r="BE250" t="s">
        <v>0</v>
      </c>
      <c r="BF250" t="s">
        <v>300</v>
      </c>
      <c r="BG250" t="s">
        <v>17</v>
      </c>
      <c r="BH250" t="s">
        <v>0</v>
      </c>
      <c r="BI250" t="s">
        <v>11</v>
      </c>
      <c r="BJ250" t="s">
        <v>0</v>
      </c>
      <c r="BK250" t="s">
        <v>0</v>
      </c>
      <c r="BL250" s="5">
        <v>0</v>
      </c>
      <c r="BM250" t="s">
        <v>0</v>
      </c>
      <c r="BN250" t="s">
        <v>0</v>
      </c>
      <c r="BO250" t="s">
        <v>0</v>
      </c>
      <c r="BP250" t="s">
        <v>17</v>
      </c>
      <c r="BQ250" t="s">
        <v>0</v>
      </c>
      <c r="BR250" t="s">
        <v>17</v>
      </c>
      <c r="BS250" t="s">
        <v>17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</row>
    <row r="251" spans="1:80" ht="13.95" customHeight="1" x14ac:dyDescent="0.25">
      <c r="A251" t="s">
        <v>311</v>
      </c>
      <c r="B251" s="2">
        <v>46092</v>
      </c>
      <c r="C251" s="2">
        <v>46092</v>
      </c>
      <c r="D251" s="2">
        <v>46123</v>
      </c>
      <c r="E251" t="s">
        <v>2</v>
      </c>
      <c r="F251" t="s">
        <v>3</v>
      </c>
      <c r="G251" t="s">
        <v>0</v>
      </c>
      <c r="H251" t="s">
        <v>4</v>
      </c>
      <c r="I251" t="s">
        <v>297</v>
      </c>
      <c r="J251" t="s">
        <v>6</v>
      </c>
      <c r="K251" t="s">
        <v>7</v>
      </c>
      <c r="L251" t="s">
        <v>35</v>
      </c>
      <c r="M251" t="s">
        <v>36</v>
      </c>
      <c r="N251" t="s">
        <v>10</v>
      </c>
      <c r="O251" t="s">
        <v>0</v>
      </c>
      <c r="P251" t="s">
        <v>11</v>
      </c>
      <c r="Q251" s="5">
        <v>37</v>
      </c>
      <c r="R251" s="4">
        <v>55800</v>
      </c>
      <c r="S251" s="5">
        <v>1</v>
      </c>
      <c r="T251" s="4">
        <v>2064600</v>
      </c>
      <c r="U251" s="5">
        <v>0</v>
      </c>
      <c r="V251" s="4">
        <v>0</v>
      </c>
      <c r="W251" s="5">
        <v>0</v>
      </c>
      <c r="X251" s="4">
        <v>0</v>
      </c>
      <c r="Y251" s="4">
        <f t="shared" si="6"/>
        <v>2064600</v>
      </c>
      <c r="Z251" s="6" t="s">
        <v>0</v>
      </c>
      <c r="AA251" t="s">
        <v>2</v>
      </c>
      <c r="AB251" t="s">
        <v>12</v>
      </c>
      <c r="AC251">
        <f>_xlfn.XLOOKUP(AB251,'[1]GST Codes'!$A:$A,'[1]GST Codes'!$C:$C,0,0)</f>
        <v>18</v>
      </c>
      <c r="AD251">
        <f t="shared" si="7"/>
        <v>2436228</v>
      </c>
      <c r="AE251" t="s">
        <v>13</v>
      </c>
      <c r="AF251" t="s">
        <v>0</v>
      </c>
      <c r="AG251" t="s">
        <v>14</v>
      </c>
      <c r="AH251" t="s">
        <v>15</v>
      </c>
      <c r="AI251" t="s">
        <v>85</v>
      </c>
      <c r="AJ251" t="s">
        <v>17</v>
      </c>
      <c r="AK251" t="s">
        <v>18</v>
      </c>
      <c r="AL251" t="s">
        <v>19</v>
      </c>
      <c r="AM251" t="s">
        <v>297</v>
      </c>
      <c r="AN251" t="s">
        <v>0</v>
      </c>
      <c r="AO251" t="s">
        <v>0</v>
      </c>
      <c r="AP251" t="s">
        <v>0</v>
      </c>
      <c r="AQ251" s="5">
        <v>37</v>
      </c>
      <c r="AR251" t="s">
        <v>11</v>
      </c>
      <c r="AS251" t="s">
        <v>0</v>
      </c>
      <c r="AT251" t="s">
        <v>17</v>
      </c>
      <c r="AU251" s="4">
        <v>0</v>
      </c>
      <c r="AV251" s="4">
        <v>0</v>
      </c>
      <c r="AW251" s="4">
        <v>0</v>
      </c>
      <c r="AX251" s="4">
        <v>0</v>
      </c>
      <c r="AY251" s="5">
        <v>0</v>
      </c>
      <c r="AZ251" s="5">
        <v>0</v>
      </c>
      <c r="BA251" s="5">
        <v>0</v>
      </c>
      <c r="BB251" s="2"/>
      <c r="BC251" t="s">
        <v>0</v>
      </c>
      <c r="BD251" s="5">
        <v>1</v>
      </c>
      <c r="BE251" t="s">
        <v>0</v>
      </c>
      <c r="BF251" t="s">
        <v>300</v>
      </c>
      <c r="BG251" t="s">
        <v>17</v>
      </c>
      <c r="BH251" t="s">
        <v>0</v>
      </c>
      <c r="BI251" t="s">
        <v>11</v>
      </c>
      <c r="BJ251" t="s">
        <v>0</v>
      </c>
      <c r="BK251" t="s">
        <v>0</v>
      </c>
      <c r="BL251" s="5">
        <v>0</v>
      </c>
      <c r="BM251" t="s">
        <v>0</v>
      </c>
      <c r="BN251" t="s">
        <v>0</v>
      </c>
      <c r="BO251" t="s">
        <v>0</v>
      </c>
      <c r="BP251" t="s">
        <v>17</v>
      </c>
      <c r="BQ251" t="s">
        <v>0</v>
      </c>
      <c r="BR251" t="s">
        <v>17</v>
      </c>
      <c r="BS251" t="s">
        <v>17</v>
      </c>
      <c r="BT251" t="s">
        <v>0</v>
      </c>
      <c r="BU251" t="s">
        <v>0</v>
      </c>
      <c r="BV251" t="s">
        <v>0</v>
      </c>
      <c r="BW251" t="s">
        <v>0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</row>
    <row r="252" spans="1:80" ht="13.95" customHeight="1" x14ac:dyDescent="0.25">
      <c r="A252" t="s">
        <v>311</v>
      </c>
      <c r="B252" s="2">
        <v>46092</v>
      </c>
      <c r="C252" s="2">
        <v>46092</v>
      </c>
      <c r="D252" s="2">
        <v>46123</v>
      </c>
      <c r="E252" t="s">
        <v>2</v>
      </c>
      <c r="F252" t="s">
        <v>3</v>
      </c>
      <c r="G252" t="s">
        <v>0</v>
      </c>
      <c r="H252" t="s">
        <v>4</v>
      </c>
      <c r="I252" t="s">
        <v>297</v>
      </c>
      <c r="J252" t="s">
        <v>6</v>
      </c>
      <c r="K252" t="s">
        <v>22</v>
      </c>
      <c r="L252" t="s">
        <v>35</v>
      </c>
      <c r="M252" t="s">
        <v>36</v>
      </c>
      <c r="N252" t="s">
        <v>10</v>
      </c>
      <c r="O252" t="s">
        <v>0</v>
      </c>
      <c r="P252" t="s">
        <v>11</v>
      </c>
      <c r="Q252" s="5">
        <v>37</v>
      </c>
      <c r="R252" s="4">
        <v>55800</v>
      </c>
      <c r="S252" s="5">
        <v>1</v>
      </c>
      <c r="T252" s="4">
        <v>2064600</v>
      </c>
      <c r="U252" s="5">
        <v>0</v>
      </c>
      <c r="V252" s="4">
        <v>0</v>
      </c>
      <c r="W252" s="5">
        <v>0</v>
      </c>
      <c r="X252" s="4">
        <v>0</v>
      </c>
      <c r="Y252" s="4">
        <f t="shared" si="6"/>
        <v>2064600</v>
      </c>
      <c r="Z252" s="6" t="s">
        <v>0</v>
      </c>
      <c r="AA252" t="s">
        <v>2</v>
      </c>
      <c r="AB252" t="s">
        <v>12</v>
      </c>
      <c r="AC252">
        <f>_xlfn.XLOOKUP(AB252,'[1]GST Codes'!$A:$A,'[1]GST Codes'!$C:$C,0,0)</f>
        <v>18</v>
      </c>
      <c r="AD252">
        <f t="shared" si="7"/>
        <v>2436228</v>
      </c>
      <c r="AE252" t="s">
        <v>13</v>
      </c>
      <c r="AF252" t="s">
        <v>0</v>
      </c>
      <c r="AG252" t="s">
        <v>14</v>
      </c>
      <c r="AH252" t="s">
        <v>15</v>
      </c>
      <c r="AI252" t="s">
        <v>85</v>
      </c>
      <c r="AJ252" t="s">
        <v>17</v>
      </c>
      <c r="AK252" t="s">
        <v>18</v>
      </c>
      <c r="AL252" t="s">
        <v>19</v>
      </c>
      <c r="AM252" t="s">
        <v>297</v>
      </c>
      <c r="AN252" t="s">
        <v>0</v>
      </c>
      <c r="AO252" t="s">
        <v>0</v>
      </c>
      <c r="AP252" t="s">
        <v>0</v>
      </c>
      <c r="AQ252" s="5">
        <v>37</v>
      </c>
      <c r="AR252" t="s">
        <v>11</v>
      </c>
      <c r="AS252" t="s">
        <v>0</v>
      </c>
      <c r="AT252" t="s">
        <v>17</v>
      </c>
      <c r="AU252" s="4">
        <v>0</v>
      </c>
      <c r="AV252" s="4">
        <v>0</v>
      </c>
      <c r="AW252" s="4">
        <v>0</v>
      </c>
      <c r="AX252" s="4">
        <v>0</v>
      </c>
      <c r="AY252" s="5">
        <v>0</v>
      </c>
      <c r="AZ252" s="5">
        <v>0</v>
      </c>
      <c r="BA252" s="5">
        <v>0</v>
      </c>
      <c r="BB252" s="2"/>
      <c r="BC252" t="s">
        <v>0</v>
      </c>
      <c r="BD252" s="5">
        <v>1</v>
      </c>
      <c r="BE252" t="s">
        <v>0</v>
      </c>
      <c r="BF252" t="s">
        <v>300</v>
      </c>
      <c r="BG252" t="s">
        <v>17</v>
      </c>
      <c r="BH252" t="s">
        <v>0</v>
      </c>
      <c r="BI252" t="s">
        <v>11</v>
      </c>
      <c r="BJ252" t="s">
        <v>0</v>
      </c>
      <c r="BK252" t="s">
        <v>0</v>
      </c>
      <c r="BL252" s="5">
        <v>0</v>
      </c>
      <c r="BM252" t="s">
        <v>0</v>
      </c>
      <c r="BN252" t="s">
        <v>0</v>
      </c>
      <c r="BO252" t="s">
        <v>0</v>
      </c>
      <c r="BP252" t="s">
        <v>17</v>
      </c>
      <c r="BQ252" t="s">
        <v>0</v>
      </c>
      <c r="BR252" t="s">
        <v>17</v>
      </c>
      <c r="BS252" t="s">
        <v>17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</row>
    <row r="253" spans="1:80" ht="13.95" customHeight="1" x14ac:dyDescent="0.25">
      <c r="A253" t="s">
        <v>311</v>
      </c>
      <c r="B253" s="2">
        <v>46092</v>
      </c>
      <c r="C253" s="2">
        <v>46092</v>
      </c>
      <c r="D253" s="2">
        <v>46123</v>
      </c>
      <c r="E253" t="s">
        <v>2</v>
      </c>
      <c r="F253" t="s">
        <v>3</v>
      </c>
      <c r="G253" t="s">
        <v>0</v>
      </c>
      <c r="H253" t="s">
        <v>4</v>
      </c>
      <c r="I253" t="s">
        <v>297</v>
      </c>
      <c r="J253" t="s">
        <v>6</v>
      </c>
      <c r="K253" t="s">
        <v>26</v>
      </c>
      <c r="L253" t="s">
        <v>35</v>
      </c>
      <c r="M253" t="s">
        <v>36</v>
      </c>
      <c r="N253" t="s">
        <v>10</v>
      </c>
      <c r="O253" t="s">
        <v>0</v>
      </c>
      <c r="P253" t="s">
        <v>11</v>
      </c>
      <c r="Q253" s="5">
        <v>37</v>
      </c>
      <c r="R253" s="4">
        <v>55800</v>
      </c>
      <c r="S253" s="5">
        <v>1</v>
      </c>
      <c r="T253" s="4">
        <v>2064600</v>
      </c>
      <c r="U253" s="5">
        <v>0</v>
      </c>
      <c r="V253" s="4">
        <v>0</v>
      </c>
      <c r="W253" s="5">
        <v>0</v>
      </c>
      <c r="X253" s="4">
        <v>0</v>
      </c>
      <c r="Y253" s="4">
        <f t="shared" si="6"/>
        <v>2064600</v>
      </c>
      <c r="Z253" s="6" t="s">
        <v>0</v>
      </c>
      <c r="AA253" t="s">
        <v>2</v>
      </c>
      <c r="AB253" t="s">
        <v>12</v>
      </c>
      <c r="AC253">
        <f>_xlfn.XLOOKUP(AB253,'[1]GST Codes'!$A:$A,'[1]GST Codes'!$C:$C,0,0)</f>
        <v>18</v>
      </c>
      <c r="AD253">
        <f t="shared" si="7"/>
        <v>2436228</v>
      </c>
      <c r="AE253" t="s">
        <v>13</v>
      </c>
      <c r="AF253" t="s">
        <v>0</v>
      </c>
      <c r="AG253" t="s">
        <v>14</v>
      </c>
      <c r="AH253" t="s">
        <v>15</v>
      </c>
      <c r="AI253" t="s">
        <v>85</v>
      </c>
      <c r="AJ253" t="s">
        <v>17</v>
      </c>
      <c r="AK253" t="s">
        <v>18</v>
      </c>
      <c r="AL253" t="s">
        <v>19</v>
      </c>
      <c r="AM253" t="s">
        <v>297</v>
      </c>
      <c r="AN253" t="s">
        <v>0</v>
      </c>
      <c r="AO253" t="s">
        <v>0</v>
      </c>
      <c r="AP253" t="s">
        <v>0</v>
      </c>
      <c r="AQ253" s="5">
        <v>37</v>
      </c>
      <c r="AR253" t="s">
        <v>11</v>
      </c>
      <c r="AS253" t="s">
        <v>0</v>
      </c>
      <c r="AT253" t="s">
        <v>17</v>
      </c>
      <c r="AU253" s="4">
        <v>0</v>
      </c>
      <c r="AV253" s="4">
        <v>0</v>
      </c>
      <c r="AW253" s="4">
        <v>0</v>
      </c>
      <c r="AX253" s="4">
        <v>0</v>
      </c>
      <c r="AY253" s="5">
        <v>0</v>
      </c>
      <c r="AZ253" s="5">
        <v>0</v>
      </c>
      <c r="BA253" s="5">
        <v>0</v>
      </c>
      <c r="BB253" s="2"/>
      <c r="BC253" t="s">
        <v>0</v>
      </c>
      <c r="BD253" s="5">
        <v>1</v>
      </c>
      <c r="BE253" t="s">
        <v>0</v>
      </c>
      <c r="BF253" t="s">
        <v>300</v>
      </c>
      <c r="BG253" t="s">
        <v>17</v>
      </c>
      <c r="BH253" t="s">
        <v>0</v>
      </c>
      <c r="BI253" t="s">
        <v>11</v>
      </c>
      <c r="BJ253" t="s">
        <v>0</v>
      </c>
      <c r="BK253" t="s">
        <v>0</v>
      </c>
      <c r="BL253" s="5">
        <v>0</v>
      </c>
      <c r="BM253" t="s">
        <v>0</v>
      </c>
      <c r="BN253" t="s">
        <v>0</v>
      </c>
      <c r="BO253" t="s">
        <v>0</v>
      </c>
      <c r="BP253" t="s">
        <v>17</v>
      </c>
      <c r="BQ253" t="s">
        <v>0</v>
      </c>
      <c r="BR253" t="s">
        <v>17</v>
      </c>
      <c r="BS253" t="s">
        <v>17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</row>
    <row r="254" spans="1:80" ht="13.95" customHeight="1" x14ac:dyDescent="0.25">
      <c r="A254" t="s">
        <v>311</v>
      </c>
      <c r="B254" s="2">
        <v>46092</v>
      </c>
      <c r="C254" s="2">
        <v>46092</v>
      </c>
      <c r="D254" s="2">
        <v>46123</v>
      </c>
      <c r="E254" t="s">
        <v>2</v>
      </c>
      <c r="F254" t="s">
        <v>3</v>
      </c>
      <c r="G254" t="s">
        <v>0</v>
      </c>
      <c r="H254" t="s">
        <v>4</v>
      </c>
      <c r="I254" t="s">
        <v>297</v>
      </c>
      <c r="J254" t="s">
        <v>6</v>
      </c>
      <c r="K254" t="s">
        <v>30</v>
      </c>
      <c r="L254" t="s">
        <v>35</v>
      </c>
      <c r="M254" t="s">
        <v>36</v>
      </c>
      <c r="N254" t="s">
        <v>10</v>
      </c>
      <c r="O254" t="s">
        <v>0</v>
      </c>
      <c r="P254" t="s">
        <v>11</v>
      </c>
      <c r="Q254" s="5">
        <v>37</v>
      </c>
      <c r="R254" s="4">
        <v>55800</v>
      </c>
      <c r="S254" s="5">
        <v>1</v>
      </c>
      <c r="T254" s="4">
        <v>2064600</v>
      </c>
      <c r="U254" s="5">
        <v>0</v>
      </c>
      <c r="V254" s="4">
        <v>0</v>
      </c>
      <c r="W254" s="5">
        <v>0</v>
      </c>
      <c r="X254" s="4">
        <v>0</v>
      </c>
      <c r="Y254" s="4">
        <f t="shared" si="6"/>
        <v>2064600</v>
      </c>
      <c r="Z254" s="6" t="s">
        <v>0</v>
      </c>
      <c r="AA254" t="s">
        <v>2</v>
      </c>
      <c r="AB254" t="s">
        <v>12</v>
      </c>
      <c r="AC254">
        <f>_xlfn.XLOOKUP(AB254,'[1]GST Codes'!$A:$A,'[1]GST Codes'!$C:$C,0,0)</f>
        <v>18</v>
      </c>
      <c r="AD254">
        <f t="shared" si="7"/>
        <v>2436228</v>
      </c>
      <c r="AE254" t="s">
        <v>13</v>
      </c>
      <c r="AF254" t="s">
        <v>0</v>
      </c>
      <c r="AG254" t="s">
        <v>14</v>
      </c>
      <c r="AH254" t="s">
        <v>15</v>
      </c>
      <c r="AI254" t="s">
        <v>85</v>
      </c>
      <c r="AJ254" t="s">
        <v>17</v>
      </c>
      <c r="AK254" t="s">
        <v>18</v>
      </c>
      <c r="AL254" t="s">
        <v>19</v>
      </c>
      <c r="AM254" t="s">
        <v>297</v>
      </c>
      <c r="AN254" t="s">
        <v>0</v>
      </c>
      <c r="AO254" t="s">
        <v>0</v>
      </c>
      <c r="AP254" t="s">
        <v>0</v>
      </c>
      <c r="AQ254" s="5">
        <v>37</v>
      </c>
      <c r="AR254" t="s">
        <v>11</v>
      </c>
      <c r="AS254" t="s">
        <v>0</v>
      </c>
      <c r="AT254" t="s">
        <v>17</v>
      </c>
      <c r="AU254" s="4">
        <v>0</v>
      </c>
      <c r="AV254" s="4">
        <v>0</v>
      </c>
      <c r="AW254" s="4">
        <v>0</v>
      </c>
      <c r="AX254" s="4">
        <v>0</v>
      </c>
      <c r="AY254" s="5">
        <v>0</v>
      </c>
      <c r="AZ254" s="5">
        <v>0</v>
      </c>
      <c r="BA254" s="5">
        <v>0</v>
      </c>
      <c r="BB254" s="2"/>
      <c r="BC254" t="s">
        <v>0</v>
      </c>
      <c r="BD254" s="5">
        <v>1</v>
      </c>
      <c r="BE254" t="s">
        <v>0</v>
      </c>
      <c r="BF254" t="s">
        <v>300</v>
      </c>
      <c r="BG254" t="s">
        <v>17</v>
      </c>
      <c r="BH254" t="s">
        <v>0</v>
      </c>
      <c r="BI254" t="s">
        <v>11</v>
      </c>
      <c r="BJ254" t="s">
        <v>0</v>
      </c>
      <c r="BK254" t="s">
        <v>0</v>
      </c>
      <c r="BL254" s="5">
        <v>0</v>
      </c>
      <c r="BM254" t="s">
        <v>0</v>
      </c>
      <c r="BN254" t="s">
        <v>0</v>
      </c>
      <c r="BO254" t="s">
        <v>0</v>
      </c>
      <c r="BP254" t="s">
        <v>17</v>
      </c>
      <c r="BQ254" t="s">
        <v>0</v>
      </c>
      <c r="BR254" t="s">
        <v>17</v>
      </c>
      <c r="BS254" t="s">
        <v>17</v>
      </c>
      <c r="BT254" t="s">
        <v>0</v>
      </c>
      <c r="BU254" t="s">
        <v>0</v>
      </c>
      <c r="BV254" t="s">
        <v>0</v>
      </c>
      <c r="BW254" t="s">
        <v>0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</row>
    <row r="255" spans="1:80" ht="13.95" customHeight="1" x14ac:dyDescent="0.25">
      <c r="A255" t="s">
        <v>311</v>
      </c>
      <c r="B255" s="2">
        <v>46092</v>
      </c>
      <c r="C255" s="2">
        <v>46092</v>
      </c>
      <c r="D255" s="2">
        <v>46123</v>
      </c>
      <c r="E255" t="s">
        <v>2</v>
      </c>
      <c r="F255" t="s">
        <v>3</v>
      </c>
      <c r="G255" t="s">
        <v>0</v>
      </c>
      <c r="H255" t="s">
        <v>4</v>
      </c>
      <c r="I255" t="s">
        <v>297</v>
      </c>
      <c r="J255" t="s">
        <v>6</v>
      </c>
      <c r="K255" t="s">
        <v>34</v>
      </c>
      <c r="L255" t="s">
        <v>35</v>
      </c>
      <c r="M255" t="s">
        <v>36</v>
      </c>
      <c r="N255" t="s">
        <v>10</v>
      </c>
      <c r="O255" t="s">
        <v>0</v>
      </c>
      <c r="P255" t="s">
        <v>11</v>
      </c>
      <c r="Q255" s="5">
        <v>37</v>
      </c>
      <c r="R255" s="4">
        <v>55800</v>
      </c>
      <c r="S255" s="5">
        <v>1</v>
      </c>
      <c r="T255" s="4">
        <v>2064600</v>
      </c>
      <c r="U255" s="5">
        <v>0</v>
      </c>
      <c r="V255" s="4">
        <v>0</v>
      </c>
      <c r="W255" s="5">
        <v>0</v>
      </c>
      <c r="X255" s="4">
        <v>0</v>
      </c>
      <c r="Y255" s="4">
        <f t="shared" si="6"/>
        <v>2064600</v>
      </c>
      <c r="Z255" s="6" t="s">
        <v>0</v>
      </c>
      <c r="AA255" t="s">
        <v>2</v>
      </c>
      <c r="AB255" t="s">
        <v>12</v>
      </c>
      <c r="AC255">
        <f>_xlfn.XLOOKUP(AB255,'[1]GST Codes'!$A:$A,'[1]GST Codes'!$C:$C,0,0)</f>
        <v>18</v>
      </c>
      <c r="AD255">
        <f t="shared" si="7"/>
        <v>2436228</v>
      </c>
      <c r="AE255" t="s">
        <v>13</v>
      </c>
      <c r="AF255" t="s">
        <v>0</v>
      </c>
      <c r="AG255" t="s">
        <v>14</v>
      </c>
      <c r="AH255" t="s">
        <v>15</v>
      </c>
      <c r="AI255" t="s">
        <v>85</v>
      </c>
      <c r="AJ255" t="s">
        <v>17</v>
      </c>
      <c r="AK255" t="s">
        <v>18</v>
      </c>
      <c r="AL255" t="s">
        <v>19</v>
      </c>
      <c r="AM255" t="s">
        <v>297</v>
      </c>
      <c r="AN255" t="s">
        <v>0</v>
      </c>
      <c r="AO255" t="s">
        <v>0</v>
      </c>
      <c r="AP255" t="s">
        <v>0</v>
      </c>
      <c r="AQ255" s="5">
        <v>37</v>
      </c>
      <c r="AR255" t="s">
        <v>11</v>
      </c>
      <c r="AS255" t="s">
        <v>0</v>
      </c>
      <c r="AT255" t="s">
        <v>17</v>
      </c>
      <c r="AU255" s="4">
        <v>0</v>
      </c>
      <c r="AV255" s="4">
        <v>0</v>
      </c>
      <c r="AW255" s="4">
        <v>0</v>
      </c>
      <c r="AX255" s="4">
        <v>0</v>
      </c>
      <c r="AY255" s="5">
        <v>0</v>
      </c>
      <c r="AZ255" s="5">
        <v>0</v>
      </c>
      <c r="BA255" s="5">
        <v>0</v>
      </c>
      <c r="BB255" s="2"/>
      <c r="BC255" t="s">
        <v>0</v>
      </c>
      <c r="BD255" s="5">
        <v>1</v>
      </c>
      <c r="BE255" t="s">
        <v>0</v>
      </c>
      <c r="BF255" t="s">
        <v>300</v>
      </c>
      <c r="BG255" t="s">
        <v>17</v>
      </c>
      <c r="BH255" t="s">
        <v>0</v>
      </c>
      <c r="BI255" t="s">
        <v>11</v>
      </c>
      <c r="BJ255" t="s">
        <v>0</v>
      </c>
      <c r="BK255" t="s">
        <v>0</v>
      </c>
      <c r="BL255" s="5">
        <v>0</v>
      </c>
      <c r="BM255" t="s">
        <v>0</v>
      </c>
      <c r="BN255" t="s">
        <v>0</v>
      </c>
      <c r="BO255" t="s">
        <v>0</v>
      </c>
      <c r="BP255" t="s">
        <v>17</v>
      </c>
      <c r="BQ255" t="s">
        <v>0</v>
      </c>
      <c r="BR255" t="s">
        <v>17</v>
      </c>
      <c r="BS255" t="s">
        <v>17</v>
      </c>
      <c r="BT255" t="s">
        <v>0</v>
      </c>
      <c r="BU255" t="s">
        <v>0</v>
      </c>
      <c r="BV255" t="s">
        <v>0</v>
      </c>
      <c r="BW255" t="s">
        <v>0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</row>
    <row r="256" spans="1:80" ht="13.95" customHeight="1" x14ac:dyDescent="0.25">
      <c r="A256" t="s">
        <v>311</v>
      </c>
      <c r="B256" s="2">
        <v>46092</v>
      </c>
      <c r="C256" s="2">
        <v>46092</v>
      </c>
      <c r="D256" s="2">
        <v>46123</v>
      </c>
      <c r="E256" t="s">
        <v>2</v>
      </c>
      <c r="F256" t="s">
        <v>3</v>
      </c>
      <c r="G256" t="s">
        <v>0</v>
      </c>
      <c r="H256" t="s">
        <v>4</v>
      </c>
      <c r="I256" t="s">
        <v>297</v>
      </c>
      <c r="J256" t="s">
        <v>6</v>
      </c>
      <c r="K256" t="s">
        <v>38</v>
      </c>
      <c r="L256" t="s">
        <v>35</v>
      </c>
      <c r="M256" t="s">
        <v>36</v>
      </c>
      <c r="N256" t="s">
        <v>10</v>
      </c>
      <c r="O256" t="s">
        <v>0</v>
      </c>
      <c r="P256" t="s">
        <v>11</v>
      </c>
      <c r="Q256" s="5">
        <v>37</v>
      </c>
      <c r="R256" s="4">
        <v>55800</v>
      </c>
      <c r="S256" s="5">
        <v>1</v>
      </c>
      <c r="T256" s="4">
        <v>2064600</v>
      </c>
      <c r="U256" s="5">
        <v>0</v>
      </c>
      <c r="V256" s="4">
        <v>0</v>
      </c>
      <c r="W256" s="5">
        <v>0</v>
      </c>
      <c r="X256" s="4">
        <v>0</v>
      </c>
      <c r="Y256" s="4">
        <f t="shared" si="6"/>
        <v>2064600</v>
      </c>
      <c r="Z256" s="6" t="s">
        <v>0</v>
      </c>
      <c r="AA256" t="s">
        <v>2</v>
      </c>
      <c r="AB256" t="s">
        <v>12</v>
      </c>
      <c r="AC256">
        <f>_xlfn.XLOOKUP(AB256,'[1]GST Codes'!$A:$A,'[1]GST Codes'!$C:$C,0,0)</f>
        <v>18</v>
      </c>
      <c r="AD256">
        <f t="shared" si="7"/>
        <v>2436228</v>
      </c>
      <c r="AE256" t="s">
        <v>13</v>
      </c>
      <c r="AF256" t="s">
        <v>0</v>
      </c>
      <c r="AG256" t="s">
        <v>14</v>
      </c>
      <c r="AH256" t="s">
        <v>15</v>
      </c>
      <c r="AI256" t="s">
        <v>85</v>
      </c>
      <c r="AJ256" t="s">
        <v>17</v>
      </c>
      <c r="AK256" t="s">
        <v>18</v>
      </c>
      <c r="AL256" t="s">
        <v>19</v>
      </c>
      <c r="AM256" t="s">
        <v>297</v>
      </c>
      <c r="AN256" t="s">
        <v>0</v>
      </c>
      <c r="AO256" t="s">
        <v>0</v>
      </c>
      <c r="AP256" t="s">
        <v>0</v>
      </c>
      <c r="AQ256" s="5">
        <v>37</v>
      </c>
      <c r="AR256" t="s">
        <v>11</v>
      </c>
      <c r="AS256" t="s">
        <v>0</v>
      </c>
      <c r="AT256" t="s">
        <v>17</v>
      </c>
      <c r="AU256" s="4">
        <v>0</v>
      </c>
      <c r="AV256" s="4">
        <v>0</v>
      </c>
      <c r="AW256" s="4">
        <v>0</v>
      </c>
      <c r="AX256" s="4">
        <v>0</v>
      </c>
      <c r="AY256" s="5">
        <v>0</v>
      </c>
      <c r="AZ256" s="5">
        <v>0</v>
      </c>
      <c r="BA256" s="5">
        <v>0</v>
      </c>
      <c r="BB256" s="2"/>
      <c r="BC256" t="s">
        <v>0</v>
      </c>
      <c r="BD256" s="5">
        <v>1</v>
      </c>
      <c r="BE256" t="s">
        <v>0</v>
      </c>
      <c r="BF256" t="s">
        <v>300</v>
      </c>
      <c r="BG256" t="s">
        <v>17</v>
      </c>
      <c r="BH256" t="s">
        <v>0</v>
      </c>
      <c r="BI256" t="s">
        <v>11</v>
      </c>
      <c r="BJ256" t="s">
        <v>0</v>
      </c>
      <c r="BK256" t="s">
        <v>0</v>
      </c>
      <c r="BL256" s="5">
        <v>0</v>
      </c>
      <c r="BM256" t="s">
        <v>0</v>
      </c>
      <c r="BN256" t="s">
        <v>0</v>
      </c>
      <c r="BO256" t="s">
        <v>0</v>
      </c>
      <c r="BP256" t="s">
        <v>17</v>
      </c>
      <c r="BQ256" t="s">
        <v>0</v>
      </c>
      <c r="BR256" t="s">
        <v>17</v>
      </c>
      <c r="BS256" t="s">
        <v>17</v>
      </c>
      <c r="BT256" t="s">
        <v>0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</row>
    <row r="257" spans="1:80" ht="13.95" customHeight="1" x14ac:dyDescent="0.25">
      <c r="A257" t="s">
        <v>311</v>
      </c>
      <c r="B257" s="2">
        <v>46092</v>
      </c>
      <c r="C257" s="2">
        <v>46092</v>
      </c>
      <c r="D257" s="2">
        <v>46123</v>
      </c>
      <c r="E257" t="s">
        <v>2</v>
      </c>
      <c r="F257" t="s">
        <v>3</v>
      </c>
      <c r="G257" t="s">
        <v>0</v>
      </c>
      <c r="H257" t="s">
        <v>4</v>
      </c>
      <c r="I257" t="s">
        <v>297</v>
      </c>
      <c r="J257" t="s">
        <v>6</v>
      </c>
      <c r="K257" t="s">
        <v>42</v>
      </c>
      <c r="L257" t="s">
        <v>70</v>
      </c>
      <c r="M257" t="s">
        <v>71</v>
      </c>
      <c r="N257" t="s">
        <v>10</v>
      </c>
      <c r="O257" t="s">
        <v>0</v>
      </c>
      <c r="P257" t="s">
        <v>11</v>
      </c>
      <c r="Q257" s="5">
        <v>30</v>
      </c>
      <c r="R257" s="4">
        <v>56800</v>
      </c>
      <c r="S257" s="5">
        <v>1</v>
      </c>
      <c r="T257" s="4">
        <v>1704000</v>
      </c>
      <c r="U257" s="5">
        <v>0</v>
      </c>
      <c r="V257" s="4">
        <v>0</v>
      </c>
      <c r="W257" s="5">
        <v>0</v>
      </c>
      <c r="X257" s="4">
        <v>0</v>
      </c>
      <c r="Y257" s="4">
        <f t="shared" si="6"/>
        <v>1704000</v>
      </c>
      <c r="Z257" s="6" t="s">
        <v>0</v>
      </c>
      <c r="AA257" t="s">
        <v>2</v>
      </c>
      <c r="AB257" t="s">
        <v>12</v>
      </c>
      <c r="AC257">
        <f>_xlfn.XLOOKUP(AB257,'[1]GST Codes'!$A:$A,'[1]GST Codes'!$C:$C,0,0)</f>
        <v>18</v>
      </c>
      <c r="AD257">
        <f t="shared" si="7"/>
        <v>2010720</v>
      </c>
      <c r="AE257" t="s">
        <v>13</v>
      </c>
      <c r="AF257" t="s">
        <v>0</v>
      </c>
      <c r="AG257" t="s">
        <v>14</v>
      </c>
      <c r="AH257" t="s">
        <v>15</v>
      </c>
      <c r="AI257" t="s">
        <v>85</v>
      </c>
      <c r="AJ257" t="s">
        <v>17</v>
      </c>
      <c r="AK257" t="s">
        <v>18</v>
      </c>
      <c r="AL257" t="s">
        <v>19</v>
      </c>
      <c r="AM257" t="s">
        <v>297</v>
      </c>
      <c r="AN257" t="s">
        <v>0</v>
      </c>
      <c r="AO257" t="s">
        <v>0</v>
      </c>
      <c r="AP257" t="s">
        <v>0</v>
      </c>
      <c r="AQ257" s="5">
        <v>30</v>
      </c>
      <c r="AR257" t="s">
        <v>11</v>
      </c>
      <c r="AS257" t="s">
        <v>0</v>
      </c>
      <c r="AT257" t="s">
        <v>17</v>
      </c>
      <c r="AU257" s="4">
        <v>0</v>
      </c>
      <c r="AV257" s="4">
        <v>0</v>
      </c>
      <c r="AW257" s="4">
        <v>0</v>
      </c>
      <c r="AX257" s="4">
        <v>0</v>
      </c>
      <c r="AY257" s="5">
        <v>0</v>
      </c>
      <c r="AZ257" s="5">
        <v>0</v>
      </c>
      <c r="BA257" s="5">
        <v>0</v>
      </c>
      <c r="BB257" s="2"/>
      <c r="BC257" t="s">
        <v>0</v>
      </c>
      <c r="BD257" s="5">
        <v>1</v>
      </c>
      <c r="BE257" t="s">
        <v>0</v>
      </c>
      <c r="BF257" t="s">
        <v>298</v>
      </c>
      <c r="BG257" t="s">
        <v>17</v>
      </c>
      <c r="BH257" t="s">
        <v>0</v>
      </c>
      <c r="BI257" t="s">
        <v>11</v>
      </c>
      <c r="BJ257" t="s">
        <v>0</v>
      </c>
      <c r="BK257" t="s">
        <v>0</v>
      </c>
      <c r="BL257" s="5">
        <v>0</v>
      </c>
      <c r="BM257" t="s">
        <v>0</v>
      </c>
      <c r="BN257" t="s">
        <v>0</v>
      </c>
      <c r="BO257" t="s">
        <v>0</v>
      </c>
      <c r="BP257" t="s">
        <v>17</v>
      </c>
      <c r="BQ257" t="s">
        <v>0</v>
      </c>
      <c r="BR257" t="s">
        <v>17</v>
      </c>
      <c r="BS257" t="s">
        <v>17</v>
      </c>
      <c r="BT257" t="s">
        <v>0</v>
      </c>
      <c r="BU257" t="s">
        <v>0</v>
      </c>
      <c r="BV257" t="s">
        <v>0</v>
      </c>
      <c r="BW257" t="s">
        <v>0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</row>
    <row r="258" spans="1:80" ht="13.95" customHeight="1" x14ac:dyDescent="0.25">
      <c r="A258" t="s">
        <v>311</v>
      </c>
      <c r="B258" s="2">
        <v>46092</v>
      </c>
      <c r="C258" s="2">
        <v>46092</v>
      </c>
      <c r="D258" s="2">
        <v>46123</v>
      </c>
      <c r="E258" t="s">
        <v>2</v>
      </c>
      <c r="F258" t="s">
        <v>3</v>
      </c>
      <c r="G258" t="s">
        <v>0</v>
      </c>
      <c r="H258" t="s">
        <v>4</v>
      </c>
      <c r="I258" t="s">
        <v>297</v>
      </c>
      <c r="J258" t="s">
        <v>6</v>
      </c>
      <c r="K258" t="s">
        <v>86</v>
      </c>
      <c r="L258" t="s">
        <v>70</v>
      </c>
      <c r="M258" t="s">
        <v>71</v>
      </c>
      <c r="N258" t="s">
        <v>10</v>
      </c>
      <c r="O258" t="s">
        <v>0</v>
      </c>
      <c r="P258" t="s">
        <v>11</v>
      </c>
      <c r="Q258" s="5">
        <v>30</v>
      </c>
      <c r="R258" s="4">
        <v>56800</v>
      </c>
      <c r="S258" s="5">
        <v>1</v>
      </c>
      <c r="T258" s="4">
        <v>1704000</v>
      </c>
      <c r="U258" s="5">
        <v>0</v>
      </c>
      <c r="V258" s="4">
        <v>0</v>
      </c>
      <c r="W258" s="5">
        <v>0</v>
      </c>
      <c r="X258" s="4">
        <v>0</v>
      </c>
      <c r="Y258" s="4">
        <f t="shared" si="6"/>
        <v>1704000</v>
      </c>
      <c r="Z258" s="6" t="s">
        <v>0</v>
      </c>
      <c r="AA258" t="s">
        <v>2</v>
      </c>
      <c r="AB258" t="s">
        <v>12</v>
      </c>
      <c r="AC258">
        <f>_xlfn.XLOOKUP(AB258,'[1]GST Codes'!$A:$A,'[1]GST Codes'!$C:$C,0,0)</f>
        <v>18</v>
      </c>
      <c r="AD258">
        <f t="shared" si="7"/>
        <v>2010720</v>
      </c>
      <c r="AE258" t="s">
        <v>13</v>
      </c>
      <c r="AF258" t="s">
        <v>0</v>
      </c>
      <c r="AG258" t="s">
        <v>14</v>
      </c>
      <c r="AH258" t="s">
        <v>15</v>
      </c>
      <c r="AI258" t="s">
        <v>85</v>
      </c>
      <c r="AJ258" t="s">
        <v>17</v>
      </c>
      <c r="AK258" t="s">
        <v>18</v>
      </c>
      <c r="AL258" t="s">
        <v>19</v>
      </c>
      <c r="AM258" t="s">
        <v>297</v>
      </c>
      <c r="AN258" t="s">
        <v>0</v>
      </c>
      <c r="AO258" t="s">
        <v>0</v>
      </c>
      <c r="AP258" t="s">
        <v>0</v>
      </c>
      <c r="AQ258" s="5">
        <v>30</v>
      </c>
      <c r="AR258" t="s">
        <v>11</v>
      </c>
      <c r="AS258" t="s">
        <v>0</v>
      </c>
      <c r="AT258" t="s">
        <v>17</v>
      </c>
      <c r="AU258" s="4">
        <v>0</v>
      </c>
      <c r="AV258" s="4">
        <v>0</v>
      </c>
      <c r="AW258" s="4">
        <v>0</v>
      </c>
      <c r="AX258" s="4">
        <v>0</v>
      </c>
      <c r="AY258" s="5">
        <v>0</v>
      </c>
      <c r="AZ258" s="5">
        <v>0</v>
      </c>
      <c r="BA258" s="5">
        <v>0</v>
      </c>
      <c r="BB258" s="2"/>
      <c r="BC258" t="s">
        <v>0</v>
      </c>
      <c r="BD258" s="5">
        <v>1</v>
      </c>
      <c r="BE258" t="s">
        <v>0</v>
      </c>
      <c r="BF258" t="s">
        <v>298</v>
      </c>
      <c r="BG258" t="s">
        <v>17</v>
      </c>
      <c r="BH258" t="s">
        <v>0</v>
      </c>
      <c r="BI258" t="s">
        <v>11</v>
      </c>
      <c r="BJ258" t="s">
        <v>0</v>
      </c>
      <c r="BK258" t="s">
        <v>0</v>
      </c>
      <c r="BL258" s="5">
        <v>0</v>
      </c>
      <c r="BM258" t="s">
        <v>0</v>
      </c>
      <c r="BN258" t="s">
        <v>0</v>
      </c>
      <c r="BO258" t="s">
        <v>0</v>
      </c>
      <c r="BP258" t="s">
        <v>17</v>
      </c>
      <c r="BQ258" t="s">
        <v>0</v>
      </c>
      <c r="BR258" t="s">
        <v>17</v>
      </c>
      <c r="BS258" t="s">
        <v>17</v>
      </c>
      <c r="BT258" t="s">
        <v>0</v>
      </c>
      <c r="BU258" t="s">
        <v>0</v>
      </c>
      <c r="BV258" t="s">
        <v>0</v>
      </c>
      <c r="BW258" t="s">
        <v>0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</row>
    <row r="259" spans="1:80" ht="13.95" customHeight="1" x14ac:dyDescent="0.25">
      <c r="A259" t="s">
        <v>311</v>
      </c>
      <c r="B259" s="2">
        <v>46092</v>
      </c>
      <c r="C259" s="2">
        <v>46092</v>
      </c>
      <c r="D259" s="2">
        <v>46123</v>
      </c>
      <c r="E259" t="s">
        <v>2</v>
      </c>
      <c r="F259" t="s">
        <v>3</v>
      </c>
      <c r="G259" t="s">
        <v>0</v>
      </c>
      <c r="H259" t="s">
        <v>4</v>
      </c>
      <c r="I259" t="s">
        <v>297</v>
      </c>
      <c r="J259" t="s">
        <v>6</v>
      </c>
      <c r="K259" t="s">
        <v>87</v>
      </c>
      <c r="L259" t="s">
        <v>70</v>
      </c>
      <c r="M259" t="s">
        <v>71</v>
      </c>
      <c r="N259" t="s">
        <v>10</v>
      </c>
      <c r="O259" t="s">
        <v>0</v>
      </c>
      <c r="P259" t="s">
        <v>11</v>
      </c>
      <c r="Q259" s="5">
        <v>30</v>
      </c>
      <c r="R259" s="4">
        <v>56800</v>
      </c>
      <c r="S259" s="5">
        <v>1</v>
      </c>
      <c r="T259" s="4">
        <v>1704000</v>
      </c>
      <c r="U259" s="5">
        <v>0</v>
      </c>
      <c r="V259" s="4">
        <v>0</v>
      </c>
      <c r="W259" s="5">
        <v>0</v>
      </c>
      <c r="X259" s="4">
        <v>0</v>
      </c>
      <c r="Y259" s="4">
        <f t="shared" ref="Y259:Y322" si="8">T259-V259</f>
        <v>1704000</v>
      </c>
      <c r="Z259" s="6" t="s">
        <v>0</v>
      </c>
      <c r="AA259" t="s">
        <v>2</v>
      </c>
      <c r="AB259" t="s">
        <v>12</v>
      </c>
      <c r="AC259">
        <f>_xlfn.XLOOKUP(AB259,'[1]GST Codes'!$A:$A,'[1]GST Codes'!$C:$C,0,0)</f>
        <v>18</v>
      </c>
      <c r="AD259">
        <f t="shared" ref="AD259:AD322" si="9">Y259+(Y259*AC259/100)</f>
        <v>2010720</v>
      </c>
      <c r="AE259" t="s">
        <v>13</v>
      </c>
      <c r="AF259" t="s">
        <v>0</v>
      </c>
      <c r="AG259" t="s">
        <v>14</v>
      </c>
      <c r="AH259" t="s">
        <v>15</v>
      </c>
      <c r="AI259" t="s">
        <v>85</v>
      </c>
      <c r="AJ259" t="s">
        <v>17</v>
      </c>
      <c r="AK259" t="s">
        <v>18</v>
      </c>
      <c r="AL259" t="s">
        <v>19</v>
      </c>
      <c r="AM259" t="s">
        <v>297</v>
      </c>
      <c r="AN259" t="s">
        <v>0</v>
      </c>
      <c r="AO259" t="s">
        <v>0</v>
      </c>
      <c r="AP259" t="s">
        <v>0</v>
      </c>
      <c r="AQ259" s="5">
        <v>30</v>
      </c>
      <c r="AR259" t="s">
        <v>11</v>
      </c>
      <c r="AS259" t="s">
        <v>0</v>
      </c>
      <c r="AT259" t="s">
        <v>17</v>
      </c>
      <c r="AU259" s="4">
        <v>0</v>
      </c>
      <c r="AV259" s="4">
        <v>0</v>
      </c>
      <c r="AW259" s="4">
        <v>0</v>
      </c>
      <c r="AX259" s="4">
        <v>0</v>
      </c>
      <c r="AY259" s="5">
        <v>0</v>
      </c>
      <c r="AZ259" s="5">
        <v>0</v>
      </c>
      <c r="BA259" s="5">
        <v>0</v>
      </c>
      <c r="BB259" s="2"/>
      <c r="BC259" t="s">
        <v>0</v>
      </c>
      <c r="BD259" s="5">
        <v>1</v>
      </c>
      <c r="BE259" t="s">
        <v>0</v>
      </c>
      <c r="BF259" t="s">
        <v>298</v>
      </c>
      <c r="BG259" t="s">
        <v>17</v>
      </c>
      <c r="BH259" t="s">
        <v>0</v>
      </c>
      <c r="BI259" t="s">
        <v>11</v>
      </c>
      <c r="BJ259" t="s">
        <v>0</v>
      </c>
      <c r="BK259" t="s">
        <v>0</v>
      </c>
      <c r="BL259" s="5">
        <v>0</v>
      </c>
      <c r="BM259" t="s">
        <v>0</v>
      </c>
      <c r="BN259" t="s">
        <v>0</v>
      </c>
      <c r="BO259" t="s">
        <v>0</v>
      </c>
      <c r="BP259" t="s">
        <v>17</v>
      </c>
      <c r="BQ259" t="s">
        <v>0</v>
      </c>
      <c r="BR259" t="s">
        <v>17</v>
      </c>
      <c r="BS259" t="s">
        <v>17</v>
      </c>
      <c r="BT259" t="s">
        <v>0</v>
      </c>
      <c r="BU259" t="s">
        <v>0</v>
      </c>
      <c r="BV259" t="s">
        <v>0</v>
      </c>
      <c r="BW259" t="s">
        <v>0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</row>
    <row r="260" spans="1:80" ht="13.95" customHeight="1" x14ac:dyDescent="0.25">
      <c r="A260" t="s">
        <v>311</v>
      </c>
      <c r="B260" s="2">
        <v>46092</v>
      </c>
      <c r="C260" s="2">
        <v>46092</v>
      </c>
      <c r="D260" s="2">
        <v>46123</v>
      </c>
      <c r="E260" t="s">
        <v>2</v>
      </c>
      <c r="F260" t="s">
        <v>3</v>
      </c>
      <c r="G260" t="s">
        <v>0</v>
      </c>
      <c r="H260" t="s">
        <v>4</v>
      </c>
      <c r="I260" t="s">
        <v>297</v>
      </c>
      <c r="J260" t="s">
        <v>6</v>
      </c>
      <c r="K260" t="s">
        <v>88</v>
      </c>
      <c r="L260" t="s">
        <v>70</v>
      </c>
      <c r="M260" t="s">
        <v>71</v>
      </c>
      <c r="N260" t="s">
        <v>10</v>
      </c>
      <c r="O260" t="s">
        <v>0</v>
      </c>
      <c r="P260" t="s">
        <v>11</v>
      </c>
      <c r="Q260" s="5">
        <v>30</v>
      </c>
      <c r="R260" s="4">
        <v>56800</v>
      </c>
      <c r="S260" s="5">
        <v>1</v>
      </c>
      <c r="T260" s="4">
        <v>1704000</v>
      </c>
      <c r="U260" s="5">
        <v>0</v>
      </c>
      <c r="V260" s="4">
        <v>0</v>
      </c>
      <c r="W260" s="5">
        <v>0</v>
      </c>
      <c r="X260" s="4">
        <v>0</v>
      </c>
      <c r="Y260" s="4">
        <f t="shared" si="8"/>
        <v>1704000</v>
      </c>
      <c r="Z260" s="6" t="s">
        <v>0</v>
      </c>
      <c r="AA260" t="s">
        <v>2</v>
      </c>
      <c r="AB260" t="s">
        <v>12</v>
      </c>
      <c r="AC260">
        <f>_xlfn.XLOOKUP(AB260,'[1]GST Codes'!$A:$A,'[1]GST Codes'!$C:$C,0,0)</f>
        <v>18</v>
      </c>
      <c r="AD260">
        <f t="shared" si="9"/>
        <v>2010720</v>
      </c>
      <c r="AE260" t="s">
        <v>13</v>
      </c>
      <c r="AF260" t="s">
        <v>0</v>
      </c>
      <c r="AG260" t="s">
        <v>14</v>
      </c>
      <c r="AH260" t="s">
        <v>15</v>
      </c>
      <c r="AI260" t="s">
        <v>85</v>
      </c>
      <c r="AJ260" t="s">
        <v>17</v>
      </c>
      <c r="AK260" t="s">
        <v>18</v>
      </c>
      <c r="AL260" t="s">
        <v>19</v>
      </c>
      <c r="AM260" t="s">
        <v>297</v>
      </c>
      <c r="AN260" t="s">
        <v>0</v>
      </c>
      <c r="AO260" t="s">
        <v>0</v>
      </c>
      <c r="AP260" t="s">
        <v>0</v>
      </c>
      <c r="AQ260" s="5">
        <v>30</v>
      </c>
      <c r="AR260" t="s">
        <v>11</v>
      </c>
      <c r="AS260" t="s">
        <v>0</v>
      </c>
      <c r="AT260" t="s">
        <v>17</v>
      </c>
      <c r="AU260" s="4">
        <v>0</v>
      </c>
      <c r="AV260" s="4">
        <v>0</v>
      </c>
      <c r="AW260" s="4">
        <v>0</v>
      </c>
      <c r="AX260" s="4">
        <v>0</v>
      </c>
      <c r="AY260" s="5">
        <v>0</v>
      </c>
      <c r="AZ260" s="5">
        <v>0</v>
      </c>
      <c r="BA260" s="5">
        <v>0</v>
      </c>
      <c r="BB260" s="2"/>
      <c r="BC260" t="s">
        <v>0</v>
      </c>
      <c r="BD260" s="5">
        <v>1</v>
      </c>
      <c r="BE260" t="s">
        <v>0</v>
      </c>
      <c r="BF260" t="s">
        <v>298</v>
      </c>
      <c r="BG260" t="s">
        <v>17</v>
      </c>
      <c r="BH260" t="s">
        <v>0</v>
      </c>
      <c r="BI260" t="s">
        <v>11</v>
      </c>
      <c r="BJ260" t="s">
        <v>0</v>
      </c>
      <c r="BK260" t="s">
        <v>0</v>
      </c>
      <c r="BL260" s="5">
        <v>0</v>
      </c>
      <c r="BM260" t="s">
        <v>0</v>
      </c>
      <c r="BN260" t="s">
        <v>0</v>
      </c>
      <c r="BO260" t="s">
        <v>0</v>
      </c>
      <c r="BP260" t="s">
        <v>17</v>
      </c>
      <c r="BQ260" t="s">
        <v>0</v>
      </c>
      <c r="BR260" t="s">
        <v>17</v>
      </c>
      <c r="BS260" t="s">
        <v>17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</row>
    <row r="261" spans="1:80" ht="13.95" customHeight="1" x14ac:dyDescent="0.25">
      <c r="A261" t="s">
        <v>311</v>
      </c>
      <c r="B261" s="2">
        <v>46092</v>
      </c>
      <c r="C261" s="2">
        <v>46092</v>
      </c>
      <c r="D261" s="2">
        <v>46123</v>
      </c>
      <c r="E261" t="s">
        <v>2</v>
      </c>
      <c r="F261" t="s">
        <v>3</v>
      </c>
      <c r="G261" t="s">
        <v>0</v>
      </c>
      <c r="H261" t="s">
        <v>4</v>
      </c>
      <c r="I261" t="s">
        <v>297</v>
      </c>
      <c r="J261" t="s">
        <v>6</v>
      </c>
      <c r="K261" t="s">
        <v>89</v>
      </c>
      <c r="L261" t="s">
        <v>70</v>
      </c>
      <c r="M261" t="s">
        <v>71</v>
      </c>
      <c r="N261" t="s">
        <v>10</v>
      </c>
      <c r="O261" t="s">
        <v>0</v>
      </c>
      <c r="P261" t="s">
        <v>11</v>
      </c>
      <c r="Q261" s="5">
        <v>30</v>
      </c>
      <c r="R261" s="4">
        <v>56800</v>
      </c>
      <c r="S261" s="5">
        <v>1</v>
      </c>
      <c r="T261" s="4">
        <v>1704000</v>
      </c>
      <c r="U261" s="5">
        <v>0</v>
      </c>
      <c r="V261" s="4">
        <v>0</v>
      </c>
      <c r="W261" s="5">
        <v>0</v>
      </c>
      <c r="X261" s="4">
        <v>0</v>
      </c>
      <c r="Y261" s="4">
        <f t="shared" si="8"/>
        <v>1704000</v>
      </c>
      <c r="Z261" s="6" t="s">
        <v>0</v>
      </c>
      <c r="AA261" t="s">
        <v>2</v>
      </c>
      <c r="AB261" t="s">
        <v>12</v>
      </c>
      <c r="AC261">
        <f>_xlfn.XLOOKUP(AB261,'[1]GST Codes'!$A:$A,'[1]GST Codes'!$C:$C,0,0)</f>
        <v>18</v>
      </c>
      <c r="AD261">
        <f t="shared" si="9"/>
        <v>2010720</v>
      </c>
      <c r="AE261" t="s">
        <v>13</v>
      </c>
      <c r="AF261" t="s">
        <v>0</v>
      </c>
      <c r="AG261" t="s">
        <v>14</v>
      </c>
      <c r="AH261" t="s">
        <v>15</v>
      </c>
      <c r="AI261" t="s">
        <v>85</v>
      </c>
      <c r="AJ261" t="s">
        <v>17</v>
      </c>
      <c r="AK261" t="s">
        <v>18</v>
      </c>
      <c r="AL261" t="s">
        <v>19</v>
      </c>
      <c r="AM261" t="s">
        <v>297</v>
      </c>
      <c r="AN261" t="s">
        <v>0</v>
      </c>
      <c r="AO261" t="s">
        <v>0</v>
      </c>
      <c r="AP261" t="s">
        <v>0</v>
      </c>
      <c r="AQ261" s="5">
        <v>30</v>
      </c>
      <c r="AR261" t="s">
        <v>11</v>
      </c>
      <c r="AS261" t="s">
        <v>0</v>
      </c>
      <c r="AT261" t="s">
        <v>17</v>
      </c>
      <c r="AU261" s="4">
        <v>0</v>
      </c>
      <c r="AV261" s="4">
        <v>0</v>
      </c>
      <c r="AW261" s="4">
        <v>0</v>
      </c>
      <c r="AX261" s="4">
        <v>0</v>
      </c>
      <c r="AY261" s="5">
        <v>0</v>
      </c>
      <c r="AZ261" s="5">
        <v>0</v>
      </c>
      <c r="BA261" s="5">
        <v>0</v>
      </c>
      <c r="BB261" s="2"/>
      <c r="BC261" t="s">
        <v>0</v>
      </c>
      <c r="BD261" s="5">
        <v>1</v>
      </c>
      <c r="BE261" t="s">
        <v>0</v>
      </c>
      <c r="BF261" t="s">
        <v>298</v>
      </c>
      <c r="BG261" t="s">
        <v>17</v>
      </c>
      <c r="BH261" t="s">
        <v>0</v>
      </c>
      <c r="BI261" t="s">
        <v>11</v>
      </c>
      <c r="BJ261" t="s">
        <v>0</v>
      </c>
      <c r="BK261" t="s">
        <v>0</v>
      </c>
      <c r="BL261" s="5">
        <v>0</v>
      </c>
      <c r="BM261" t="s">
        <v>0</v>
      </c>
      <c r="BN261" t="s">
        <v>0</v>
      </c>
      <c r="BO261" t="s">
        <v>0</v>
      </c>
      <c r="BP261" t="s">
        <v>17</v>
      </c>
      <c r="BQ261" t="s">
        <v>0</v>
      </c>
      <c r="BR261" t="s">
        <v>17</v>
      </c>
      <c r="BS261" t="s">
        <v>17</v>
      </c>
      <c r="BT261" t="s">
        <v>0</v>
      </c>
      <c r="BU261" t="s">
        <v>0</v>
      </c>
      <c r="BV261" t="s">
        <v>0</v>
      </c>
      <c r="BW261" t="s">
        <v>0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</row>
    <row r="262" spans="1:80" ht="13.95" customHeight="1" x14ac:dyDescent="0.25">
      <c r="A262" t="s">
        <v>311</v>
      </c>
      <c r="B262" s="2">
        <v>46092</v>
      </c>
      <c r="C262" s="2">
        <v>46092</v>
      </c>
      <c r="D262" s="2">
        <v>46123</v>
      </c>
      <c r="E262" t="s">
        <v>2</v>
      </c>
      <c r="F262" t="s">
        <v>3</v>
      </c>
      <c r="G262" t="s">
        <v>0</v>
      </c>
      <c r="H262" t="s">
        <v>4</v>
      </c>
      <c r="I262" t="s">
        <v>297</v>
      </c>
      <c r="J262" t="s">
        <v>6</v>
      </c>
      <c r="K262" t="s">
        <v>90</v>
      </c>
      <c r="L262" t="s">
        <v>70</v>
      </c>
      <c r="M262" t="s">
        <v>71</v>
      </c>
      <c r="N262" t="s">
        <v>10</v>
      </c>
      <c r="O262" t="s">
        <v>0</v>
      </c>
      <c r="P262" t="s">
        <v>11</v>
      </c>
      <c r="Q262" s="5">
        <v>30</v>
      </c>
      <c r="R262" s="4">
        <v>56800</v>
      </c>
      <c r="S262" s="5">
        <v>1</v>
      </c>
      <c r="T262" s="4">
        <v>1704000</v>
      </c>
      <c r="U262" s="5">
        <v>0</v>
      </c>
      <c r="V262" s="4">
        <v>0</v>
      </c>
      <c r="W262" s="5">
        <v>0</v>
      </c>
      <c r="X262" s="4">
        <v>0</v>
      </c>
      <c r="Y262" s="4">
        <f t="shared" si="8"/>
        <v>1704000</v>
      </c>
      <c r="Z262" s="6" t="s">
        <v>0</v>
      </c>
      <c r="AA262" t="s">
        <v>2</v>
      </c>
      <c r="AB262" t="s">
        <v>12</v>
      </c>
      <c r="AC262">
        <f>_xlfn.XLOOKUP(AB262,'[1]GST Codes'!$A:$A,'[1]GST Codes'!$C:$C,0,0)</f>
        <v>18</v>
      </c>
      <c r="AD262">
        <f t="shared" si="9"/>
        <v>2010720</v>
      </c>
      <c r="AE262" t="s">
        <v>13</v>
      </c>
      <c r="AF262" t="s">
        <v>0</v>
      </c>
      <c r="AG262" t="s">
        <v>14</v>
      </c>
      <c r="AH262" t="s">
        <v>15</v>
      </c>
      <c r="AI262" t="s">
        <v>85</v>
      </c>
      <c r="AJ262" t="s">
        <v>17</v>
      </c>
      <c r="AK262" t="s">
        <v>18</v>
      </c>
      <c r="AL262" t="s">
        <v>19</v>
      </c>
      <c r="AM262" t="s">
        <v>297</v>
      </c>
      <c r="AN262" t="s">
        <v>0</v>
      </c>
      <c r="AO262" t="s">
        <v>0</v>
      </c>
      <c r="AP262" t="s">
        <v>0</v>
      </c>
      <c r="AQ262" s="5">
        <v>30</v>
      </c>
      <c r="AR262" t="s">
        <v>11</v>
      </c>
      <c r="AS262" t="s">
        <v>0</v>
      </c>
      <c r="AT262" t="s">
        <v>17</v>
      </c>
      <c r="AU262" s="4">
        <v>0</v>
      </c>
      <c r="AV262" s="4">
        <v>0</v>
      </c>
      <c r="AW262" s="4">
        <v>0</v>
      </c>
      <c r="AX262" s="4">
        <v>0</v>
      </c>
      <c r="AY262" s="5">
        <v>0</v>
      </c>
      <c r="AZ262" s="5">
        <v>0</v>
      </c>
      <c r="BA262" s="5">
        <v>0</v>
      </c>
      <c r="BB262" s="2"/>
      <c r="BC262" t="s">
        <v>0</v>
      </c>
      <c r="BD262" s="5">
        <v>1</v>
      </c>
      <c r="BE262" t="s">
        <v>0</v>
      </c>
      <c r="BF262" t="s">
        <v>298</v>
      </c>
      <c r="BG262" t="s">
        <v>17</v>
      </c>
      <c r="BH262" t="s">
        <v>0</v>
      </c>
      <c r="BI262" t="s">
        <v>11</v>
      </c>
      <c r="BJ262" t="s">
        <v>0</v>
      </c>
      <c r="BK262" t="s">
        <v>0</v>
      </c>
      <c r="BL262" s="5">
        <v>0</v>
      </c>
      <c r="BM262" t="s">
        <v>0</v>
      </c>
      <c r="BN262" t="s">
        <v>0</v>
      </c>
      <c r="BO262" t="s">
        <v>0</v>
      </c>
      <c r="BP262" t="s">
        <v>17</v>
      </c>
      <c r="BQ262" t="s">
        <v>0</v>
      </c>
      <c r="BR262" t="s">
        <v>17</v>
      </c>
      <c r="BS262" t="s">
        <v>17</v>
      </c>
      <c r="BT262" t="s">
        <v>0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</row>
    <row r="263" spans="1:80" ht="13.95" customHeight="1" x14ac:dyDescent="0.25">
      <c r="A263" t="s">
        <v>312</v>
      </c>
      <c r="B263" s="2">
        <v>46122</v>
      </c>
      <c r="C263" s="2">
        <v>46122</v>
      </c>
      <c r="D263" s="2">
        <v>46152</v>
      </c>
      <c r="E263" t="s">
        <v>2</v>
      </c>
      <c r="F263" t="s">
        <v>3</v>
      </c>
      <c r="G263" t="s">
        <v>0</v>
      </c>
      <c r="H263" t="s">
        <v>4</v>
      </c>
      <c r="I263" t="s">
        <v>297</v>
      </c>
      <c r="J263" t="s">
        <v>6</v>
      </c>
      <c r="K263" t="s">
        <v>7</v>
      </c>
      <c r="L263" t="s">
        <v>70</v>
      </c>
      <c r="M263" t="s">
        <v>71</v>
      </c>
      <c r="N263" t="s">
        <v>10</v>
      </c>
      <c r="O263" t="s">
        <v>0</v>
      </c>
      <c r="P263" t="s">
        <v>11</v>
      </c>
      <c r="Q263" s="5">
        <v>33</v>
      </c>
      <c r="R263" s="4">
        <v>60800</v>
      </c>
      <c r="S263" s="5">
        <v>1</v>
      </c>
      <c r="T263" s="4">
        <v>2006400</v>
      </c>
      <c r="U263" s="5">
        <v>0</v>
      </c>
      <c r="V263" s="4">
        <v>0</v>
      </c>
      <c r="W263" s="5">
        <v>0</v>
      </c>
      <c r="X263" s="4">
        <v>0</v>
      </c>
      <c r="Y263" s="4">
        <f t="shared" si="8"/>
        <v>2006400</v>
      </c>
      <c r="Z263" s="6" t="s">
        <v>0</v>
      </c>
      <c r="AA263" t="s">
        <v>2</v>
      </c>
      <c r="AB263" t="s">
        <v>12</v>
      </c>
      <c r="AC263">
        <f>_xlfn.XLOOKUP(AB263,'[1]GST Codes'!$A:$A,'[1]GST Codes'!$C:$C,0,0)</f>
        <v>18</v>
      </c>
      <c r="AD263">
        <f t="shared" si="9"/>
        <v>2367552</v>
      </c>
      <c r="AE263" t="s">
        <v>13</v>
      </c>
      <c r="AF263" t="s">
        <v>0</v>
      </c>
      <c r="AG263" t="s">
        <v>14</v>
      </c>
      <c r="AH263" t="s">
        <v>15</v>
      </c>
      <c r="AI263" t="s">
        <v>85</v>
      </c>
      <c r="AJ263" t="s">
        <v>17</v>
      </c>
      <c r="AK263" t="s">
        <v>18</v>
      </c>
      <c r="AL263" t="s">
        <v>19</v>
      </c>
      <c r="AM263" t="s">
        <v>297</v>
      </c>
      <c r="AN263" t="s">
        <v>0</v>
      </c>
      <c r="AO263" t="s">
        <v>0</v>
      </c>
      <c r="AP263" t="s">
        <v>0</v>
      </c>
      <c r="AQ263" s="5">
        <v>33</v>
      </c>
      <c r="AR263" t="s">
        <v>11</v>
      </c>
      <c r="AS263" t="s">
        <v>0</v>
      </c>
      <c r="AT263" t="s">
        <v>17</v>
      </c>
      <c r="AU263" s="4">
        <v>0</v>
      </c>
      <c r="AV263" s="4">
        <v>0</v>
      </c>
      <c r="AW263" s="4">
        <v>0</v>
      </c>
      <c r="AX263" s="4">
        <v>0</v>
      </c>
      <c r="AY263" s="5">
        <v>0</v>
      </c>
      <c r="AZ263" s="5">
        <v>0</v>
      </c>
      <c r="BA263" s="5">
        <v>0</v>
      </c>
      <c r="BB263" s="2"/>
      <c r="BC263" t="s">
        <v>0</v>
      </c>
      <c r="BD263" s="5">
        <v>1</v>
      </c>
      <c r="BE263" t="s">
        <v>0</v>
      </c>
      <c r="BF263" t="s">
        <v>298</v>
      </c>
      <c r="BG263" t="s">
        <v>17</v>
      </c>
      <c r="BH263" t="s">
        <v>0</v>
      </c>
      <c r="BI263" t="s">
        <v>11</v>
      </c>
      <c r="BJ263" t="s">
        <v>0</v>
      </c>
      <c r="BK263" t="s">
        <v>0</v>
      </c>
      <c r="BL263" s="5">
        <v>0</v>
      </c>
      <c r="BM263" t="s">
        <v>0</v>
      </c>
      <c r="BN263" t="s">
        <v>0</v>
      </c>
      <c r="BO263" t="s">
        <v>0</v>
      </c>
      <c r="BP263" t="s">
        <v>17</v>
      </c>
      <c r="BQ263" t="s">
        <v>0</v>
      </c>
      <c r="BR263" t="s">
        <v>17</v>
      </c>
      <c r="BS263" t="s">
        <v>17</v>
      </c>
      <c r="BT263" t="s">
        <v>0</v>
      </c>
      <c r="BU263" t="s">
        <v>0</v>
      </c>
      <c r="BV263" t="s">
        <v>0</v>
      </c>
      <c r="BW263" t="s">
        <v>0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</row>
    <row r="264" spans="1:80" ht="13.95" customHeight="1" x14ac:dyDescent="0.25">
      <c r="A264" t="s">
        <v>312</v>
      </c>
      <c r="B264" s="2">
        <v>46122</v>
      </c>
      <c r="C264" s="2">
        <v>46122</v>
      </c>
      <c r="D264" s="2">
        <v>46152</v>
      </c>
      <c r="E264" t="s">
        <v>2</v>
      </c>
      <c r="F264" t="s">
        <v>3</v>
      </c>
      <c r="G264" t="s">
        <v>0</v>
      </c>
      <c r="H264" t="s">
        <v>4</v>
      </c>
      <c r="I264" t="s">
        <v>297</v>
      </c>
      <c r="J264" t="s">
        <v>6</v>
      </c>
      <c r="K264" t="s">
        <v>22</v>
      </c>
      <c r="L264" t="s">
        <v>70</v>
      </c>
      <c r="M264" t="s">
        <v>71</v>
      </c>
      <c r="N264" t="s">
        <v>10</v>
      </c>
      <c r="O264" t="s">
        <v>0</v>
      </c>
      <c r="P264" t="s">
        <v>11</v>
      </c>
      <c r="Q264" s="5">
        <v>33</v>
      </c>
      <c r="R264" s="4">
        <v>60800</v>
      </c>
      <c r="S264" s="5">
        <v>1</v>
      </c>
      <c r="T264" s="4">
        <v>2006400</v>
      </c>
      <c r="U264" s="5">
        <v>0</v>
      </c>
      <c r="V264" s="4">
        <v>0</v>
      </c>
      <c r="W264" s="5">
        <v>0</v>
      </c>
      <c r="X264" s="4">
        <v>0</v>
      </c>
      <c r="Y264" s="4">
        <f t="shared" si="8"/>
        <v>2006400</v>
      </c>
      <c r="Z264" s="6" t="s">
        <v>0</v>
      </c>
      <c r="AA264" t="s">
        <v>2</v>
      </c>
      <c r="AB264" t="s">
        <v>12</v>
      </c>
      <c r="AC264">
        <f>_xlfn.XLOOKUP(AB264,'[1]GST Codes'!$A:$A,'[1]GST Codes'!$C:$C,0,0)</f>
        <v>18</v>
      </c>
      <c r="AD264">
        <f t="shared" si="9"/>
        <v>2367552</v>
      </c>
      <c r="AE264" t="s">
        <v>13</v>
      </c>
      <c r="AF264" t="s">
        <v>0</v>
      </c>
      <c r="AG264" t="s">
        <v>14</v>
      </c>
      <c r="AH264" t="s">
        <v>15</v>
      </c>
      <c r="AI264" t="s">
        <v>85</v>
      </c>
      <c r="AJ264" t="s">
        <v>17</v>
      </c>
      <c r="AK264" t="s">
        <v>18</v>
      </c>
      <c r="AL264" t="s">
        <v>19</v>
      </c>
      <c r="AM264" t="s">
        <v>297</v>
      </c>
      <c r="AN264" t="s">
        <v>0</v>
      </c>
      <c r="AO264" t="s">
        <v>0</v>
      </c>
      <c r="AP264" t="s">
        <v>0</v>
      </c>
      <c r="AQ264" s="5">
        <v>33</v>
      </c>
      <c r="AR264" t="s">
        <v>11</v>
      </c>
      <c r="AS264" t="s">
        <v>0</v>
      </c>
      <c r="AT264" t="s">
        <v>17</v>
      </c>
      <c r="AU264" s="4">
        <v>0</v>
      </c>
      <c r="AV264" s="4">
        <v>0</v>
      </c>
      <c r="AW264" s="4">
        <v>0</v>
      </c>
      <c r="AX264" s="4">
        <v>0</v>
      </c>
      <c r="AY264" s="5">
        <v>0</v>
      </c>
      <c r="AZ264" s="5">
        <v>0</v>
      </c>
      <c r="BA264" s="5">
        <v>0</v>
      </c>
      <c r="BB264" s="2"/>
      <c r="BC264" t="s">
        <v>0</v>
      </c>
      <c r="BD264" s="5">
        <v>1</v>
      </c>
      <c r="BE264" t="s">
        <v>0</v>
      </c>
      <c r="BF264" t="s">
        <v>298</v>
      </c>
      <c r="BG264" t="s">
        <v>17</v>
      </c>
      <c r="BH264" t="s">
        <v>0</v>
      </c>
      <c r="BI264" t="s">
        <v>11</v>
      </c>
      <c r="BJ264" t="s">
        <v>0</v>
      </c>
      <c r="BK264" t="s">
        <v>0</v>
      </c>
      <c r="BL264" s="5">
        <v>0</v>
      </c>
      <c r="BM264" t="s">
        <v>0</v>
      </c>
      <c r="BN264" t="s">
        <v>0</v>
      </c>
      <c r="BO264" t="s">
        <v>0</v>
      </c>
      <c r="BP264" t="s">
        <v>17</v>
      </c>
      <c r="BQ264" t="s">
        <v>0</v>
      </c>
      <c r="BR264" t="s">
        <v>17</v>
      </c>
      <c r="BS264" t="s">
        <v>17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</row>
    <row r="265" spans="1:80" ht="13.95" customHeight="1" x14ac:dyDescent="0.25">
      <c r="A265" t="s">
        <v>312</v>
      </c>
      <c r="B265" s="2">
        <v>46122</v>
      </c>
      <c r="C265" s="2">
        <v>46122</v>
      </c>
      <c r="D265" s="2">
        <v>46152</v>
      </c>
      <c r="E265" t="s">
        <v>2</v>
      </c>
      <c r="F265" t="s">
        <v>3</v>
      </c>
      <c r="G265" t="s">
        <v>0</v>
      </c>
      <c r="H265" t="s">
        <v>4</v>
      </c>
      <c r="I265" t="s">
        <v>297</v>
      </c>
      <c r="J265" t="s">
        <v>6</v>
      </c>
      <c r="K265" t="s">
        <v>26</v>
      </c>
      <c r="L265" t="s">
        <v>70</v>
      </c>
      <c r="M265" t="s">
        <v>71</v>
      </c>
      <c r="N265" t="s">
        <v>10</v>
      </c>
      <c r="O265" t="s">
        <v>0</v>
      </c>
      <c r="P265" t="s">
        <v>11</v>
      </c>
      <c r="Q265" s="5">
        <v>33</v>
      </c>
      <c r="R265" s="4">
        <v>60800</v>
      </c>
      <c r="S265" s="5">
        <v>1</v>
      </c>
      <c r="T265" s="4">
        <v>2006400</v>
      </c>
      <c r="U265" s="5">
        <v>0</v>
      </c>
      <c r="V265" s="4">
        <v>0</v>
      </c>
      <c r="W265" s="5">
        <v>0</v>
      </c>
      <c r="X265" s="4">
        <v>0</v>
      </c>
      <c r="Y265" s="4">
        <f t="shared" si="8"/>
        <v>2006400</v>
      </c>
      <c r="Z265" s="6" t="s">
        <v>0</v>
      </c>
      <c r="AA265" t="s">
        <v>2</v>
      </c>
      <c r="AB265" t="s">
        <v>12</v>
      </c>
      <c r="AC265">
        <f>_xlfn.XLOOKUP(AB265,'[1]GST Codes'!$A:$A,'[1]GST Codes'!$C:$C,0,0)</f>
        <v>18</v>
      </c>
      <c r="AD265">
        <f t="shared" si="9"/>
        <v>2367552</v>
      </c>
      <c r="AE265" t="s">
        <v>13</v>
      </c>
      <c r="AF265" t="s">
        <v>0</v>
      </c>
      <c r="AG265" t="s">
        <v>14</v>
      </c>
      <c r="AH265" t="s">
        <v>15</v>
      </c>
      <c r="AI265" t="s">
        <v>85</v>
      </c>
      <c r="AJ265" t="s">
        <v>17</v>
      </c>
      <c r="AK265" t="s">
        <v>18</v>
      </c>
      <c r="AL265" t="s">
        <v>19</v>
      </c>
      <c r="AM265" t="s">
        <v>297</v>
      </c>
      <c r="AN265" t="s">
        <v>0</v>
      </c>
      <c r="AO265" t="s">
        <v>0</v>
      </c>
      <c r="AP265" t="s">
        <v>0</v>
      </c>
      <c r="AQ265" s="5">
        <v>33</v>
      </c>
      <c r="AR265" t="s">
        <v>11</v>
      </c>
      <c r="AS265" t="s">
        <v>0</v>
      </c>
      <c r="AT265" t="s">
        <v>17</v>
      </c>
      <c r="AU265" s="4">
        <v>0</v>
      </c>
      <c r="AV265" s="4">
        <v>0</v>
      </c>
      <c r="AW265" s="4">
        <v>0</v>
      </c>
      <c r="AX265" s="4">
        <v>0</v>
      </c>
      <c r="AY265" s="5">
        <v>0</v>
      </c>
      <c r="AZ265" s="5">
        <v>0</v>
      </c>
      <c r="BA265" s="5">
        <v>0</v>
      </c>
      <c r="BB265" s="2"/>
      <c r="BC265" t="s">
        <v>0</v>
      </c>
      <c r="BD265" s="5">
        <v>1</v>
      </c>
      <c r="BE265" t="s">
        <v>0</v>
      </c>
      <c r="BF265" t="s">
        <v>298</v>
      </c>
      <c r="BG265" t="s">
        <v>17</v>
      </c>
      <c r="BH265" t="s">
        <v>0</v>
      </c>
      <c r="BI265" t="s">
        <v>11</v>
      </c>
      <c r="BJ265" t="s">
        <v>0</v>
      </c>
      <c r="BK265" t="s">
        <v>0</v>
      </c>
      <c r="BL265" s="5">
        <v>0</v>
      </c>
      <c r="BM265" t="s">
        <v>0</v>
      </c>
      <c r="BN265" t="s">
        <v>0</v>
      </c>
      <c r="BO265" t="s">
        <v>0</v>
      </c>
      <c r="BP265" t="s">
        <v>17</v>
      </c>
      <c r="BQ265" t="s">
        <v>0</v>
      </c>
      <c r="BR265" t="s">
        <v>17</v>
      </c>
      <c r="BS265" t="s">
        <v>17</v>
      </c>
      <c r="BT265" t="s">
        <v>0</v>
      </c>
      <c r="BU265" t="s">
        <v>0</v>
      </c>
      <c r="BV265" t="s">
        <v>0</v>
      </c>
      <c r="BW265" t="s">
        <v>0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</row>
    <row r="266" spans="1:80" ht="13.95" customHeight="1" x14ac:dyDescent="0.25">
      <c r="A266" t="s">
        <v>312</v>
      </c>
      <c r="B266" s="2">
        <v>46122</v>
      </c>
      <c r="C266" s="2">
        <v>46122</v>
      </c>
      <c r="D266" s="2">
        <v>46152</v>
      </c>
      <c r="E266" t="s">
        <v>2</v>
      </c>
      <c r="F266" t="s">
        <v>3</v>
      </c>
      <c r="G266" t="s">
        <v>0</v>
      </c>
      <c r="H266" t="s">
        <v>4</v>
      </c>
      <c r="I266" t="s">
        <v>297</v>
      </c>
      <c r="J266" t="s">
        <v>6</v>
      </c>
      <c r="K266" t="s">
        <v>30</v>
      </c>
      <c r="L266" t="s">
        <v>70</v>
      </c>
      <c r="M266" t="s">
        <v>71</v>
      </c>
      <c r="N266" t="s">
        <v>10</v>
      </c>
      <c r="O266" t="s">
        <v>0</v>
      </c>
      <c r="P266" t="s">
        <v>11</v>
      </c>
      <c r="Q266" s="5">
        <v>33</v>
      </c>
      <c r="R266" s="4">
        <v>60800</v>
      </c>
      <c r="S266" s="5">
        <v>1</v>
      </c>
      <c r="T266" s="4">
        <v>2006400</v>
      </c>
      <c r="U266" s="5">
        <v>0</v>
      </c>
      <c r="V266" s="4">
        <v>0</v>
      </c>
      <c r="W266" s="5">
        <v>0</v>
      </c>
      <c r="X266" s="4">
        <v>0</v>
      </c>
      <c r="Y266" s="4">
        <f t="shared" si="8"/>
        <v>2006400</v>
      </c>
      <c r="Z266" s="6" t="s">
        <v>0</v>
      </c>
      <c r="AA266" t="s">
        <v>2</v>
      </c>
      <c r="AB266" t="s">
        <v>12</v>
      </c>
      <c r="AC266">
        <f>_xlfn.XLOOKUP(AB266,'[1]GST Codes'!$A:$A,'[1]GST Codes'!$C:$C,0,0)</f>
        <v>18</v>
      </c>
      <c r="AD266">
        <f t="shared" si="9"/>
        <v>2367552</v>
      </c>
      <c r="AE266" t="s">
        <v>13</v>
      </c>
      <c r="AF266" t="s">
        <v>0</v>
      </c>
      <c r="AG266" t="s">
        <v>14</v>
      </c>
      <c r="AH266" t="s">
        <v>15</v>
      </c>
      <c r="AI266" t="s">
        <v>85</v>
      </c>
      <c r="AJ266" t="s">
        <v>17</v>
      </c>
      <c r="AK266" t="s">
        <v>18</v>
      </c>
      <c r="AL266" t="s">
        <v>19</v>
      </c>
      <c r="AM266" t="s">
        <v>297</v>
      </c>
      <c r="AN266" t="s">
        <v>0</v>
      </c>
      <c r="AO266" t="s">
        <v>0</v>
      </c>
      <c r="AP266" t="s">
        <v>0</v>
      </c>
      <c r="AQ266" s="5">
        <v>33</v>
      </c>
      <c r="AR266" t="s">
        <v>11</v>
      </c>
      <c r="AS266" t="s">
        <v>0</v>
      </c>
      <c r="AT266" t="s">
        <v>17</v>
      </c>
      <c r="AU266" s="4">
        <v>0</v>
      </c>
      <c r="AV266" s="4">
        <v>0</v>
      </c>
      <c r="AW266" s="4">
        <v>0</v>
      </c>
      <c r="AX266" s="4">
        <v>0</v>
      </c>
      <c r="AY266" s="5">
        <v>0</v>
      </c>
      <c r="AZ266" s="5">
        <v>0</v>
      </c>
      <c r="BA266" s="5">
        <v>0</v>
      </c>
      <c r="BB266" s="2"/>
      <c r="BC266" t="s">
        <v>0</v>
      </c>
      <c r="BD266" s="5">
        <v>1</v>
      </c>
      <c r="BE266" t="s">
        <v>0</v>
      </c>
      <c r="BF266" t="s">
        <v>298</v>
      </c>
      <c r="BG266" t="s">
        <v>17</v>
      </c>
      <c r="BH266" t="s">
        <v>0</v>
      </c>
      <c r="BI266" t="s">
        <v>11</v>
      </c>
      <c r="BJ266" t="s">
        <v>0</v>
      </c>
      <c r="BK266" t="s">
        <v>0</v>
      </c>
      <c r="BL266" s="5">
        <v>0</v>
      </c>
      <c r="BM266" t="s">
        <v>0</v>
      </c>
      <c r="BN266" t="s">
        <v>0</v>
      </c>
      <c r="BO266" t="s">
        <v>0</v>
      </c>
      <c r="BP266" t="s">
        <v>17</v>
      </c>
      <c r="BQ266" t="s">
        <v>0</v>
      </c>
      <c r="BR266" t="s">
        <v>17</v>
      </c>
      <c r="BS266" t="s">
        <v>17</v>
      </c>
      <c r="BT266" t="s">
        <v>0</v>
      </c>
      <c r="BU266" t="s">
        <v>0</v>
      </c>
      <c r="BV266" t="s">
        <v>0</v>
      </c>
      <c r="BW266" t="s">
        <v>0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</row>
    <row r="267" spans="1:80" ht="13.95" customHeight="1" x14ac:dyDescent="0.25">
      <c r="A267" t="s">
        <v>312</v>
      </c>
      <c r="B267" s="2">
        <v>46122</v>
      </c>
      <c r="C267" s="2">
        <v>46122</v>
      </c>
      <c r="D267" s="2">
        <v>46152</v>
      </c>
      <c r="E267" t="s">
        <v>2</v>
      </c>
      <c r="F267" t="s">
        <v>3</v>
      </c>
      <c r="G267" t="s">
        <v>0</v>
      </c>
      <c r="H267" t="s">
        <v>4</v>
      </c>
      <c r="I267" t="s">
        <v>297</v>
      </c>
      <c r="J267" t="s">
        <v>6</v>
      </c>
      <c r="K267" t="s">
        <v>34</v>
      </c>
      <c r="L267" t="s">
        <v>70</v>
      </c>
      <c r="M267" t="s">
        <v>71</v>
      </c>
      <c r="N267" t="s">
        <v>10</v>
      </c>
      <c r="O267" t="s">
        <v>0</v>
      </c>
      <c r="P267" t="s">
        <v>11</v>
      </c>
      <c r="Q267" s="5">
        <v>34</v>
      </c>
      <c r="R267" s="4">
        <v>60800</v>
      </c>
      <c r="S267" s="5">
        <v>1</v>
      </c>
      <c r="T267" s="4">
        <v>2067200</v>
      </c>
      <c r="U267" s="5">
        <v>0</v>
      </c>
      <c r="V267" s="4">
        <v>0</v>
      </c>
      <c r="W267" s="5">
        <v>0</v>
      </c>
      <c r="X267" s="4">
        <v>0</v>
      </c>
      <c r="Y267" s="4">
        <f t="shared" si="8"/>
        <v>2067200</v>
      </c>
      <c r="Z267" s="6" t="s">
        <v>0</v>
      </c>
      <c r="AA267" t="s">
        <v>2</v>
      </c>
      <c r="AB267" t="s">
        <v>12</v>
      </c>
      <c r="AC267">
        <f>_xlfn.XLOOKUP(AB267,'[1]GST Codes'!$A:$A,'[1]GST Codes'!$C:$C,0,0)</f>
        <v>18</v>
      </c>
      <c r="AD267">
        <f t="shared" si="9"/>
        <v>2439296</v>
      </c>
      <c r="AE267" t="s">
        <v>13</v>
      </c>
      <c r="AF267" t="s">
        <v>0</v>
      </c>
      <c r="AG267" t="s">
        <v>14</v>
      </c>
      <c r="AH267" t="s">
        <v>15</v>
      </c>
      <c r="AI267" t="s">
        <v>85</v>
      </c>
      <c r="AJ267" t="s">
        <v>17</v>
      </c>
      <c r="AK267" t="s">
        <v>18</v>
      </c>
      <c r="AL267" t="s">
        <v>19</v>
      </c>
      <c r="AM267" t="s">
        <v>297</v>
      </c>
      <c r="AN267" t="s">
        <v>0</v>
      </c>
      <c r="AO267" t="s">
        <v>0</v>
      </c>
      <c r="AP267" t="s">
        <v>0</v>
      </c>
      <c r="AQ267" s="5">
        <v>34</v>
      </c>
      <c r="AR267" t="s">
        <v>11</v>
      </c>
      <c r="AS267" t="s">
        <v>0</v>
      </c>
      <c r="AT267" t="s">
        <v>17</v>
      </c>
      <c r="AU267" s="4">
        <v>0</v>
      </c>
      <c r="AV267" s="4">
        <v>0</v>
      </c>
      <c r="AW267" s="4">
        <v>0</v>
      </c>
      <c r="AX267" s="4">
        <v>0</v>
      </c>
      <c r="AY267" s="5">
        <v>0</v>
      </c>
      <c r="AZ267" s="5">
        <v>0</v>
      </c>
      <c r="BA267" s="5">
        <v>0</v>
      </c>
      <c r="BB267" s="2"/>
      <c r="BC267" t="s">
        <v>0</v>
      </c>
      <c r="BD267" s="5">
        <v>1</v>
      </c>
      <c r="BE267" t="s">
        <v>0</v>
      </c>
      <c r="BF267" t="s">
        <v>298</v>
      </c>
      <c r="BG267" t="s">
        <v>17</v>
      </c>
      <c r="BH267" t="s">
        <v>0</v>
      </c>
      <c r="BI267" t="s">
        <v>11</v>
      </c>
      <c r="BJ267" t="s">
        <v>0</v>
      </c>
      <c r="BK267" t="s">
        <v>0</v>
      </c>
      <c r="BL267" s="5">
        <v>0</v>
      </c>
      <c r="BM267" t="s">
        <v>0</v>
      </c>
      <c r="BN267" t="s">
        <v>0</v>
      </c>
      <c r="BO267" t="s">
        <v>0</v>
      </c>
      <c r="BP267" t="s">
        <v>17</v>
      </c>
      <c r="BQ267" t="s">
        <v>0</v>
      </c>
      <c r="BR267" t="s">
        <v>17</v>
      </c>
      <c r="BS267" t="s">
        <v>17</v>
      </c>
      <c r="BT267" t="s">
        <v>0</v>
      </c>
      <c r="BU267" t="s">
        <v>0</v>
      </c>
      <c r="BV267" t="s">
        <v>0</v>
      </c>
      <c r="BW267" t="s">
        <v>0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</row>
    <row r="268" spans="1:80" ht="13.95" customHeight="1" x14ac:dyDescent="0.25">
      <c r="A268" t="s">
        <v>312</v>
      </c>
      <c r="B268" s="2">
        <v>46122</v>
      </c>
      <c r="C268" s="2">
        <v>46122</v>
      </c>
      <c r="D268" s="2">
        <v>46152</v>
      </c>
      <c r="E268" t="s">
        <v>2</v>
      </c>
      <c r="F268" t="s">
        <v>3</v>
      </c>
      <c r="G268" t="s">
        <v>0</v>
      </c>
      <c r="H268" t="s">
        <v>4</v>
      </c>
      <c r="I268" t="s">
        <v>297</v>
      </c>
      <c r="J268" t="s">
        <v>6</v>
      </c>
      <c r="K268" t="s">
        <v>38</v>
      </c>
      <c r="L268" t="s">
        <v>70</v>
      </c>
      <c r="M268" t="s">
        <v>71</v>
      </c>
      <c r="N268" t="s">
        <v>10</v>
      </c>
      <c r="O268" t="s">
        <v>0</v>
      </c>
      <c r="P268" t="s">
        <v>11</v>
      </c>
      <c r="Q268" s="5">
        <v>34</v>
      </c>
      <c r="R268" s="4">
        <v>60800</v>
      </c>
      <c r="S268" s="5">
        <v>1</v>
      </c>
      <c r="T268" s="4">
        <v>2067200</v>
      </c>
      <c r="U268" s="5">
        <v>0</v>
      </c>
      <c r="V268" s="4">
        <v>0</v>
      </c>
      <c r="W268" s="5">
        <v>0</v>
      </c>
      <c r="X268" s="4">
        <v>0</v>
      </c>
      <c r="Y268" s="4">
        <f t="shared" si="8"/>
        <v>2067200</v>
      </c>
      <c r="Z268" s="6" t="s">
        <v>0</v>
      </c>
      <c r="AA268" t="s">
        <v>2</v>
      </c>
      <c r="AB268" t="s">
        <v>12</v>
      </c>
      <c r="AC268">
        <f>_xlfn.XLOOKUP(AB268,'[1]GST Codes'!$A:$A,'[1]GST Codes'!$C:$C,0,0)</f>
        <v>18</v>
      </c>
      <c r="AD268">
        <f t="shared" si="9"/>
        <v>2439296</v>
      </c>
      <c r="AE268" t="s">
        <v>13</v>
      </c>
      <c r="AF268" t="s">
        <v>0</v>
      </c>
      <c r="AG268" t="s">
        <v>14</v>
      </c>
      <c r="AH268" t="s">
        <v>15</v>
      </c>
      <c r="AI268" t="s">
        <v>85</v>
      </c>
      <c r="AJ268" t="s">
        <v>17</v>
      </c>
      <c r="AK268" t="s">
        <v>18</v>
      </c>
      <c r="AL268" t="s">
        <v>19</v>
      </c>
      <c r="AM268" t="s">
        <v>297</v>
      </c>
      <c r="AN268" t="s">
        <v>0</v>
      </c>
      <c r="AO268" t="s">
        <v>0</v>
      </c>
      <c r="AP268" t="s">
        <v>0</v>
      </c>
      <c r="AQ268" s="5">
        <v>34</v>
      </c>
      <c r="AR268" t="s">
        <v>11</v>
      </c>
      <c r="AS268" t="s">
        <v>0</v>
      </c>
      <c r="AT268" t="s">
        <v>17</v>
      </c>
      <c r="AU268" s="4">
        <v>0</v>
      </c>
      <c r="AV268" s="4">
        <v>0</v>
      </c>
      <c r="AW268" s="4">
        <v>0</v>
      </c>
      <c r="AX268" s="4">
        <v>0</v>
      </c>
      <c r="AY268" s="5">
        <v>0</v>
      </c>
      <c r="AZ268" s="5">
        <v>0</v>
      </c>
      <c r="BA268" s="5">
        <v>0</v>
      </c>
      <c r="BB268" s="2"/>
      <c r="BC268" t="s">
        <v>0</v>
      </c>
      <c r="BD268" s="5">
        <v>1</v>
      </c>
      <c r="BE268" t="s">
        <v>0</v>
      </c>
      <c r="BF268" t="s">
        <v>298</v>
      </c>
      <c r="BG268" t="s">
        <v>17</v>
      </c>
      <c r="BH268" t="s">
        <v>0</v>
      </c>
      <c r="BI268" t="s">
        <v>11</v>
      </c>
      <c r="BJ268" t="s">
        <v>0</v>
      </c>
      <c r="BK268" t="s">
        <v>0</v>
      </c>
      <c r="BL268" s="5">
        <v>0</v>
      </c>
      <c r="BM268" t="s">
        <v>0</v>
      </c>
      <c r="BN268" t="s">
        <v>0</v>
      </c>
      <c r="BO268" t="s">
        <v>0</v>
      </c>
      <c r="BP268" t="s">
        <v>17</v>
      </c>
      <c r="BQ268" t="s">
        <v>0</v>
      </c>
      <c r="BR268" t="s">
        <v>17</v>
      </c>
      <c r="BS268" t="s">
        <v>17</v>
      </c>
      <c r="BT268" t="s">
        <v>0</v>
      </c>
      <c r="BU268" t="s">
        <v>0</v>
      </c>
      <c r="BV268" t="s">
        <v>0</v>
      </c>
      <c r="BW268" t="s">
        <v>0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</row>
    <row r="269" spans="1:80" ht="13.95" customHeight="1" x14ac:dyDescent="0.25">
      <c r="A269" t="s">
        <v>312</v>
      </c>
      <c r="B269" s="2">
        <v>46122</v>
      </c>
      <c r="C269" s="2">
        <v>46122</v>
      </c>
      <c r="D269" s="2">
        <v>46152</v>
      </c>
      <c r="E269" t="s">
        <v>2</v>
      </c>
      <c r="F269" t="s">
        <v>3</v>
      </c>
      <c r="G269" t="s">
        <v>0</v>
      </c>
      <c r="H269" t="s">
        <v>4</v>
      </c>
      <c r="I269" t="s">
        <v>297</v>
      </c>
      <c r="J269" t="s">
        <v>6</v>
      </c>
      <c r="K269" t="s">
        <v>42</v>
      </c>
      <c r="L269" t="s">
        <v>35</v>
      </c>
      <c r="M269" t="s">
        <v>36</v>
      </c>
      <c r="N269" t="s">
        <v>10</v>
      </c>
      <c r="O269" t="s">
        <v>0</v>
      </c>
      <c r="P269" t="s">
        <v>11</v>
      </c>
      <c r="Q269" s="5">
        <v>8</v>
      </c>
      <c r="R269" s="4">
        <v>59800</v>
      </c>
      <c r="S269" s="5">
        <v>1</v>
      </c>
      <c r="T269" s="4">
        <v>478400</v>
      </c>
      <c r="U269" s="5">
        <v>0</v>
      </c>
      <c r="V269" s="4">
        <v>0</v>
      </c>
      <c r="W269" s="5">
        <v>0</v>
      </c>
      <c r="X269" s="4">
        <v>0</v>
      </c>
      <c r="Y269" s="4">
        <f t="shared" si="8"/>
        <v>478400</v>
      </c>
      <c r="Z269" s="6" t="s">
        <v>0</v>
      </c>
      <c r="AA269" t="s">
        <v>2</v>
      </c>
      <c r="AB269" t="s">
        <v>12</v>
      </c>
      <c r="AC269">
        <f>_xlfn.XLOOKUP(AB269,'[1]GST Codes'!$A:$A,'[1]GST Codes'!$C:$C,0,0)</f>
        <v>18</v>
      </c>
      <c r="AD269">
        <f t="shared" si="9"/>
        <v>564512</v>
      </c>
      <c r="AE269" t="s">
        <v>13</v>
      </c>
      <c r="AF269" t="s">
        <v>0</v>
      </c>
      <c r="AG269" t="s">
        <v>14</v>
      </c>
      <c r="AH269" t="s">
        <v>15</v>
      </c>
      <c r="AI269" t="s">
        <v>85</v>
      </c>
      <c r="AJ269" t="s">
        <v>17</v>
      </c>
      <c r="AK269" t="s">
        <v>18</v>
      </c>
      <c r="AL269" t="s">
        <v>19</v>
      </c>
      <c r="AM269" t="s">
        <v>297</v>
      </c>
      <c r="AN269" t="s">
        <v>0</v>
      </c>
      <c r="AO269" t="s">
        <v>0</v>
      </c>
      <c r="AP269" t="s">
        <v>0</v>
      </c>
      <c r="AQ269" s="5">
        <v>8</v>
      </c>
      <c r="AR269" t="s">
        <v>11</v>
      </c>
      <c r="AS269" t="s">
        <v>0</v>
      </c>
      <c r="AT269" t="s">
        <v>17</v>
      </c>
      <c r="AU269" s="4">
        <v>0</v>
      </c>
      <c r="AV269" s="4">
        <v>0</v>
      </c>
      <c r="AW269" s="4">
        <v>0</v>
      </c>
      <c r="AX269" s="4">
        <v>0</v>
      </c>
      <c r="AY269" s="5">
        <v>0</v>
      </c>
      <c r="AZ269" s="5">
        <v>0</v>
      </c>
      <c r="BA269" s="5">
        <v>0</v>
      </c>
      <c r="BB269" s="2"/>
      <c r="BC269" t="s">
        <v>0</v>
      </c>
      <c r="BD269" s="5">
        <v>1</v>
      </c>
      <c r="BE269" t="s">
        <v>0</v>
      </c>
      <c r="BF269" t="s">
        <v>300</v>
      </c>
      <c r="BG269" t="s">
        <v>17</v>
      </c>
      <c r="BH269" t="s">
        <v>0</v>
      </c>
      <c r="BI269" t="s">
        <v>11</v>
      </c>
      <c r="BJ269" t="s">
        <v>0</v>
      </c>
      <c r="BK269" t="s">
        <v>0</v>
      </c>
      <c r="BL269" s="5">
        <v>0</v>
      </c>
      <c r="BM269" t="s">
        <v>0</v>
      </c>
      <c r="BN269" t="s">
        <v>0</v>
      </c>
      <c r="BO269" t="s">
        <v>0</v>
      </c>
      <c r="BP269" t="s">
        <v>17</v>
      </c>
      <c r="BQ269" t="s">
        <v>0</v>
      </c>
      <c r="BR269" t="s">
        <v>17</v>
      </c>
      <c r="BS269" t="s">
        <v>17</v>
      </c>
      <c r="BT269" t="s">
        <v>0</v>
      </c>
      <c r="BU269" t="s">
        <v>0</v>
      </c>
      <c r="BV269" t="s">
        <v>0</v>
      </c>
      <c r="BW269" t="s">
        <v>0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</row>
    <row r="270" spans="1:80" ht="13.95" customHeight="1" x14ac:dyDescent="0.25">
      <c r="A270" t="s">
        <v>312</v>
      </c>
      <c r="B270" s="2">
        <v>46122</v>
      </c>
      <c r="C270" s="2">
        <v>46122</v>
      </c>
      <c r="D270" s="2">
        <v>46152</v>
      </c>
      <c r="E270" t="s">
        <v>2</v>
      </c>
      <c r="F270" t="s">
        <v>3</v>
      </c>
      <c r="G270" t="s">
        <v>0</v>
      </c>
      <c r="H270" t="s">
        <v>4</v>
      </c>
      <c r="I270" t="s">
        <v>297</v>
      </c>
      <c r="J270" t="s">
        <v>6</v>
      </c>
      <c r="K270" t="s">
        <v>86</v>
      </c>
      <c r="L270" t="s">
        <v>35</v>
      </c>
      <c r="M270" t="s">
        <v>36</v>
      </c>
      <c r="N270" t="s">
        <v>10</v>
      </c>
      <c r="O270" t="s">
        <v>0</v>
      </c>
      <c r="P270" t="s">
        <v>11</v>
      </c>
      <c r="Q270" s="5">
        <v>8</v>
      </c>
      <c r="R270" s="4">
        <v>59800</v>
      </c>
      <c r="S270" s="5">
        <v>1</v>
      </c>
      <c r="T270" s="4">
        <v>478400</v>
      </c>
      <c r="U270" s="5">
        <v>0</v>
      </c>
      <c r="V270" s="4">
        <v>0</v>
      </c>
      <c r="W270" s="5">
        <v>0</v>
      </c>
      <c r="X270" s="4">
        <v>0</v>
      </c>
      <c r="Y270" s="4">
        <f t="shared" si="8"/>
        <v>478400</v>
      </c>
      <c r="Z270" s="6" t="s">
        <v>0</v>
      </c>
      <c r="AA270" t="s">
        <v>2</v>
      </c>
      <c r="AB270" t="s">
        <v>12</v>
      </c>
      <c r="AC270">
        <f>_xlfn.XLOOKUP(AB270,'[1]GST Codes'!$A:$A,'[1]GST Codes'!$C:$C,0,0)</f>
        <v>18</v>
      </c>
      <c r="AD270">
        <f t="shared" si="9"/>
        <v>564512</v>
      </c>
      <c r="AE270" t="s">
        <v>13</v>
      </c>
      <c r="AF270" t="s">
        <v>0</v>
      </c>
      <c r="AG270" t="s">
        <v>14</v>
      </c>
      <c r="AH270" t="s">
        <v>15</v>
      </c>
      <c r="AI270" t="s">
        <v>85</v>
      </c>
      <c r="AJ270" t="s">
        <v>17</v>
      </c>
      <c r="AK270" t="s">
        <v>18</v>
      </c>
      <c r="AL270" t="s">
        <v>19</v>
      </c>
      <c r="AM270" t="s">
        <v>297</v>
      </c>
      <c r="AN270" t="s">
        <v>0</v>
      </c>
      <c r="AO270" t="s">
        <v>0</v>
      </c>
      <c r="AP270" t="s">
        <v>0</v>
      </c>
      <c r="AQ270" s="5">
        <v>8</v>
      </c>
      <c r="AR270" t="s">
        <v>11</v>
      </c>
      <c r="AS270" t="s">
        <v>0</v>
      </c>
      <c r="AT270" t="s">
        <v>17</v>
      </c>
      <c r="AU270" s="4">
        <v>0</v>
      </c>
      <c r="AV270" s="4">
        <v>0</v>
      </c>
      <c r="AW270" s="4">
        <v>0</v>
      </c>
      <c r="AX270" s="4">
        <v>0</v>
      </c>
      <c r="AY270" s="5">
        <v>0</v>
      </c>
      <c r="AZ270" s="5">
        <v>0</v>
      </c>
      <c r="BA270" s="5">
        <v>0</v>
      </c>
      <c r="BB270" s="2"/>
      <c r="BC270" t="s">
        <v>0</v>
      </c>
      <c r="BD270" s="5">
        <v>1</v>
      </c>
      <c r="BE270" t="s">
        <v>0</v>
      </c>
      <c r="BF270" t="s">
        <v>300</v>
      </c>
      <c r="BG270" t="s">
        <v>17</v>
      </c>
      <c r="BH270" t="s">
        <v>0</v>
      </c>
      <c r="BI270" t="s">
        <v>11</v>
      </c>
      <c r="BJ270" t="s">
        <v>0</v>
      </c>
      <c r="BK270" t="s">
        <v>0</v>
      </c>
      <c r="BL270" s="5">
        <v>0</v>
      </c>
      <c r="BM270" t="s">
        <v>0</v>
      </c>
      <c r="BN270" t="s">
        <v>0</v>
      </c>
      <c r="BO270" t="s">
        <v>0</v>
      </c>
      <c r="BP270" t="s">
        <v>17</v>
      </c>
      <c r="BQ270" t="s">
        <v>0</v>
      </c>
      <c r="BR270" t="s">
        <v>17</v>
      </c>
      <c r="BS270" t="s">
        <v>17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</row>
    <row r="271" spans="1:80" ht="13.95" customHeight="1" x14ac:dyDescent="0.25">
      <c r="A271" t="s">
        <v>312</v>
      </c>
      <c r="B271" s="2">
        <v>46122</v>
      </c>
      <c r="C271" s="2">
        <v>46122</v>
      </c>
      <c r="D271" s="2">
        <v>46152</v>
      </c>
      <c r="E271" t="s">
        <v>2</v>
      </c>
      <c r="F271" t="s">
        <v>3</v>
      </c>
      <c r="G271" t="s">
        <v>0</v>
      </c>
      <c r="H271" t="s">
        <v>4</v>
      </c>
      <c r="I271" t="s">
        <v>297</v>
      </c>
      <c r="J271" t="s">
        <v>6</v>
      </c>
      <c r="K271" t="s">
        <v>87</v>
      </c>
      <c r="L271" t="s">
        <v>35</v>
      </c>
      <c r="M271" t="s">
        <v>36</v>
      </c>
      <c r="N271" t="s">
        <v>10</v>
      </c>
      <c r="O271" t="s">
        <v>0</v>
      </c>
      <c r="P271" t="s">
        <v>11</v>
      </c>
      <c r="Q271" s="5">
        <v>8</v>
      </c>
      <c r="R271" s="4">
        <v>59800</v>
      </c>
      <c r="S271" s="5">
        <v>1</v>
      </c>
      <c r="T271" s="4">
        <v>478400</v>
      </c>
      <c r="U271" s="5">
        <v>0</v>
      </c>
      <c r="V271" s="4">
        <v>0</v>
      </c>
      <c r="W271" s="5">
        <v>0</v>
      </c>
      <c r="X271" s="4">
        <v>0</v>
      </c>
      <c r="Y271" s="4">
        <f t="shared" si="8"/>
        <v>478400</v>
      </c>
      <c r="Z271" s="6" t="s">
        <v>0</v>
      </c>
      <c r="AA271" t="s">
        <v>2</v>
      </c>
      <c r="AB271" t="s">
        <v>12</v>
      </c>
      <c r="AC271">
        <f>_xlfn.XLOOKUP(AB271,'[1]GST Codes'!$A:$A,'[1]GST Codes'!$C:$C,0,0)</f>
        <v>18</v>
      </c>
      <c r="AD271">
        <f t="shared" si="9"/>
        <v>564512</v>
      </c>
      <c r="AE271" t="s">
        <v>13</v>
      </c>
      <c r="AF271" t="s">
        <v>0</v>
      </c>
      <c r="AG271" t="s">
        <v>14</v>
      </c>
      <c r="AH271" t="s">
        <v>15</v>
      </c>
      <c r="AI271" t="s">
        <v>85</v>
      </c>
      <c r="AJ271" t="s">
        <v>17</v>
      </c>
      <c r="AK271" t="s">
        <v>18</v>
      </c>
      <c r="AL271" t="s">
        <v>19</v>
      </c>
      <c r="AM271" t="s">
        <v>297</v>
      </c>
      <c r="AN271" t="s">
        <v>0</v>
      </c>
      <c r="AO271" t="s">
        <v>0</v>
      </c>
      <c r="AP271" t="s">
        <v>0</v>
      </c>
      <c r="AQ271" s="5">
        <v>8</v>
      </c>
      <c r="AR271" t="s">
        <v>11</v>
      </c>
      <c r="AS271" t="s">
        <v>0</v>
      </c>
      <c r="AT271" t="s">
        <v>17</v>
      </c>
      <c r="AU271" s="4">
        <v>0</v>
      </c>
      <c r="AV271" s="4">
        <v>0</v>
      </c>
      <c r="AW271" s="4">
        <v>0</v>
      </c>
      <c r="AX271" s="4">
        <v>0</v>
      </c>
      <c r="AY271" s="5">
        <v>0</v>
      </c>
      <c r="AZ271" s="5">
        <v>0</v>
      </c>
      <c r="BA271" s="5">
        <v>0</v>
      </c>
      <c r="BB271" s="2"/>
      <c r="BC271" t="s">
        <v>0</v>
      </c>
      <c r="BD271" s="5">
        <v>1</v>
      </c>
      <c r="BE271" t="s">
        <v>0</v>
      </c>
      <c r="BF271" t="s">
        <v>300</v>
      </c>
      <c r="BG271" t="s">
        <v>17</v>
      </c>
      <c r="BH271" t="s">
        <v>0</v>
      </c>
      <c r="BI271" t="s">
        <v>11</v>
      </c>
      <c r="BJ271" t="s">
        <v>0</v>
      </c>
      <c r="BK271" t="s">
        <v>0</v>
      </c>
      <c r="BL271" s="5">
        <v>0</v>
      </c>
      <c r="BM271" t="s">
        <v>0</v>
      </c>
      <c r="BN271" t="s">
        <v>0</v>
      </c>
      <c r="BO271" t="s">
        <v>0</v>
      </c>
      <c r="BP271" t="s">
        <v>17</v>
      </c>
      <c r="BQ271" t="s">
        <v>0</v>
      </c>
      <c r="BR271" t="s">
        <v>17</v>
      </c>
      <c r="BS271" t="s">
        <v>17</v>
      </c>
      <c r="BT271" t="s">
        <v>0</v>
      </c>
      <c r="BU271" t="s">
        <v>0</v>
      </c>
      <c r="BV271" t="s">
        <v>0</v>
      </c>
      <c r="BW271" t="s">
        <v>0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</row>
    <row r="272" spans="1:80" ht="13.95" customHeight="1" x14ac:dyDescent="0.25">
      <c r="A272" t="s">
        <v>312</v>
      </c>
      <c r="B272" s="2">
        <v>46122</v>
      </c>
      <c r="C272" s="2">
        <v>46122</v>
      </c>
      <c r="D272" s="2">
        <v>46152</v>
      </c>
      <c r="E272" t="s">
        <v>2</v>
      </c>
      <c r="F272" t="s">
        <v>3</v>
      </c>
      <c r="G272" t="s">
        <v>0</v>
      </c>
      <c r="H272" t="s">
        <v>4</v>
      </c>
      <c r="I272" t="s">
        <v>297</v>
      </c>
      <c r="J272" t="s">
        <v>6</v>
      </c>
      <c r="K272" t="s">
        <v>88</v>
      </c>
      <c r="L272" t="s">
        <v>35</v>
      </c>
      <c r="M272" t="s">
        <v>36</v>
      </c>
      <c r="N272" t="s">
        <v>10</v>
      </c>
      <c r="O272" t="s">
        <v>0</v>
      </c>
      <c r="P272" t="s">
        <v>11</v>
      </c>
      <c r="Q272" s="5">
        <v>8</v>
      </c>
      <c r="R272" s="4">
        <v>59800</v>
      </c>
      <c r="S272" s="5">
        <v>1</v>
      </c>
      <c r="T272" s="4">
        <v>478400</v>
      </c>
      <c r="U272" s="5">
        <v>0</v>
      </c>
      <c r="V272" s="4">
        <v>0</v>
      </c>
      <c r="W272" s="5">
        <v>0</v>
      </c>
      <c r="X272" s="4">
        <v>0</v>
      </c>
      <c r="Y272" s="4">
        <f t="shared" si="8"/>
        <v>478400</v>
      </c>
      <c r="Z272" s="6" t="s">
        <v>0</v>
      </c>
      <c r="AA272" t="s">
        <v>2</v>
      </c>
      <c r="AB272" t="s">
        <v>12</v>
      </c>
      <c r="AC272">
        <f>_xlfn.XLOOKUP(AB272,'[1]GST Codes'!$A:$A,'[1]GST Codes'!$C:$C,0,0)</f>
        <v>18</v>
      </c>
      <c r="AD272">
        <f t="shared" si="9"/>
        <v>564512</v>
      </c>
      <c r="AE272" t="s">
        <v>13</v>
      </c>
      <c r="AF272" t="s">
        <v>0</v>
      </c>
      <c r="AG272" t="s">
        <v>14</v>
      </c>
      <c r="AH272" t="s">
        <v>15</v>
      </c>
      <c r="AI272" t="s">
        <v>85</v>
      </c>
      <c r="AJ272" t="s">
        <v>17</v>
      </c>
      <c r="AK272" t="s">
        <v>18</v>
      </c>
      <c r="AL272" t="s">
        <v>19</v>
      </c>
      <c r="AM272" t="s">
        <v>297</v>
      </c>
      <c r="AN272" t="s">
        <v>0</v>
      </c>
      <c r="AO272" t="s">
        <v>0</v>
      </c>
      <c r="AP272" t="s">
        <v>0</v>
      </c>
      <c r="AQ272" s="5">
        <v>8</v>
      </c>
      <c r="AR272" t="s">
        <v>11</v>
      </c>
      <c r="AS272" t="s">
        <v>0</v>
      </c>
      <c r="AT272" t="s">
        <v>17</v>
      </c>
      <c r="AU272" s="4">
        <v>0</v>
      </c>
      <c r="AV272" s="4">
        <v>0</v>
      </c>
      <c r="AW272" s="4">
        <v>0</v>
      </c>
      <c r="AX272" s="4">
        <v>0</v>
      </c>
      <c r="AY272" s="5">
        <v>0</v>
      </c>
      <c r="AZ272" s="5">
        <v>0</v>
      </c>
      <c r="BA272" s="5">
        <v>0</v>
      </c>
      <c r="BB272" s="2"/>
      <c r="BC272" t="s">
        <v>0</v>
      </c>
      <c r="BD272" s="5">
        <v>1</v>
      </c>
      <c r="BE272" t="s">
        <v>0</v>
      </c>
      <c r="BF272" t="s">
        <v>300</v>
      </c>
      <c r="BG272" t="s">
        <v>17</v>
      </c>
      <c r="BH272" t="s">
        <v>0</v>
      </c>
      <c r="BI272" t="s">
        <v>11</v>
      </c>
      <c r="BJ272" t="s">
        <v>0</v>
      </c>
      <c r="BK272" t="s">
        <v>0</v>
      </c>
      <c r="BL272" s="5">
        <v>0</v>
      </c>
      <c r="BM272" t="s">
        <v>0</v>
      </c>
      <c r="BN272" t="s">
        <v>0</v>
      </c>
      <c r="BO272" t="s">
        <v>0</v>
      </c>
      <c r="BP272" t="s">
        <v>17</v>
      </c>
      <c r="BQ272" t="s">
        <v>0</v>
      </c>
      <c r="BR272" t="s">
        <v>17</v>
      </c>
      <c r="BS272" t="s">
        <v>17</v>
      </c>
      <c r="BT272" t="s">
        <v>0</v>
      </c>
      <c r="BU272" t="s">
        <v>0</v>
      </c>
      <c r="BV272" t="s">
        <v>0</v>
      </c>
      <c r="BW272" t="s">
        <v>0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</row>
    <row r="273" spans="1:80" ht="13.95" customHeight="1" x14ac:dyDescent="0.25">
      <c r="A273" t="s">
        <v>312</v>
      </c>
      <c r="B273" s="2">
        <v>46122</v>
      </c>
      <c r="C273" s="2">
        <v>46122</v>
      </c>
      <c r="D273" s="2">
        <v>46152</v>
      </c>
      <c r="E273" t="s">
        <v>2</v>
      </c>
      <c r="F273" t="s">
        <v>3</v>
      </c>
      <c r="G273" t="s">
        <v>0</v>
      </c>
      <c r="H273" t="s">
        <v>4</v>
      </c>
      <c r="I273" t="s">
        <v>297</v>
      </c>
      <c r="J273" t="s">
        <v>6</v>
      </c>
      <c r="K273" t="s">
        <v>89</v>
      </c>
      <c r="L273" t="s">
        <v>35</v>
      </c>
      <c r="M273" t="s">
        <v>36</v>
      </c>
      <c r="N273" t="s">
        <v>10</v>
      </c>
      <c r="O273" t="s">
        <v>0</v>
      </c>
      <c r="P273" t="s">
        <v>11</v>
      </c>
      <c r="Q273" s="5">
        <v>9</v>
      </c>
      <c r="R273" s="4">
        <v>59800</v>
      </c>
      <c r="S273" s="5">
        <v>1</v>
      </c>
      <c r="T273" s="4">
        <v>538200</v>
      </c>
      <c r="U273" s="3">
        <v>0.93</v>
      </c>
      <c r="V273" s="4">
        <v>55614</v>
      </c>
      <c r="W273" s="3">
        <v>0.93</v>
      </c>
      <c r="X273" s="4">
        <v>55614</v>
      </c>
      <c r="Y273" s="4">
        <f t="shared" si="8"/>
        <v>482586</v>
      </c>
      <c r="Z273" s="6" t="s">
        <v>0</v>
      </c>
      <c r="AA273" t="s">
        <v>2</v>
      </c>
      <c r="AB273" t="s">
        <v>12</v>
      </c>
      <c r="AC273">
        <f>_xlfn.XLOOKUP(AB273,'[1]GST Codes'!$A:$A,'[1]GST Codes'!$C:$C,0,0)</f>
        <v>18</v>
      </c>
      <c r="AD273">
        <f t="shared" si="9"/>
        <v>569451.48</v>
      </c>
      <c r="AE273" t="s">
        <v>13</v>
      </c>
      <c r="AF273" t="s">
        <v>0</v>
      </c>
      <c r="AG273" t="s">
        <v>14</v>
      </c>
      <c r="AH273" t="s">
        <v>15</v>
      </c>
      <c r="AI273" t="s">
        <v>85</v>
      </c>
      <c r="AJ273" t="s">
        <v>17</v>
      </c>
      <c r="AK273" t="s">
        <v>18</v>
      </c>
      <c r="AL273" t="s">
        <v>19</v>
      </c>
      <c r="AM273" t="s">
        <v>297</v>
      </c>
      <c r="AN273" t="s">
        <v>0</v>
      </c>
      <c r="AO273" t="s">
        <v>0</v>
      </c>
      <c r="AP273" t="s">
        <v>0</v>
      </c>
      <c r="AQ273" s="5">
        <v>9</v>
      </c>
      <c r="AR273" t="s">
        <v>11</v>
      </c>
      <c r="AS273" t="s">
        <v>0</v>
      </c>
      <c r="AT273" t="s">
        <v>17</v>
      </c>
      <c r="AU273" s="4">
        <v>0</v>
      </c>
      <c r="AV273" s="4">
        <v>0</v>
      </c>
      <c r="AW273" s="4">
        <v>0</v>
      </c>
      <c r="AX273" s="4">
        <v>0</v>
      </c>
      <c r="AY273" s="5">
        <v>0</v>
      </c>
      <c r="AZ273" s="5">
        <v>0</v>
      </c>
      <c r="BA273" s="5">
        <v>0</v>
      </c>
      <c r="BB273" s="2"/>
      <c r="BC273" t="s">
        <v>0</v>
      </c>
      <c r="BD273" s="5">
        <v>1</v>
      </c>
      <c r="BE273" t="s">
        <v>0</v>
      </c>
      <c r="BF273" t="s">
        <v>300</v>
      </c>
      <c r="BG273" t="s">
        <v>17</v>
      </c>
      <c r="BH273" t="s">
        <v>0</v>
      </c>
      <c r="BI273" t="s">
        <v>11</v>
      </c>
      <c r="BJ273" t="s">
        <v>0</v>
      </c>
      <c r="BK273" t="s">
        <v>0</v>
      </c>
      <c r="BL273" s="5">
        <v>0</v>
      </c>
      <c r="BM273" t="s">
        <v>0</v>
      </c>
      <c r="BN273" t="s">
        <v>0</v>
      </c>
      <c r="BO273" t="s">
        <v>0</v>
      </c>
      <c r="BP273" t="s">
        <v>17</v>
      </c>
      <c r="BQ273" t="s">
        <v>0</v>
      </c>
      <c r="BR273" t="s">
        <v>17</v>
      </c>
      <c r="BS273" t="s">
        <v>17</v>
      </c>
      <c r="BT273" t="s">
        <v>0</v>
      </c>
      <c r="BU273" t="s">
        <v>0</v>
      </c>
      <c r="BV273" t="s">
        <v>0</v>
      </c>
      <c r="BW273" t="s">
        <v>0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</row>
    <row r="274" spans="1:80" ht="13.95" customHeight="1" x14ac:dyDescent="0.25">
      <c r="A274" t="s">
        <v>312</v>
      </c>
      <c r="B274" s="2">
        <v>46122</v>
      </c>
      <c r="C274" s="2">
        <v>46122</v>
      </c>
      <c r="D274" s="2">
        <v>46152</v>
      </c>
      <c r="E274" t="s">
        <v>2</v>
      </c>
      <c r="F274" t="s">
        <v>3</v>
      </c>
      <c r="G274" t="s">
        <v>0</v>
      </c>
      <c r="H274" t="s">
        <v>4</v>
      </c>
      <c r="I274" t="s">
        <v>297</v>
      </c>
      <c r="J274" t="s">
        <v>6</v>
      </c>
      <c r="K274" t="s">
        <v>90</v>
      </c>
      <c r="L274" t="s">
        <v>35</v>
      </c>
      <c r="M274" t="s">
        <v>36</v>
      </c>
      <c r="N274" t="s">
        <v>10</v>
      </c>
      <c r="O274" t="s">
        <v>0</v>
      </c>
      <c r="P274" t="s">
        <v>11</v>
      </c>
      <c r="Q274" s="5">
        <v>9</v>
      </c>
      <c r="R274" s="4">
        <v>59800</v>
      </c>
      <c r="S274" s="5">
        <v>1</v>
      </c>
      <c r="T274" s="4">
        <v>538200</v>
      </c>
      <c r="U274" s="5">
        <v>0</v>
      </c>
      <c r="V274" s="4">
        <v>0</v>
      </c>
      <c r="W274" s="5">
        <v>0</v>
      </c>
      <c r="X274" s="4">
        <v>0</v>
      </c>
      <c r="Y274" s="4">
        <f t="shared" si="8"/>
        <v>538200</v>
      </c>
      <c r="Z274" s="6" t="s">
        <v>0</v>
      </c>
      <c r="AA274" t="s">
        <v>2</v>
      </c>
      <c r="AB274" t="s">
        <v>12</v>
      </c>
      <c r="AC274">
        <f>_xlfn.XLOOKUP(AB274,'[1]GST Codes'!$A:$A,'[1]GST Codes'!$C:$C,0,0)</f>
        <v>18</v>
      </c>
      <c r="AD274">
        <f t="shared" si="9"/>
        <v>635076</v>
      </c>
      <c r="AE274" t="s">
        <v>13</v>
      </c>
      <c r="AF274" t="s">
        <v>0</v>
      </c>
      <c r="AG274" t="s">
        <v>14</v>
      </c>
      <c r="AH274" t="s">
        <v>15</v>
      </c>
      <c r="AI274" t="s">
        <v>85</v>
      </c>
      <c r="AJ274" t="s">
        <v>17</v>
      </c>
      <c r="AK274" t="s">
        <v>18</v>
      </c>
      <c r="AL274" t="s">
        <v>19</v>
      </c>
      <c r="AM274" t="s">
        <v>297</v>
      </c>
      <c r="AN274" t="s">
        <v>0</v>
      </c>
      <c r="AO274" t="s">
        <v>0</v>
      </c>
      <c r="AP274" t="s">
        <v>0</v>
      </c>
      <c r="AQ274" s="5">
        <v>9</v>
      </c>
      <c r="AR274" t="s">
        <v>11</v>
      </c>
      <c r="AS274" t="s">
        <v>0</v>
      </c>
      <c r="AT274" t="s">
        <v>17</v>
      </c>
      <c r="AU274" s="4">
        <v>0</v>
      </c>
      <c r="AV274" s="4">
        <v>0</v>
      </c>
      <c r="AW274" s="4">
        <v>0</v>
      </c>
      <c r="AX274" s="4">
        <v>0</v>
      </c>
      <c r="AY274" s="5">
        <v>0</v>
      </c>
      <c r="AZ274" s="5">
        <v>0</v>
      </c>
      <c r="BA274" s="5">
        <v>0</v>
      </c>
      <c r="BB274" s="2"/>
      <c r="BC274" t="s">
        <v>0</v>
      </c>
      <c r="BD274" s="5">
        <v>1</v>
      </c>
      <c r="BE274" t="s">
        <v>0</v>
      </c>
      <c r="BF274" t="s">
        <v>300</v>
      </c>
      <c r="BG274" t="s">
        <v>17</v>
      </c>
      <c r="BH274" t="s">
        <v>0</v>
      </c>
      <c r="BI274" t="s">
        <v>11</v>
      </c>
      <c r="BJ274" t="s">
        <v>0</v>
      </c>
      <c r="BK274" t="s">
        <v>0</v>
      </c>
      <c r="BL274" s="5">
        <v>0</v>
      </c>
      <c r="BM274" t="s">
        <v>0</v>
      </c>
      <c r="BN274" t="s">
        <v>0</v>
      </c>
      <c r="BO274" t="s">
        <v>0</v>
      </c>
      <c r="BP274" t="s">
        <v>17</v>
      </c>
      <c r="BQ274" t="s">
        <v>0</v>
      </c>
      <c r="BR274" t="s">
        <v>17</v>
      </c>
      <c r="BS274" t="s">
        <v>17</v>
      </c>
      <c r="BT274" t="s">
        <v>0</v>
      </c>
      <c r="BU274" t="s">
        <v>0</v>
      </c>
      <c r="BV274" t="s">
        <v>0</v>
      </c>
      <c r="BW274" t="s">
        <v>0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</row>
    <row r="275" spans="1:80" ht="13.95" customHeight="1" x14ac:dyDescent="0.25">
      <c r="A275" t="s">
        <v>313</v>
      </c>
      <c r="B275" s="2">
        <v>45507</v>
      </c>
      <c r="C275" s="2">
        <v>45507</v>
      </c>
      <c r="D275" s="2">
        <v>45538</v>
      </c>
      <c r="E275" t="s">
        <v>2</v>
      </c>
      <c r="F275" t="s">
        <v>3</v>
      </c>
      <c r="G275" t="s">
        <v>0</v>
      </c>
      <c r="H275" t="s">
        <v>4</v>
      </c>
      <c r="I275" t="s">
        <v>314</v>
      </c>
      <c r="J275" t="s">
        <v>6</v>
      </c>
      <c r="K275" t="s">
        <v>7</v>
      </c>
      <c r="L275" t="s">
        <v>70</v>
      </c>
      <c r="M275" t="s">
        <v>315</v>
      </c>
      <c r="N275" t="s">
        <v>10</v>
      </c>
      <c r="O275" t="s">
        <v>0</v>
      </c>
      <c r="P275" t="s">
        <v>11</v>
      </c>
      <c r="Q275" s="3">
        <v>2.5</v>
      </c>
      <c r="R275" s="4">
        <v>52500</v>
      </c>
      <c r="S275" s="5">
        <v>1</v>
      </c>
      <c r="T275" s="4">
        <v>131250</v>
      </c>
      <c r="U275" s="5">
        <v>0</v>
      </c>
      <c r="V275" s="4">
        <v>0</v>
      </c>
      <c r="W275" s="5">
        <v>0</v>
      </c>
      <c r="X275" s="4">
        <v>0</v>
      </c>
      <c r="Y275" s="4">
        <f t="shared" si="8"/>
        <v>131250</v>
      </c>
      <c r="Z275" s="6" t="s">
        <v>0</v>
      </c>
      <c r="AA275" t="s">
        <v>2</v>
      </c>
      <c r="AB275" t="s">
        <v>12</v>
      </c>
      <c r="AC275">
        <f>_xlfn.XLOOKUP(AB275,'[1]GST Codes'!$A:$A,'[1]GST Codes'!$C:$C,0,0)</f>
        <v>18</v>
      </c>
      <c r="AD275">
        <f t="shared" si="9"/>
        <v>154875</v>
      </c>
      <c r="AE275" t="s">
        <v>13</v>
      </c>
      <c r="AF275" t="s">
        <v>0</v>
      </c>
      <c r="AG275" t="s">
        <v>14</v>
      </c>
      <c r="AH275" t="s">
        <v>15</v>
      </c>
      <c r="AI275" t="s">
        <v>16</v>
      </c>
      <c r="AJ275" t="s">
        <v>17</v>
      </c>
      <c r="AK275" t="s">
        <v>18</v>
      </c>
      <c r="AL275" t="s">
        <v>19</v>
      </c>
      <c r="AM275" t="s">
        <v>316</v>
      </c>
      <c r="AN275" t="s">
        <v>0</v>
      </c>
      <c r="AO275" t="s">
        <v>20</v>
      </c>
      <c r="AP275" t="s">
        <v>0</v>
      </c>
      <c r="AQ275" s="3">
        <v>2.5</v>
      </c>
      <c r="AR275" t="s">
        <v>11</v>
      </c>
      <c r="AS275" t="s">
        <v>0</v>
      </c>
      <c r="AT275" t="s">
        <v>17</v>
      </c>
      <c r="AU275" s="4">
        <v>0</v>
      </c>
      <c r="AV275" s="4">
        <v>0</v>
      </c>
      <c r="AW275" s="4">
        <v>0</v>
      </c>
      <c r="AX275" s="4">
        <v>0</v>
      </c>
      <c r="AY275" s="5">
        <v>0</v>
      </c>
      <c r="AZ275" s="5">
        <v>0</v>
      </c>
      <c r="BA275" s="5">
        <v>0</v>
      </c>
      <c r="BB275" s="2"/>
      <c r="BC275" t="s">
        <v>0</v>
      </c>
      <c r="BD275" s="5">
        <v>1</v>
      </c>
      <c r="BE275" t="s">
        <v>0</v>
      </c>
      <c r="BF275" t="s">
        <v>317</v>
      </c>
      <c r="BG275" t="s">
        <v>17</v>
      </c>
      <c r="BH275" t="s">
        <v>0</v>
      </c>
      <c r="BI275" t="s">
        <v>11</v>
      </c>
      <c r="BJ275" t="s">
        <v>0</v>
      </c>
      <c r="BK275" t="s">
        <v>0</v>
      </c>
      <c r="BL275" s="5">
        <v>0</v>
      </c>
      <c r="BM275" t="s">
        <v>0</v>
      </c>
      <c r="BN275" t="s">
        <v>0</v>
      </c>
      <c r="BO275" t="s">
        <v>0</v>
      </c>
      <c r="BP275" t="s">
        <v>17</v>
      </c>
      <c r="BQ275" t="s">
        <v>0</v>
      </c>
      <c r="BR275" t="s">
        <v>17</v>
      </c>
      <c r="BS275" t="s">
        <v>17</v>
      </c>
      <c r="BT275" t="s">
        <v>0</v>
      </c>
      <c r="BU275" t="s">
        <v>0</v>
      </c>
      <c r="BV275" t="s">
        <v>0</v>
      </c>
      <c r="BW275" t="s">
        <v>0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</row>
    <row r="276" spans="1:80" ht="13.95" customHeight="1" x14ac:dyDescent="0.25">
      <c r="A276" t="s">
        <v>313</v>
      </c>
      <c r="B276" s="2">
        <v>45507</v>
      </c>
      <c r="C276" s="2">
        <v>45507</v>
      </c>
      <c r="D276" s="2">
        <v>45538</v>
      </c>
      <c r="E276" t="s">
        <v>2</v>
      </c>
      <c r="F276" t="s">
        <v>3</v>
      </c>
      <c r="G276" t="s">
        <v>0</v>
      </c>
      <c r="H276" t="s">
        <v>4</v>
      </c>
      <c r="I276" t="s">
        <v>314</v>
      </c>
      <c r="J276" t="s">
        <v>6</v>
      </c>
      <c r="K276" t="s">
        <v>22</v>
      </c>
      <c r="L276" t="s">
        <v>35</v>
      </c>
      <c r="M276" t="s">
        <v>318</v>
      </c>
      <c r="N276" t="s">
        <v>10</v>
      </c>
      <c r="O276" t="s">
        <v>0</v>
      </c>
      <c r="P276" t="s">
        <v>11</v>
      </c>
      <c r="Q276" s="3">
        <v>4.5</v>
      </c>
      <c r="R276" s="4">
        <v>51250</v>
      </c>
      <c r="S276" s="5">
        <v>1</v>
      </c>
      <c r="T276" s="4">
        <v>230625</v>
      </c>
      <c r="U276" s="5">
        <v>0</v>
      </c>
      <c r="V276" s="4">
        <v>0</v>
      </c>
      <c r="W276" s="5">
        <v>0</v>
      </c>
      <c r="X276" s="4">
        <v>0</v>
      </c>
      <c r="Y276" s="4">
        <f t="shared" si="8"/>
        <v>230625</v>
      </c>
      <c r="Z276" s="6" t="s">
        <v>0</v>
      </c>
      <c r="AA276" t="s">
        <v>2</v>
      </c>
      <c r="AB276" t="s">
        <v>12</v>
      </c>
      <c r="AC276">
        <f>_xlfn.XLOOKUP(AB276,'[1]GST Codes'!$A:$A,'[1]GST Codes'!$C:$C,0,0)</f>
        <v>18</v>
      </c>
      <c r="AD276">
        <f t="shared" si="9"/>
        <v>272137.5</v>
      </c>
      <c r="AE276" t="s">
        <v>13</v>
      </c>
      <c r="AF276" t="s">
        <v>0</v>
      </c>
      <c r="AG276" t="s">
        <v>14</v>
      </c>
      <c r="AH276" t="s">
        <v>15</v>
      </c>
      <c r="AI276" t="s">
        <v>16</v>
      </c>
      <c r="AJ276" t="s">
        <v>17</v>
      </c>
      <c r="AK276" t="s">
        <v>18</v>
      </c>
      <c r="AL276" t="s">
        <v>19</v>
      </c>
      <c r="AM276" t="s">
        <v>316</v>
      </c>
      <c r="AN276" t="s">
        <v>0</v>
      </c>
      <c r="AO276" t="s">
        <v>20</v>
      </c>
      <c r="AP276" t="s">
        <v>0</v>
      </c>
      <c r="AQ276" s="3">
        <v>4.5</v>
      </c>
      <c r="AR276" t="s">
        <v>11</v>
      </c>
      <c r="AS276" t="s">
        <v>0</v>
      </c>
      <c r="AT276" t="s">
        <v>17</v>
      </c>
      <c r="AU276" s="4">
        <v>0</v>
      </c>
      <c r="AV276" s="4">
        <v>0</v>
      </c>
      <c r="AW276" s="4">
        <v>0</v>
      </c>
      <c r="AX276" s="4">
        <v>0</v>
      </c>
      <c r="AY276" s="5">
        <v>0</v>
      </c>
      <c r="AZ276" s="5">
        <v>0</v>
      </c>
      <c r="BA276" s="5">
        <v>0</v>
      </c>
      <c r="BB276" s="2"/>
      <c r="BC276" t="s">
        <v>0</v>
      </c>
      <c r="BD276" s="5">
        <v>1</v>
      </c>
      <c r="BE276" t="s">
        <v>0</v>
      </c>
      <c r="BF276" t="s">
        <v>319</v>
      </c>
      <c r="BG276" t="s">
        <v>17</v>
      </c>
      <c r="BH276" t="s">
        <v>0</v>
      </c>
      <c r="BI276" t="s">
        <v>11</v>
      </c>
      <c r="BJ276" t="s">
        <v>0</v>
      </c>
      <c r="BK276" t="s">
        <v>0</v>
      </c>
      <c r="BL276" s="5">
        <v>0</v>
      </c>
      <c r="BM276" t="s">
        <v>0</v>
      </c>
      <c r="BN276" t="s">
        <v>0</v>
      </c>
      <c r="BO276" t="s">
        <v>0</v>
      </c>
      <c r="BP276" t="s">
        <v>17</v>
      </c>
      <c r="BQ276" t="s">
        <v>0</v>
      </c>
      <c r="BR276" t="s">
        <v>17</v>
      </c>
      <c r="BS276" t="s">
        <v>17</v>
      </c>
      <c r="BT276" t="s">
        <v>0</v>
      </c>
      <c r="BU276" t="s">
        <v>0</v>
      </c>
      <c r="BV276" t="s">
        <v>0</v>
      </c>
      <c r="BW276" t="s">
        <v>0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</row>
    <row r="277" spans="1:80" ht="13.95" customHeight="1" x14ac:dyDescent="0.25">
      <c r="A277" t="s">
        <v>313</v>
      </c>
      <c r="B277" s="2">
        <v>45507</v>
      </c>
      <c r="C277" s="2">
        <v>45507</v>
      </c>
      <c r="D277" s="2">
        <v>45538</v>
      </c>
      <c r="E277" t="s">
        <v>2</v>
      </c>
      <c r="F277" t="s">
        <v>3</v>
      </c>
      <c r="G277" t="s">
        <v>0</v>
      </c>
      <c r="H277" t="s">
        <v>4</v>
      </c>
      <c r="I277" t="s">
        <v>314</v>
      </c>
      <c r="J277" t="s">
        <v>6</v>
      </c>
      <c r="K277" t="s">
        <v>26</v>
      </c>
      <c r="L277" t="s">
        <v>74</v>
      </c>
      <c r="M277" t="s">
        <v>320</v>
      </c>
      <c r="N277" t="s">
        <v>10</v>
      </c>
      <c r="O277" t="s">
        <v>0</v>
      </c>
      <c r="P277" t="s">
        <v>11</v>
      </c>
      <c r="Q277" s="3">
        <v>64.5</v>
      </c>
      <c r="R277" s="4">
        <v>50500</v>
      </c>
      <c r="S277" s="5">
        <v>1</v>
      </c>
      <c r="T277" s="4">
        <v>3257250</v>
      </c>
      <c r="U277" s="5">
        <v>0</v>
      </c>
      <c r="V277" s="4">
        <v>0</v>
      </c>
      <c r="W277" s="5">
        <v>0</v>
      </c>
      <c r="X277" s="4">
        <v>0</v>
      </c>
      <c r="Y277" s="4">
        <f t="shared" si="8"/>
        <v>3257250</v>
      </c>
      <c r="Z277" s="6" t="s">
        <v>0</v>
      </c>
      <c r="AA277" t="s">
        <v>2</v>
      </c>
      <c r="AB277" t="s">
        <v>12</v>
      </c>
      <c r="AC277">
        <f>_xlfn.XLOOKUP(AB277,'[1]GST Codes'!$A:$A,'[1]GST Codes'!$C:$C,0,0)</f>
        <v>18</v>
      </c>
      <c r="AD277">
        <f t="shared" si="9"/>
        <v>3843555</v>
      </c>
      <c r="AE277" t="s">
        <v>13</v>
      </c>
      <c r="AF277" t="s">
        <v>0</v>
      </c>
      <c r="AG277" t="s">
        <v>14</v>
      </c>
      <c r="AH277" t="s">
        <v>15</v>
      </c>
      <c r="AI277" t="s">
        <v>16</v>
      </c>
      <c r="AJ277" t="s">
        <v>17</v>
      </c>
      <c r="AK277" t="s">
        <v>18</v>
      </c>
      <c r="AL277" t="s">
        <v>19</v>
      </c>
      <c r="AM277" t="s">
        <v>316</v>
      </c>
      <c r="AN277" t="s">
        <v>0</v>
      </c>
      <c r="AO277" t="s">
        <v>20</v>
      </c>
      <c r="AP277" t="s">
        <v>0</v>
      </c>
      <c r="AQ277" s="3">
        <v>64.5</v>
      </c>
      <c r="AR277" t="s">
        <v>11</v>
      </c>
      <c r="AS277" t="s">
        <v>0</v>
      </c>
      <c r="AT277" t="s">
        <v>17</v>
      </c>
      <c r="AU277" s="4">
        <v>0</v>
      </c>
      <c r="AV277" s="4">
        <v>0</v>
      </c>
      <c r="AW277" s="4">
        <v>0</v>
      </c>
      <c r="AX277" s="4">
        <v>0</v>
      </c>
      <c r="AY277" s="5">
        <v>0</v>
      </c>
      <c r="AZ277" s="5">
        <v>0</v>
      </c>
      <c r="BA277" s="5">
        <v>0</v>
      </c>
      <c r="BB277" s="2"/>
      <c r="BC277" t="s">
        <v>0</v>
      </c>
      <c r="BD277" s="5">
        <v>1</v>
      </c>
      <c r="BE277" t="s">
        <v>0</v>
      </c>
      <c r="BF277" t="s">
        <v>321</v>
      </c>
      <c r="BG277" t="s">
        <v>17</v>
      </c>
      <c r="BH277" t="s">
        <v>0</v>
      </c>
      <c r="BI277" t="s">
        <v>11</v>
      </c>
      <c r="BJ277" t="s">
        <v>0</v>
      </c>
      <c r="BK277" t="s">
        <v>0</v>
      </c>
      <c r="BL277" s="5">
        <v>0</v>
      </c>
      <c r="BM277" t="s">
        <v>0</v>
      </c>
      <c r="BN277" t="s">
        <v>0</v>
      </c>
      <c r="BO277" t="s">
        <v>0</v>
      </c>
      <c r="BP277" t="s">
        <v>17</v>
      </c>
      <c r="BQ277" t="s">
        <v>0</v>
      </c>
      <c r="BR277" t="s">
        <v>17</v>
      </c>
      <c r="BS277" t="s">
        <v>17</v>
      </c>
      <c r="BT277" t="s">
        <v>0</v>
      </c>
      <c r="BU277" t="s">
        <v>0</v>
      </c>
      <c r="BV277" t="s">
        <v>0</v>
      </c>
      <c r="BW277" t="s">
        <v>0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</row>
    <row r="278" spans="1:80" ht="13.95" customHeight="1" x14ac:dyDescent="0.25">
      <c r="A278" t="s">
        <v>313</v>
      </c>
      <c r="B278" s="2">
        <v>45507</v>
      </c>
      <c r="C278" s="2">
        <v>45507</v>
      </c>
      <c r="D278" s="2">
        <v>45538</v>
      </c>
      <c r="E278" t="s">
        <v>2</v>
      </c>
      <c r="F278" t="s">
        <v>3</v>
      </c>
      <c r="G278" t="s">
        <v>0</v>
      </c>
      <c r="H278" t="s">
        <v>4</v>
      </c>
      <c r="I278" t="s">
        <v>314</v>
      </c>
      <c r="J278" t="s">
        <v>6</v>
      </c>
      <c r="K278" t="s">
        <v>30</v>
      </c>
      <c r="L278" t="s">
        <v>39</v>
      </c>
      <c r="M278" t="s">
        <v>322</v>
      </c>
      <c r="N278" t="s">
        <v>10</v>
      </c>
      <c r="O278" t="s">
        <v>0</v>
      </c>
      <c r="P278" t="s">
        <v>11</v>
      </c>
      <c r="Q278" s="5">
        <v>22</v>
      </c>
      <c r="R278" s="4">
        <v>50500</v>
      </c>
      <c r="S278" s="5">
        <v>1</v>
      </c>
      <c r="T278" s="4">
        <v>1111000</v>
      </c>
      <c r="U278" s="5">
        <v>0</v>
      </c>
      <c r="V278" s="4">
        <v>0</v>
      </c>
      <c r="W278" s="5">
        <v>0</v>
      </c>
      <c r="X278" s="4">
        <v>0</v>
      </c>
      <c r="Y278" s="4">
        <f t="shared" si="8"/>
        <v>1111000</v>
      </c>
      <c r="Z278" s="6" t="s">
        <v>0</v>
      </c>
      <c r="AA278" t="s">
        <v>2</v>
      </c>
      <c r="AB278" t="s">
        <v>12</v>
      </c>
      <c r="AC278">
        <f>_xlfn.XLOOKUP(AB278,'[1]GST Codes'!$A:$A,'[1]GST Codes'!$C:$C,0,0)</f>
        <v>18</v>
      </c>
      <c r="AD278">
        <f t="shared" si="9"/>
        <v>1310980</v>
      </c>
      <c r="AE278" t="s">
        <v>13</v>
      </c>
      <c r="AF278" t="s">
        <v>0</v>
      </c>
      <c r="AG278" t="s">
        <v>14</v>
      </c>
      <c r="AH278" t="s">
        <v>15</v>
      </c>
      <c r="AI278" t="s">
        <v>16</v>
      </c>
      <c r="AJ278" t="s">
        <v>17</v>
      </c>
      <c r="AK278" t="s">
        <v>18</v>
      </c>
      <c r="AL278" t="s">
        <v>19</v>
      </c>
      <c r="AM278" t="s">
        <v>316</v>
      </c>
      <c r="AN278" t="s">
        <v>0</v>
      </c>
      <c r="AO278" t="s">
        <v>20</v>
      </c>
      <c r="AP278" t="s">
        <v>0</v>
      </c>
      <c r="AQ278" s="5">
        <v>22</v>
      </c>
      <c r="AR278" t="s">
        <v>11</v>
      </c>
      <c r="AS278" t="s">
        <v>0</v>
      </c>
      <c r="AT278" t="s">
        <v>17</v>
      </c>
      <c r="AU278" s="4">
        <v>0</v>
      </c>
      <c r="AV278" s="4">
        <v>0</v>
      </c>
      <c r="AW278" s="4">
        <v>0</v>
      </c>
      <c r="AX278" s="4">
        <v>0</v>
      </c>
      <c r="AY278" s="5">
        <v>0</v>
      </c>
      <c r="AZ278" s="5">
        <v>0</v>
      </c>
      <c r="BA278" s="5">
        <v>0</v>
      </c>
      <c r="BB278" s="2"/>
      <c r="BC278" t="s">
        <v>0</v>
      </c>
      <c r="BD278" s="5">
        <v>1</v>
      </c>
      <c r="BE278" t="s">
        <v>0</v>
      </c>
      <c r="BF278" t="s">
        <v>323</v>
      </c>
      <c r="BG278" t="s">
        <v>17</v>
      </c>
      <c r="BH278" t="s">
        <v>0</v>
      </c>
      <c r="BI278" t="s">
        <v>11</v>
      </c>
      <c r="BJ278" t="s">
        <v>0</v>
      </c>
      <c r="BK278" t="s">
        <v>0</v>
      </c>
      <c r="BL278" s="5">
        <v>0</v>
      </c>
      <c r="BM278" t="s">
        <v>0</v>
      </c>
      <c r="BN278" t="s">
        <v>0</v>
      </c>
      <c r="BO278" t="s">
        <v>0</v>
      </c>
      <c r="BP278" t="s">
        <v>17</v>
      </c>
      <c r="BQ278" t="s">
        <v>0</v>
      </c>
      <c r="BR278" t="s">
        <v>17</v>
      </c>
      <c r="BS278" t="s">
        <v>17</v>
      </c>
      <c r="BT278" t="s">
        <v>0</v>
      </c>
      <c r="BU278" t="s">
        <v>0</v>
      </c>
      <c r="BV278" t="s">
        <v>0</v>
      </c>
      <c r="BW278" t="s">
        <v>0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</row>
    <row r="279" spans="1:80" ht="13.95" customHeight="1" x14ac:dyDescent="0.25">
      <c r="A279" t="s">
        <v>313</v>
      </c>
      <c r="B279" s="2">
        <v>45507</v>
      </c>
      <c r="C279" s="2">
        <v>45507</v>
      </c>
      <c r="D279" s="2">
        <v>45538</v>
      </c>
      <c r="E279" t="s">
        <v>2</v>
      </c>
      <c r="F279" t="s">
        <v>3</v>
      </c>
      <c r="G279" t="s">
        <v>0</v>
      </c>
      <c r="H279" t="s">
        <v>4</v>
      </c>
      <c r="I279" t="s">
        <v>314</v>
      </c>
      <c r="J279" t="s">
        <v>6</v>
      </c>
      <c r="K279" t="s">
        <v>34</v>
      </c>
      <c r="L279" t="s">
        <v>43</v>
      </c>
      <c r="M279" t="s">
        <v>324</v>
      </c>
      <c r="N279" t="s">
        <v>10</v>
      </c>
      <c r="O279" t="s">
        <v>0</v>
      </c>
      <c r="P279" t="s">
        <v>11</v>
      </c>
      <c r="Q279" s="5">
        <v>10</v>
      </c>
      <c r="R279" s="4">
        <v>50500</v>
      </c>
      <c r="S279" s="5">
        <v>1</v>
      </c>
      <c r="T279" s="4">
        <v>505000</v>
      </c>
      <c r="U279" s="5">
        <v>0</v>
      </c>
      <c r="V279" s="4">
        <v>0</v>
      </c>
      <c r="W279" s="5">
        <v>0</v>
      </c>
      <c r="X279" s="4">
        <v>0</v>
      </c>
      <c r="Y279" s="4">
        <f t="shared" si="8"/>
        <v>505000</v>
      </c>
      <c r="Z279" s="6" t="s">
        <v>0</v>
      </c>
      <c r="AA279" t="s">
        <v>2</v>
      </c>
      <c r="AB279" t="s">
        <v>12</v>
      </c>
      <c r="AC279">
        <f>_xlfn.XLOOKUP(AB279,'[1]GST Codes'!$A:$A,'[1]GST Codes'!$C:$C,0,0)</f>
        <v>18</v>
      </c>
      <c r="AD279">
        <f t="shared" si="9"/>
        <v>595900</v>
      </c>
      <c r="AE279" t="s">
        <v>13</v>
      </c>
      <c r="AF279" t="s">
        <v>0</v>
      </c>
      <c r="AG279" t="s">
        <v>14</v>
      </c>
      <c r="AH279" t="s">
        <v>15</v>
      </c>
      <c r="AI279" t="s">
        <v>16</v>
      </c>
      <c r="AJ279" t="s">
        <v>17</v>
      </c>
      <c r="AK279" t="s">
        <v>18</v>
      </c>
      <c r="AL279" t="s">
        <v>19</v>
      </c>
      <c r="AM279" t="s">
        <v>316</v>
      </c>
      <c r="AN279" t="s">
        <v>0</v>
      </c>
      <c r="AO279" t="s">
        <v>20</v>
      </c>
      <c r="AP279" t="s">
        <v>0</v>
      </c>
      <c r="AQ279" s="5">
        <v>10</v>
      </c>
      <c r="AR279" t="s">
        <v>11</v>
      </c>
      <c r="AS279" t="s">
        <v>0</v>
      </c>
      <c r="AT279" t="s">
        <v>17</v>
      </c>
      <c r="AU279" s="4">
        <v>0</v>
      </c>
      <c r="AV279" s="4">
        <v>0</v>
      </c>
      <c r="AW279" s="4">
        <v>0</v>
      </c>
      <c r="AX279" s="4">
        <v>0</v>
      </c>
      <c r="AY279" s="5">
        <v>0</v>
      </c>
      <c r="AZ279" s="5">
        <v>0</v>
      </c>
      <c r="BA279" s="5">
        <v>0</v>
      </c>
      <c r="BB279" s="2"/>
      <c r="BC279" t="s">
        <v>0</v>
      </c>
      <c r="BD279" s="5">
        <v>1</v>
      </c>
      <c r="BE279" t="s">
        <v>0</v>
      </c>
      <c r="BF279" t="s">
        <v>325</v>
      </c>
      <c r="BG279" t="s">
        <v>17</v>
      </c>
      <c r="BH279" t="s">
        <v>0</v>
      </c>
      <c r="BI279" t="s">
        <v>11</v>
      </c>
      <c r="BJ279" t="s">
        <v>0</v>
      </c>
      <c r="BK279" t="s">
        <v>0</v>
      </c>
      <c r="BL279" s="5">
        <v>0</v>
      </c>
      <c r="BM279" t="s">
        <v>0</v>
      </c>
      <c r="BN279" t="s">
        <v>0</v>
      </c>
      <c r="BO279" t="s">
        <v>0</v>
      </c>
      <c r="BP279" t="s">
        <v>17</v>
      </c>
      <c r="BQ279" t="s">
        <v>0</v>
      </c>
      <c r="BR279" t="s">
        <v>17</v>
      </c>
      <c r="BS279" t="s">
        <v>17</v>
      </c>
      <c r="BT279" t="s">
        <v>0</v>
      </c>
      <c r="BU279" t="s">
        <v>0</v>
      </c>
      <c r="BV279" t="s">
        <v>0</v>
      </c>
      <c r="BW279" t="s">
        <v>0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</row>
    <row r="280" spans="1:80" ht="13.95" customHeight="1" x14ac:dyDescent="0.25">
      <c r="A280" t="s">
        <v>313</v>
      </c>
      <c r="B280" s="2">
        <v>45507</v>
      </c>
      <c r="C280" s="2">
        <v>45507</v>
      </c>
      <c r="D280" s="2">
        <v>45538</v>
      </c>
      <c r="E280" t="s">
        <v>2</v>
      </c>
      <c r="F280" t="s">
        <v>3</v>
      </c>
      <c r="G280" t="s">
        <v>0</v>
      </c>
      <c r="H280" t="s">
        <v>4</v>
      </c>
      <c r="I280" t="s">
        <v>314</v>
      </c>
      <c r="J280" t="s">
        <v>6</v>
      </c>
      <c r="K280" t="s">
        <v>38</v>
      </c>
      <c r="L280" t="s">
        <v>326</v>
      </c>
      <c r="M280" t="s">
        <v>327</v>
      </c>
      <c r="N280" t="s">
        <v>10</v>
      </c>
      <c r="O280" t="s">
        <v>0</v>
      </c>
      <c r="P280" t="s">
        <v>11</v>
      </c>
      <c r="Q280" s="3">
        <v>117.5</v>
      </c>
      <c r="R280" s="4">
        <v>50500</v>
      </c>
      <c r="S280" s="5">
        <v>1</v>
      </c>
      <c r="T280" s="4">
        <v>5933750</v>
      </c>
      <c r="U280" s="5">
        <v>0</v>
      </c>
      <c r="V280" s="4">
        <v>0</v>
      </c>
      <c r="W280" s="5">
        <v>0</v>
      </c>
      <c r="X280" s="4">
        <v>0</v>
      </c>
      <c r="Y280" s="4">
        <f t="shared" si="8"/>
        <v>5933750</v>
      </c>
      <c r="Z280" s="6" t="s">
        <v>0</v>
      </c>
      <c r="AA280" t="s">
        <v>2</v>
      </c>
      <c r="AB280" t="s">
        <v>12</v>
      </c>
      <c r="AC280">
        <f>_xlfn.XLOOKUP(AB280,'[1]GST Codes'!$A:$A,'[1]GST Codes'!$C:$C,0,0)</f>
        <v>18</v>
      </c>
      <c r="AD280">
        <f t="shared" si="9"/>
        <v>7001825</v>
      </c>
      <c r="AE280" t="s">
        <v>13</v>
      </c>
      <c r="AF280" t="s">
        <v>0</v>
      </c>
      <c r="AG280" t="s">
        <v>14</v>
      </c>
      <c r="AH280" t="s">
        <v>15</v>
      </c>
      <c r="AI280" t="s">
        <v>16</v>
      </c>
      <c r="AJ280" t="s">
        <v>17</v>
      </c>
      <c r="AK280" t="s">
        <v>18</v>
      </c>
      <c r="AL280" t="s">
        <v>19</v>
      </c>
      <c r="AM280" t="s">
        <v>316</v>
      </c>
      <c r="AN280" t="s">
        <v>0</v>
      </c>
      <c r="AO280" t="s">
        <v>20</v>
      </c>
      <c r="AP280" t="s">
        <v>0</v>
      </c>
      <c r="AQ280" s="3">
        <v>117.5</v>
      </c>
      <c r="AR280" t="s">
        <v>11</v>
      </c>
      <c r="AS280" t="s">
        <v>0</v>
      </c>
      <c r="AT280" t="s">
        <v>17</v>
      </c>
      <c r="AU280" s="4">
        <v>0</v>
      </c>
      <c r="AV280" s="4">
        <v>0</v>
      </c>
      <c r="AW280" s="4">
        <v>0</v>
      </c>
      <c r="AX280" s="4">
        <v>0</v>
      </c>
      <c r="AY280" s="5">
        <v>0</v>
      </c>
      <c r="AZ280" s="5">
        <v>0</v>
      </c>
      <c r="BA280" s="5">
        <v>0</v>
      </c>
      <c r="BB280" s="2"/>
      <c r="BC280" t="s">
        <v>0</v>
      </c>
      <c r="BD280" s="5">
        <v>1</v>
      </c>
      <c r="BE280" t="s">
        <v>0</v>
      </c>
      <c r="BF280" t="s">
        <v>328</v>
      </c>
      <c r="BG280" t="s">
        <v>17</v>
      </c>
      <c r="BH280" t="s">
        <v>0</v>
      </c>
      <c r="BI280" t="s">
        <v>11</v>
      </c>
      <c r="BJ280" t="s">
        <v>0</v>
      </c>
      <c r="BK280" t="s">
        <v>0</v>
      </c>
      <c r="BL280" s="5">
        <v>0</v>
      </c>
      <c r="BM280" t="s">
        <v>0</v>
      </c>
      <c r="BN280" t="s">
        <v>0</v>
      </c>
      <c r="BO280" t="s">
        <v>0</v>
      </c>
      <c r="BP280" t="s">
        <v>17</v>
      </c>
      <c r="BQ280" t="s">
        <v>0</v>
      </c>
      <c r="BR280" t="s">
        <v>17</v>
      </c>
      <c r="BS280" t="s">
        <v>17</v>
      </c>
      <c r="BT280" t="s">
        <v>0</v>
      </c>
      <c r="BU280" t="s">
        <v>0</v>
      </c>
      <c r="BV280" t="s">
        <v>0</v>
      </c>
      <c r="BW280" t="s">
        <v>0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</row>
    <row r="281" spans="1:80" ht="13.95" customHeight="1" x14ac:dyDescent="0.25">
      <c r="A281" t="s">
        <v>313</v>
      </c>
      <c r="B281" s="2">
        <v>45507</v>
      </c>
      <c r="C281" s="2">
        <v>45507</v>
      </c>
      <c r="D281" s="2">
        <v>45538</v>
      </c>
      <c r="E281" t="s">
        <v>2</v>
      </c>
      <c r="F281" t="s">
        <v>3</v>
      </c>
      <c r="G281" t="s">
        <v>0</v>
      </c>
      <c r="H281" t="s">
        <v>4</v>
      </c>
      <c r="I281" t="s">
        <v>314</v>
      </c>
      <c r="J281" t="s">
        <v>6</v>
      </c>
      <c r="K281" t="s">
        <v>42</v>
      </c>
      <c r="L281" t="s">
        <v>329</v>
      </c>
      <c r="M281" t="s">
        <v>330</v>
      </c>
      <c r="N281" t="s">
        <v>10</v>
      </c>
      <c r="O281" t="s">
        <v>0</v>
      </c>
      <c r="P281" t="s">
        <v>11</v>
      </c>
      <c r="Q281" s="3">
        <v>588.5</v>
      </c>
      <c r="R281" s="4">
        <v>50500</v>
      </c>
      <c r="S281" s="5">
        <v>1</v>
      </c>
      <c r="T281" s="4">
        <v>29719250</v>
      </c>
      <c r="U281" s="5">
        <v>0</v>
      </c>
      <c r="V281" s="4">
        <v>0</v>
      </c>
      <c r="W281" s="5">
        <v>0</v>
      </c>
      <c r="X281" s="4">
        <v>0</v>
      </c>
      <c r="Y281" s="4">
        <f t="shared" si="8"/>
        <v>29719250</v>
      </c>
      <c r="Z281" s="6" t="s">
        <v>0</v>
      </c>
      <c r="AA281" t="s">
        <v>2</v>
      </c>
      <c r="AB281" t="s">
        <v>12</v>
      </c>
      <c r="AC281">
        <f>_xlfn.XLOOKUP(AB281,'[1]GST Codes'!$A:$A,'[1]GST Codes'!$C:$C,0,0)</f>
        <v>18</v>
      </c>
      <c r="AD281">
        <f t="shared" si="9"/>
        <v>35068715</v>
      </c>
      <c r="AE281" t="s">
        <v>13</v>
      </c>
      <c r="AF281" t="s">
        <v>0</v>
      </c>
      <c r="AG281" t="s">
        <v>14</v>
      </c>
      <c r="AH281" t="s">
        <v>15</v>
      </c>
      <c r="AI281" t="s">
        <v>16</v>
      </c>
      <c r="AJ281" t="s">
        <v>17</v>
      </c>
      <c r="AK281" t="s">
        <v>18</v>
      </c>
      <c r="AL281" t="s">
        <v>19</v>
      </c>
      <c r="AM281" t="s">
        <v>316</v>
      </c>
      <c r="AN281" t="s">
        <v>0</v>
      </c>
      <c r="AO281" t="s">
        <v>20</v>
      </c>
      <c r="AP281" t="s">
        <v>0</v>
      </c>
      <c r="AQ281" s="3">
        <v>588.5</v>
      </c>
      <c r="AR281" t="s">
        <v>11</v>
      </c>
      <c r="AS281" t="s">
        <v>0</v>
      </c>
      <c r="AT281" t="s">
        <v>17</v>
      </c>
      <c r="AU281" s="4">
        <v>0</v>
      </c>
      <c r="AV281" s="4">
        <v>0</v>
      </c>
      <c r="AW281" s="4">
        <v>0</v>
      </c>
      <c r="AX281" s="4">
        <v>0</v>
      </c>
      <c r="AY281" s="5">
        <v>0</v>
      </c>
      <c r="AZ281" s="5">
        <v>0</v>
      </c>
      <c r="BA281" s="5">
        <v>0</v>
      </c>
      <c r="BB281" s="2"/>
      <c r="BC281" t="s">
        <v>0</v>
      </c>
      <c r="BD281" s="5">
        <v>1</v>
      </c>
      <c r="BE281" t="s">
        <v>0</v>
      </c>
      <c r="BF281" t="s">
        <v>331</v>
      </c>
      <c r="BG281" t="s">
        <v>17</v>
      </c>
      <c r="BH281" t="s">
        <v>0</v>
      </c>
      <c r="BI281" t="s">
        <v>11</v>
      </c>
      <c r="BJ281" t="s">
        <v>0</v>
      </c>
      <c r="BK281" t="s">
        <v>0</v>
      </c>
      <c r="BL281" s="5">
        <v>0</v>
      </c>
      <c r="BM281" t="s">
        <v>0</v>
      </c>
      <c r="BN281" t="s">
        <v>0</v>
      </c>
      <c r="BO281" t="s">
        <v>0</v>
      </c>
      <c r="BP281" t="s">
        <v>17</v>
      </c>
      <c r="BQ281" t="s">
        <v>0</v>
      </c>
      <c r="BR281" t="s">
        <v>17</v>
      </c>
      <c r="BS281" t="s">
        <v>17</v>
      </c>
      <c r="BT281" t="s">
        <v>0</v>
      </c>
      <c r="BU281" t="s">
        <v>0</v>
      </c>
      <c r="BV281" t="s">
        <v>0</v>
      </c>
      <c r="BW281" t="s">
        <v>0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</row>
    <row r="282" spans="1:80" ht="13.95" customHeight="1" x14ac:dyDescent="0.25">
      <c r="A282" t="s">
        <v>313</v>
      </c>
      <c r="B282" s="2">
        <v>45507</v>
      </c>
      <c r="C282" s="2">
        <v>45507</v>
      </c>
      <c r="D282" s="2">
        <v>45538</v>
      </c>
      <c r="E282" t="s">
        <v>2</v>
      </c>
      <c r="F282" t="s">
        <v>3</v>
      </c>
      <c r="G282" t="s">
        <v>0</v>
      </c>
      <c r="H282" t="s">
        <v>4</v>
      </c>
      <c r="I282" t="s">
        <v>314</v>
      </c>
      <c r="J282" t="s">
        <v>6</v>
      </c>
      <c r="K282" t="s">
        <v>86</v>
      </c>
      <c r="L282" t="s">
        <v>70</v>
      </c>
      <c r="M282" t="s">
        <v>315</v>
      </c>
      <c r="N282" t="s">
        <v>10</v>
      </c>
      <c r="O282" t="s">
        <v>0</v>
      </c>
      <c r="P282" t="s">
        <v>11</v>
      </c>
      <c r="Q282" s="3">
        <v>2.5</v>
      </c>
      <c r="R282" s="4">
        <v>52500</v>
      </c>
      <c r="S282" s="5">
        <v>1</v>
      </c>
      <c r="T282" s="4">
        <v>131250</v>
      </c>
      <c r="U282" s="3">
        <v>1.1399999999999999</v>
      </c>
      <c r="V282" s="4">
        <v>59850</v>
      </c>
      <c r="W282" s="3">
        <v>1.1399999999999999</v>
      </c>
      <c r="X282" s="4">
        <v>59850</v>
      </c>
      <c r="Y282" s="4">
        <f t="shared" si="8"/>
        <v>71400</v>
      </c>
      <c r="Z282" s="6" t="s">
        <v>0</v>
      </c>
      <c r="AA282" t="s">
        <v>2</v>
      </c>
      <c r="AB282" t="s">
        <v>12</v>
      </c>
      <c r="AC282">
        <f>_xlfn.XLOOKUP(AB282,'[1]GST Codes'!$A:$A,'[1]GST Codes'!$C:$C,0,0)</f>
        <v>18</v>
      </c>
      <c r="AD282">
        <f t="shared" si="9"/>
        <v>84252</v>
      </c>
      <c r="AE282" t="s">
        <v>13</v>
      </c>
      <c r="AF282" t="s">
        <v>0</v>
      </c>
      <c r="AG282" t="s">
        <v>14</v>
      </c>
      <c r="AH282" t="s">
        <v>15</v>
      </c>
      <c r="AI282" t="s">
        <v>16</v>
      </c>
      <c r="AJ282" t="s">
        <v>17</v>
      </c>
      <c r="AK282" t="s">
        <v>18</v>
      </c>
      <c r="AL282" t="s">
        <v>19</v>
      </c>
      <c r="AM282" t="s">
        <v>316</v>
      </c>
      <c r="AN282" t="s">
        <v>0</v>
      </c>
      <c r="AO282" t="s">
        <v>20</v>
      </c>
      <c r="AP282" t="s">
        <v>0</v>
      </c>
      <c r="AQ282" s="3">
        <v>2.5</v>
      </c>
      <c r="AR282" t="s">
        <v>11</v>
      </c>
      <c r="AS282" t="s">
        <v>0</v>
      </c>
      <c r="AT282" t="s">
        <v>17</v>
      </c>
      <c r="AU282" s="4">
        <v>0</v>
      </c>
      <c r="AV282" s="4">
        <v>0</v>
      </c>
      <c r="AW282" s="4">
        <v>0</v>
      </c>
      <c r="AX282" s="4">
        <v>0</v>
      </c>
      <c r="AY282" s="5">
        <v>0</v>
      </c>
      <c r="AZ282" s="5">
        <v>0</v>
      </c>
      <c r="BA282" s="5">
        <v>0</v>
      </c>
      <c r="BB282" s="2"/>
      <c r="BC282" t="s">
        <v>0</v>
      </c>
      <c r="BD282" s="5">
        <v>1</v>
      </c>
      <c r="BE282" t="s">
        <v>0</v>
      </c>
      <c r="BF282" t="s">
        <v>317</v>
      </c>
      <c r="BG282" t="s">
        <v>17</v>
      </c>
      <c r="BH282" t="s">
        <v>0</v>
      </c>
      <c r="BI282" t="s">
        <v>11</v>
      </c>
      <c r="BJ282" t="s">
        <v>0</v>
      </c>
      <c r="BK282" t="s">
        <v>0</v>
      </c>
      <c r="BL282" s="5">
        <v>0</v>
      </c>
      <c r="BM282" t="s">
        <v>0</v>
      </c>
      <c r="BN282" t="s">
        <v>0</v>
      </c>
      <c r="BO282" t="s">
        <v>0</v>
      </c>
      <c r="BP282" t="s">
        <v>17</v>
      </c>
      <c r="BQ282" t="s">
        <v>0</v>
      </c>
      <c r="BR282" t="s">
        <v>17</v>
      </c>
      <c r="BS282" t="s">
        <v>17</v>
      </c>
      <c r="BT282" t="s">
        <v>0</v>
      </c>
      <c r="BU282" t="s">
        <v>0</v>
      </c>
      <c r="BV282" t="s">
        <v>0</v>
      </c>
      <c r="BW282" t="s">
        <v>0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</row>
    <row r="283" spans="1:80" ht="13.95" customHeight="1" x14ac:dyDescent="0.25">
      <c r="A283" t="s">
        <v>313</v>
      </c>
      <c r="B283" s="2">
        <v>45507</v>
      </c>
      <c r="C283" s="2">
        <v>45507</v>
      </c>
      <c r="D283" s="2">
        <v>45538</v>
      </c>
      <c r="E283" t="s">
        <v>2</v>
      </c>
      <c r="F283" t="s">
        <v>3</v>
      </c>
      <c r="G283" t="s">
        <v>0</v>
      </c>
      <c r="H283" t="s">
        <v>4</v>
      </c>
      <c r="I283" t="s">
        <v>314</v>
      </c>
      <c r="J283" t="s">
        <v>6</v>
      </c>
      <c r="K283" t="s">
        <v>87</v>
      </c>
      <c r="L283" t="s">
        <v>35</v>
      </c>
      <c r="M283" t="s">
        <v>318</v>
      </c>
      <c r="N283" t="s">
        <v>10</v>
      </c>
      <c r="O283" t="s">
        <v>0</v>
      </c>
      <c r="P283" t="s">
        <v>11</v>
      </c>
      <c r="Q283" s="3">
        <v>4.5</v>
      </c>
      <c r="R283" s="4">
        <v>51250</v>
      </c>
      <c r="S283" s="5">
        <v>1</v>
      </c>
      <c r="T283" s="4">
        <v>230625</v>
      </c>
      <c r="U283" s="3">
        <v>0.89500000000000002</v>
      </c>
      <c r="V283" s="4">
        <v>45868.75</v>
      </c>
      <c r="W283" s="3">
        <v>0.89500000000000002</v>
      </c>
      <c r="X283" s="4">
        <v>45868.75</v>
      </c>
      <c r="Y283" s="4">
        <f t="shared" si="8"/>
        <v>184756.25</v>
      </c>
      <c r="Z283" s="6" t="s">
        <v>0</v>
      </c>
      <c r="AA283" t="s">
        <v>2</v>
      </c>
      <c r="AB283" t="s">
        <v>12</v>
      </c>
      <c r="AC283">
        <f>_xlfn.XLOOKUP(AB283,'[1]GST Codes'!$A:$A,'[1]GST Codes'!$C:$C,0,0)</f>
        <v>18</v>
      </c>
      <c r="AD283">
        <f t="shared" si="9"/>
        <v>218012.375</v>
      </c>
      <c r="AE283" t="s">
        <v>13</v>
      </c>
      <c r="AF283" t="s">
        <v>0</v>
      </c>
      <c r="AG283" t="s">
        <v>14</v>
      </c>
      <c r="AH283" t="s">
        <v>15</v>
      </c>
      <c r="AI283" t="s">
        <v>16</v>
      </c>
      <c r="AJ283" t="s">
        <v>17</v>
      </c>
      <c r="AK283" t="s">
        <v>18</v>
      </c>
      <c r="AL283" t="s">
        <v>19</v>
      </c>
      <c r="AM283" t="s">
        <v>316</v>
      </c>
      <c r="AN283" t="s">
        <v>0</v>
      </c>
      <c r="AO283" t="s">
        <v>20</v>
      </c>
      <c r="AP283" t="s">
        <v>0</v>
      </c>
      <c r="AQ283" s="3">
        <v>4.5</v>
      </c>
      <c r="AR283" t="s">
        <v>11</v>
      </c>
      <c r="AS283" t="s">
        <v>0</v>
      </c>
      <c r="AT283" t="s">
        <v>17</v>
      </c>
      <c r="AU283" s="4">
        <v>0</v>
      </c>
      <c r="AV283" s="4">
        <v>0</v>
      </c>
      <c r="AW283" s="4">
        <v>0</v>
      </c>
      <c r="AX283" s="4">
        <v>0</v>
      </c>
      <c r="AY283" s="5">
        <v>0</v>
      </c>
      <c r="AZ283" s="5">
        <v>0</v>
      </c>
      <c r="BA283" s="5">
        <v>0</v>
      </c>
      <c r="BB283" s="2"/>
      <c r="BC283" t="s">
        <v>0</v>
      </c>
      <c r="BD283" s="5">
        <v>1</v>
      </c>
      <c r="BE283" t="s">
        <v>0</v>
      </c>
      <c r="BF283" t="s">
        <v>319</v>
      </c>
      <c r="BG283" t="s">
        <v>17</v>
      </c>
      <c r="BH283" t="s">
        <v>0</v>
      </c>
      <c r="BI283" t="s">
        <v>11</v>
      </c>
      <c r="BJ283" t="s">
        <v>0</v>
      </c>
      <c r="BK283" t="s">
        <v>0</v>
      </c>
      <c r="BL283" s="5">
        <v>0</v>
      </c>
      <c r="BM283" t="s">
        <v>0</v>
      </c>
      <c r="BN283" t="s">
        <v>0</v>
      </c>
      <c r="BO283" t="s">
        <v>0</v>
      </c>
      <c r="BP283" t="s">
        <v>17</v>
      </c>
      <c r="BQ283" t="s">
        <v>0</v>
      </c>
      <c r="BR283" t="s">
        <v>17</v>
      </c>
      <c r="BS283" t="s">
        <v>17</v>
      </c>
      <c r="BT283" t="s">
        <v>0</v>
      </c>
      <c r="BU283" t="s">
        <v>0</v>
      </c>
      <c r="BV283" t="s">
        <v>0</v>
      </c>
      <c r="BW283" t="s">
        <v>0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</row>
    <row r="284" spans="1:80" ht="13.95" customHeight="1" x14ac:dyDescent="0.25">
      <c r="A284" t="s">
        <v>313</v>
      </c>
      <c r="B284" s="2">
        <v>45507</v>
      </c>
      <c r="C284" s="2">
        <v>45507</v>
      </c>
      <c r="D284" s="2">
        <v>45538</v>
      </c>
      <c r="E284" t="s">
        <v>2</v>
      </c>
      <c r="F284" t="s">
        <v>3</v>
      </c>
      <c r="G284" t="s">
        <v>0</v>
      </c>
      <c r="H284" t="s">
        <v>4</v>
      </c>
      <c r="I284" t="s">
        <v>314</v>
      </c>
      <c r="J284" t="s">
        <v>6</v>
      </c>
      <c r="K284" t="s">
        <v>88</v>
      </c>
      <c r="L284" t="s">
        <v>74</v>
      </c>
      <c r="M284" t="s">
        <v>320</v>
      </c>
      <c r="N284" t="s">
        <v>10</v>
      </c>
      <c r="O284" t="s">
        <v>0</v>
      </c>
      <c r="P284" t="s">
        <v>11</v>
      </c>
      <c r="Q284" s="3">
        <v>64.5</v>
      </c>
      <c r="R284" s="4">
        <v>50500</v>
      </c>
      <c r="S284" s="5">
        <v>1</v>
      </c>
      <c r="T284" s="4">
        <v>3257250</v>
      </c>
      <c r="U284" s="5">
        <v>0</v>
      </c>
      <c r="V284" s="4">
        <v>0</v>
      </c>
      <c r="W284" s="5">
        <v>0</v>
      </c>
      <c r="X284" s="4">
        <v>0</v>
      </c>
      <c r="Y284" s="4">
        <f t="shared" si="8"/>
        <v>3257250</v>
      </c>
      <c r="Z284" s="6" t="s">
        <v>0</v>
      </c>
      <c r="AA284" t="s">
        <v>2</v>
      </c>
      <c r="AB284" t="s">
        <v>12</v>
      </c>
      <c r="AC284">
        <f>_xlfn.XLOOKUP(AB284,'[1]GST Codes'!$A:$A,'[1]GST Codes'!$C:$C,0,0)</f>
        <v>18</v>
      </c>
      <c r="AD284">
        <f t="shared" si="9"/>
        <v>3843555</v>
      </c>
      <c r="AE284" t="s">
        <v>13</v>
      </c>
      <c r="AF284" t="s">
        <v>0</v>
      </c>
      <c r="AG284" t="s">
        <v>14</v>
      </c>
      <c r="AH284" t="s">
        <v>15</v>
      </c>
      <c r="AI284" t="s">
        <v>16</v>
      </c>
      <c r="AJ284" t="s">
        <v>17</v>
      </c>
      <c r="AK284" t="s">
        <v>18</v>
      </c>
      <c r="AL284" t="s">
        <v>19</v>
      </c>
      <c r="AM284" t="s">
        <v>316</v>
      </c>
      <c r="AN284" t="s">
        <v>0</v>
      </c>
      <c r="AO284" t="s">
        <v>20</v>
      </c>
      <c r="AP284" t="s">
        <v>0</v>
      </c>
      <c r="AQ284" s="3">
        <v>64.5</v>
      </c>
      <c r="AR284" t="s">
        <v>11</v>
      </c>
      <c r="AS284" t="s">
        <v>0</v>
      </c>
      <c r="AT284" t="s">
        <v>17</v>
      </c>
      <c r="AU284" s="4">
        <v>0</v>
      </c>
      <c r="AV284" s="4">
        <v>0</v>
      </c>
      <c r="AW284" s="4">
        <v>0</v>
      </c>
      <c r="AX284" s="4">
        <v>0</v>
      </c>
      <c r="AY284" s="5">
        <v>0</v>
      </c>
      <c r="AZ284" s="5">
        <v>0</v>
      </c>
      <c r="BA284" s="5">
        <v>0</v>
      </c>
      <c r="BB284" s="2"/>
      <c r="BC284" t="s">
        <v>0</v>
      </c>
      <c r="BD284" s="5">
        <v>1</v>
      </c>
      <c r="BE284" t="s">
        <v>0</v>
      </c>
      <c r="BF284" t="s">
        <v>321</v>
      </c>
      <c r="BG284" t="s">
        <v>17</v>
      </c>
      <c r="BH284" t="s">
        <v>0</v>
      </c>
      <c r="BI284" t="s">
        <v>11</v>
      </c>
      <c r="BJ284" t="s">
        <v>0</v>
      </c>
      <c r="BK284" t="s">
        <v>0</v>
      </c>
      <c r="BL284" s="5">
        <v>0</v>
      </c>
      <c r="BM284" t="s">
        <v>0</v>
      </c>
      <c r="BN284" t="s">
        <v>0</v>
      </c>
      <c r="BO284" t="s">
        <v>0</v>
      </c>
      <c r="BP284" t="s">
        <v>17</v>
      </c>
      <c r="BQ284" t="s">
        <v>0</v>
      </c>
      <c r="BR284" t="s">
        <v>17</v>
      </c>
      <c r="BS284" t="s">
        <v>17</v>
      </c>
      <c r="BT284" t="s">
        <v>0</v>
      </c>
      <c r="BU284" t="s">
        <v>0</v>
      </c>
      <c r="BV284" t="s">
        <v>0</v>
      </c>
      <c r="BW284" t="s">
        <v>0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</row>
    <row r="285" spans="1:80" ht="13.95" customHeight="1" x14ac:dyDescent="0.25">
      <c r="A285" t="s">
        <v>313</v>
      </c>
      <c r="B285" s="2">
        <v>45507</v>
      </c>
      <c r="C285" s="2">
        <v>45507</v>
      </c>
      <c r="D285" s="2">
        <v>45538</v>
      </c>
      <c r="E285" t="s">
        <v>2</v>
      </c>
      <c r="F285" t="s">
        <v>3</v>
      </c>
      <c r="G285" t="s">
        <v>0</v>
      </c>
      <c r="H285" t="s">
        <v>4</v>
      </c>
      <c r="I285" t="s">
        <v>314</v>
      </c>
      <c r="J285" t="s">
        <v>6</v>
      </c>
      <c r="K285" t="s">
        <v>89</v>
      </c>
      <c r="L285" t="s">
        <v>39</v>
      </c>
      <c r="M285" t="s">
        <v>322</v>
      </c>
      <c r="N285" t="s">
        <v>10</v>
      </c>
      <c r="O285" t="s">
        <v>0</v>
      </c>
      <c r="P285" t="s">
        <v>11</v>
      </c>
      <c r="Q285" s="5">
        <v>22</v>
      </c>
      <c r="R285" s="4">
        <v>50500</v>
      </c>
      <c r="S285" s="5">
        <v>1</v>
      </c>
      <c r="T285" s="4">
        <v>1111000</v>
      </c>
      <c r="U285" s="5">
        <v>0</v>
      </c>
      <c r="V285" s="4">
        <v>0</v>
      </c>
      <c r="W285" s="5">
        <v>0</v>
      </c>
      <c r="X285" s="4">
        <v>0</v>
      </c>
      <c r="Y285" s="4">
        <f t="shared" si="8"/>
        <v>1111000</v>
      </c>
      <c r="Z285" s="6" t="s">
        <v>0</v>
      </c>
      <c r="AA285" t="s">
        <v>2</v>
      </c>
      <c r="AB285" t="s">
        <v>12</v>
      </c>
      <c r="AC285">
        <f>_xlfn.XLOOKUP(AB285,'[1]GST Codes'!$A:$A,'[1]GST Codes'!$C:$C,0,0)</f>
        <v>18</v>
      </c>
      <c r="AD285">
        <f t="shared" si="9"/>
        <v>1310980</v>
      </c>
      <c r="AE285" t="s">
        <v>13</v>
      </c>
      <c r="AF285" t="s">
        <v>0</v>
      </c>
      <c r="AG285" t="s">
        <v>14</v>
      </c>
      <c r="AH285" t="s">
        <v>15</v>
      </c>
      <c r="AI285" t="s">
        <v>16</v>
      </c>
      <c r="AJ285" t="s">
        <v>17</v>
      </c>
      <c r="AK285" t="s">
        <v>18</v>
      </c>
      <c r="AL285" t="s">
        <v>19</v>
      </c>
      <c r="AM285" t="s">
        <v>316</v>
      </c>
      <c r="AN285" t="s">
        <v>0</v>
      </c>
      <c r="AO285" t="s">
        <v>20</v>
      </c>
      <c r="AP285" t="s">
        <v>0</v>
      </c>
      <c r="AQ285" s="5">
        <v>22</v>
      </c>
      <c r="AR285" t="s">
        <v>11</v>
      </c>
      <c r="AS285" t="s">
        <v>0</v>
      </c>
      <c r="AT285" t="s">
        <v>17</v>
      </c>
      <c r="AU285" s="4">
        <v>0</v>
      </c>
      <c r="AV285" s="4">
        <v>0</v>
      </c>
      <c r="AW285" s="4">
        <v>0</v>
      </c>
      <c r="AX285" s="4">
        <v>0</v>
      </c>
      <c r="AY285" s="5">
        <v>0</v>
      </c>
      <c r="AZ285" s="5">
        <v>0</v>
      </c>
      <c r="BA285" s="5">
        <v>0</v>
      </c>
      <c r="BB285" s="2"/>
      <c r="BC285" t="s">
        <v>0</v>
      </c>
      <c r="BD285" s="5">
        <v>1</v>
      </c>
      <c r="BE285" t="s">
        <v>0</v>
      </c>
      <c r="BF285" t="s">
        <v>323</v>
      </c>
      <c r="BG285" t="s">
        <v>17</v>
      </c>
      <c r="BH285" t="s">
        <v>0</v>
      </c>
      <c r="BI285" t="s">
        <v>11</v>
      </c>
      <c r="BJ285" t="s">
        <v>0</v>
      </c>
      <c r="BK285" t="s">
        <v>0</v>
      </c>
      <c r="BL285" s="5">
        <v>0</v>
      </c>
      <c r="BM285" t="s">
        <v>0</v>
      </c>
      <c r="BN285" t="s">
        <v>0</v>
      </c>
      <c r="BO285" t="s">
        <v>0</v>
      </c>
      <c r="BP285" t="s">
        <v>17</v>
      </c>
      <c r="BQ285" t="s">
        <v>0</v>
      </c>
      <c r="BR285" t="s">
        <v>17</v>
      </c>
      <c r="BS285" t="s">
        <v>17</v>
      </c>
      <c r="BT285" t="s">
        <v>0</v>
      </c>
      <c r="BU285" t="s">
        <v>0</v>
      </c>
      <c r="BV285" t="s">
        <v>0</v>
      </c>
      <c r="BW285" t="s">
        <v>0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</row>
    <row r="286" spans="1:80" ht="13.95" customHeight="1" x14ac:dyDescent="0.25">
      <c r="A286" t="s">
        <v>313</v>
      </c>
      <c r="B286" s="2">
        <v>45507</v>
      </c>
      <c r="C286" s="2">
        <v>45507</v>
      </c>
      <c r="D286" s="2">
        <v>45538</v>
      </c>
      <c r="E286" t="s">
        <v>2</v>
      </c>
      <c r="F286" t="s">
        <v>3</v>
      </c>
      <c r="G286" t="s">
        <v>0</v>
      </c>
      <c r="H286" t="s">
        <v>4</v>
      </c>
      <c r="I286" t="s">
        <v>314</v>
      </c>
      <c r="J286" t="s">
        <v>6</v>
      </c>
      <c r="K286" t="s">
        <v>90</v>
      </c>
      <c r="L286" t="s">
        <v>43</v>
      </c>
      <c r="M286" t="s">
        <v>324</v>
      </c>
      <c r="N286" t="s">
        <v>10</v>
      </c>
      <c r="O286" t="s">
        <v>0</v>
      </c>
      <c r="P286" t="s">
        <v>11</v>
      </c>
      <c r="Q286" s="5">
        <v>10</v>
      </c>
      <c r="R286" s="4">
        <v>50500</v>
      </c>
      <c r="S286" s="5">
        <v>1</v>
      </c>
      <c r="T286" s="4">
        <v>505000</v>
      </c>
      <c r="U286" s="3">
        <v>3.93</v>
      </c>
      <c r="V286" s="4">
        <v>198465</v>
      </c>
      <c r="W286" s="3">
        <v>3.93</v>
      </c>
      <c r="X286" s="4">
        <v>198465</v>
      </c>
      <c r="Y286" s="4">
        <f t="shared" si="8"/>
        <v>306535</v>
      </c>
      <c r="Z286" s="6" t="s">
        <v>0</v>
      </c>
      <c r="AA286" t="s">
        <v>2</v>
      </c>
      <c r="AB286" t="s">
        <v>12</v>
      </c>
      <c r="AC286">
        <f>_xlfn.XLOOKUP(AB286,'[1]GST Codes'!$A:$A,'[1]GST Codes'!$C:$C,0,0)</f>
        <v>18</v>
      </c>
      <c r="AD286">
        <f t="shared" si="9"/>
        <v>361711.3</v>
      </c>
      <c r="AE286" t="s">
        <v>13</v>
      </c>
      <c r="AF286" t="s">
        <v>0</v>
      </c>
      <c r="AG286" t="s">
        <v>14</v>
      </c>
      <c r="AH286" t="s">
        <v>15</v>
      </c>
      <c r="AI286" t="s">
        <v>16</v>
      </c>
      <c r="AJ286" t="s">
        <v>17</v>
      </c>
      <c r="AK286" t="s">
        <v>18</v>
      </c>
      <c r="AL286" t="s">
        <v>19</v>
      </c>
      <c r="AM286" t="s">
        <v>316</v>
      </c>
      <c r="AN286" t="s">
        <v>0</v>
      </c>
      <c r="AO286" t="s">
        <v>20</v>
      </c>
      <c r="AP286" t="s">
        <v>0</v>
      </c>
      <c r="AQ286" s="5">
        <v>10</v>
      </c>
      <c r="AR286" t="s">
        <v>11</v>
      </c>
      <c r="AS286" t="s">
        <v>0</v>
      </c>
      <c r="AT286" t="s">
        <v>17</v>
      </c>
      <c r="AU286" s="4">
        <v>0</v>
      </c>
      <c r="AV286" s="4">
        <v>0</v>
      </c>
      <c r="AW286" s="4">
        <v>0</v>
      </c>
      <c r="AX286" s="4">
        <v>0</v>
      </c>
      <c r="AY286" s="5">
        <v>0</v>
      </c>
      <c r="AZ286" s="5">
        <v>0</v>
      </c>
      <c r="BA286" s="5">
        <v>0</v>
      </c>
      <c r="BB286" s="2"/>
      <c r="BC286" t="s">
        <v>0</v>
      </c>
      <c r="BD286" s="5">
        <v>1</v>
      </c>
      <c r="BE286" t="s">
        <v>0</v>
      </c>
      <c r="BF286" t="s">
        <v>325</v>
      </c>
      <c r="BG286" t="s">
        <v>17</v>
      </c>
      <c r="BH286" t="s">
        <v>0</v>
      </c>
      <c r="BI286" t="s">
        <v>11</v>
      </c>
      <c r="BJ286" t="s">
        <v>0</v>
      </c>
      <c r="BK286" t="s">
        <v>0</v>
      </c>
      <c r="BL286" s="5">
        <v>0</v>
      </c>
      <c r="BM286" t="s">
        <v>0</v>
      </c>
      <c r="BN286" t="s">
        <v>0</v>
      </c>
      <c r="BO286" t="s">
        <v>0</v>
      </c>
      <c r="BP286" t="s">
        <v>17</v>
      </c>
      <c r="BQ286" t="s">
        <v>0</v>
      </c>
      <c r="BR286" t="s">
        <v>17</v>
      </c>
      <c r="BS286" t="s">
        <v>17</v>
      </c>
      <c r="BT286" t="s">
        <v>0</v>
      </c>
      <c r="BU286" t="s">
        <v>0</v>
      </c>
      <c r="BV286" t="s">
        <v>0</v>
      </c>
      <c r="BW286" t="s">
        <v>0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</row>
    <row r="287" spans="1:80" ht="13.95" customHeight="1" x14ac:dyDescent="0.25">
      <c r="A287" t="s">
        <v>313</v>
      </c>
      <c r="B287" s="2">
        <v>45507</v>
      </c>
      <c r="C287" s="2">
        <v>45507</v>
      </c>
      <c r="D287" s="2">
        <v>45538</v>
      </c>
      <c r="E287" t="s">
        <v>2</v>
      </c>
      <c r="F287" t="s">
        <v>3</v>
      </c>
      <c r="G287" t="s">
        <v>0</v>
      </c>
      <c r="H287" t="s">
        <v>4</v>
      </c>
      <c r="I287" t="s">
        <v>314</v>
      </c>
      <c r="J287" t="s">
        <v>6</v>
      </c>
      <c r="K287" t="s">
        <v>177</v>
      </c>
      <c r="L287" t="s">
        <v>326</v>
      </c>
      <c r="M287" t="s">
        <v>332</v>
      </c>
      <c r="N287" t="s">
        <v>10</v>
      </c>
      <c r="O287" t="s">
        <v>0</v>
      </c>
      <c r="P287" t="s">
        <v>11</v>
      </c>
      <c r="Q287" s="3">
        <v>117.5</v>
      </c>
      <c r="R287" s="4">
        <v>50500</v>
      </c>
      <c r="S287" s="5">
        <v>1</v>
      </c>
      <c r="T287" s="4">
        <v>5933750</v>
      </c>
      <c r="U287" s="5">
        <v>0</v>
      </c>
      <c r="V287" s="4">
        <v>0</v>
      </c>
      <c r="W287" s="5">
        <v>0</v>
      </c>
      <c r="X287" s="4">
        <v>0</v>
      </c>
      <c r="Y287" s="4">
        <f t="shared" si="8"/>
        <v>5933750</v>
      </c>
      <c r="Z287" s="6" t="s">
        <v>0</v>
      </c>
      <c r="AA287" t="s">
        <v>2</v>
      </c>
      <c r="AB287" t="s">
        <v>12</v>
      </c>
      <c r="AC287">
        <f>_xlfn.XLOOKUP(AB287,'[1]GST Codes'!$A:$A,'[1]GST Codes'!$C:$C,0,0)</f>
        <v>18</v>
      </c>
      <c r="AD287">
        <f t="shared" si="9"/>
        <v>7001825</v>
      </c>
      <c r="AE287" t="s">
        <v>13</v>
      </c>
      <c r="AF287" t="s">
        <v>0</v>
      </c>
      <c r="AG287" t="s">
        <v>14</v>
      </c>
      <c r="AH287" t="s">
        <v>15</v>
      </c>
      <c r="AI287" t="s">
        <v>16</v>
      </c>
      <c r="AJ287" t="s">
        <v>17</v>
      </c>
      <c r="AK287" t="s">
        <v>18</v>
      </c>
      <c r="AL287" t="s">
        <v>19</v>
      </c>
      <c r="AM287" t="s">
        <v>316</v>
      </c>
      <c r="AN287" t="s">
        <v>0</v>
      </c>
      <c r="AO287" t="s">
        <v>20</v>
      </c>
      <c r="AP287" t="s">
        <v>0</v>
      </c>
      <c r="AQ287" s="3">
        <v>117.5</v>
      </c>
      <c r="AR287" t="s">
        <v>11</v>
      </c>
      <c r="AS287" t="s">
        <v>0</v>
      </c>
      <c r="AT287" t="s">
        <v>17</v>
      </c>
      <c r="AU287" s="4">
        <v>0</v>
      </c>
      <c r="AV287" s="4">
        <v>0</v>
      </c>
      <c r="AW287" s="4">
        <v>0</v>
      </c>
      <c r="AX287" s="4">
        <v>0</v>
      </c>
      <c r="AY287" s="5">
        <v>0</v>
      </c>
      <c r="AZ287" s="5">
        <v>0</v>
      </c>
      <c r="BA287" s="5">
        <v>0</v>
      </c>
      <c r="BB287" s="2"/>
      <c r="BC287" t="s">
        <v>0</v>
      </c>
      <c r="BD287" s="5">
        <v>1</v>
      </c>
      <c r="BE287" t="s">
        <v>0</v>
      </c>
      <c r="BF287" t="s">
        <v>328</v>
      </c>
      <c r="BG287" t="s">
        <v>17</v>
      </c>
      <c r="BH287" t="s">
        <v>0</v>
      </c>
      <c r="BI287" t="s">
        <v>11</v>
      </c>
      <c r="BJ287" t="s">
        <v>0</v>
      </c>
      <c r="BK287" t="s">
        <v>0</v>
      </c>
      <c r="BL287" s="5">
        <v>0</v>
      </c>
      <c r="BM287" t="s">
        <v>0</v>
      </c>
      <c r="BN287" t="s">
        <v>0</v>
      </c>
      <c r="BO287" t="s">
        <v>0</v>
      </c>
      <c r="BP287" t="s">
        <v>17</v>
      </c>
      <c r="BQ287" t="s">
        <v>0</v>
      </c>
      <c r="BR287" t="s">
        <v>17</v>
      </c>
      <c r="BS287" t="s">
        <v>17</v>
      </c>
      <c r="BT287" t="s">
        <v>0</v>
      </c>
      <c r="BU287" t="s">
        <v>0</v>
      </c>
      <c r="BV287" t="s">
        <v>0</v>
      </c>
      <c r="BW287" t="s">
        <v>0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</row>
    <row r="288" spans="1:80" ht="13.95" customHeight="1" x14ac:dyDescent="0.25">
      <c r="A288" t="s">
        <v>313</v>
      </c>
      <c r="B288" s="2">
        <v>45507</v>
      </c>
      <c r="C288" s="2">
        <v>45507</v>
      </c>
      <c r="D288" s="2">
        <v>45538</v>
      </c>
      <c r="E288" t="s">
        <v>2</v>
      </c>
      <c r="F288" t="s">
        <v>3</v>
      </c>
      <c r="G288" t="s">
        <v>0</v>
      </c>
      <c r="H288" t="s">
        <v>4</v>
      </c>
      <c r="I288" t="s">
        <v>314</v>
      </c>
      <c r="J288" t="s">
        <v>6</v>
      </c>
      <c r="K288" t="s">
        <v>181</v>
      </c>
      <c r="L288" t="s">
        <v>329</v>
      </c>
      <c r="M288" t="s">
        <v>330</v>
      </c>
      <c r="N288" t="s">
        <v>10</v>
      </c>
      <c r="O288" t="s">
        <v>0</v>
      </c>
      <c r="P288" t="s">
        <v>11</v>
      </c>
      <c r="Q288" s="3">
        <v>588.5</v>
      </c>
      <c r="R288" s="4">
        <v>50500</v>
      </c>
      <c r="S288" s="5">
        <v>1</v>
      </c>
      <c r="T288" s="4">
        <v>29719250</v>
      </c>
      <c r="U288" s="5">
        <v>0</v>
      </c>
      <c r="V288" s="4">
        <v>0</v>
      </c>
      <c r="W288" s="5">
        <v>0</v>
      </c>
      <c r="X288" s="4">
        <v>0</v>
      </c>
      <c r="Y288" s="4">
        <f t="shared" si="8"/>
        <v>29719250</v>
      </c>
      <c r="Z288" s="6" t="s">
        <v>0</v>
      </c>
      <c r="AA288" t="s">
        <v>2</v>
      </c>
      <c r="AB288" t="s">
        <v>12</v>
      </c>
      <c r="AC288">
        <f>_xlfn.XLOOKUP(AB288,'[1]GST Codes'!$A:$A,'[1]GST Codes'!$C:$C,0,0)</f>
        <v>18</v>
      </c>
      <c r="AD288">
        <f t="shared" si="9"/>
        <v>35068715</v>
      </c>
      <c r="AE288" t="s">
        <v>13</v>
      </c>
      <c r="AF288" t="s">
        <v>0</v>
      </c>
      <c r="AG288" t="s">
        <v>14</v>
      </c>
      <c r="AH288" t="s">
        <v>15</v>
      </c>
      <c r="AI288" t="s">
        <v>16</v>
      </c>
      <c r="AJ288" t="s">
        <v>17</v>
      </c>
      <c r="AK288" t="s">
        <v>18</v>
      </c>
      <c r="AL288" t="s">
        <v>19</v>
      </c>
      <c r="AM288" t="s">
        <v>316</v>
      </c>
      <c r="AN288" t="s">
        <v>0</v>
      </c>
      <c r="AO288" t="s">
        <v>20</v>
      </c>
      <c r="AP288" t="s">
        <v>0</v>
      </c>
      <c r="AQ288" s="3">
        <v>588.5</v>
      </c>
      <c r="AR288" t="s">
        <v>11</v>
      </c>
      <c r="AS288" t="s">
        <v>0</v>
      </c>
      <c r="AT288" t="s">
        <v>17</v>
      </c>
      <c r="AU288" s="4">
        <v>0</v>
      </c>
      <c r="AV288" s="4">
        <v>0</v>
      </c>
      <c r="AW288" s="4">
        <v>0</v>
      </c>
      <c r="AX288" s="4">
        <v>0</v>
      </c>
      <c r="AY288" s="5">
        <v>0</v>
      </c>
      <c r="AZ288" s="5">
        <v>0</v>
      </c>
      <c r="BA288" s="5">
        <v>0</v>
      </c>
      <c r="BB288" s="2"/>
      <c r="BC288" t="s">
        <v>0</v>
      </c>
      <c r="BD288" s="5">
        <v>1</v>
      </c>
      <c r="BE288" t="s">
        <v>0</v>
      </c>
      <c r="BF288" t="s">
        <v>331</v>
      </c>
      <c r="BG288" t="s">
        <v>17</v>
      </c>
      <c r="BH288" t="s">
        <v>0</v>
      </c>
      <c r="BI288" t="s">
        <v>11</v>
      </c>
      <c r="BJ288" t="s">
        <v>0</v>
      </c>
      <c r="BK288" t="s">
        <v>0</v>
      </c>
      <c r="BL288" s="5">
        <v>0</v>
      </c>
      <c r="BM288" t="s">
        <v>0</v>
      </c>
      <c r="BN288" t="s">
        <v>0</v>
      </c>
      <c r="BO288" t="s">
        <v>0</v>
      </c>
      <c r="BP288" t="s">
        <v>17</v>
      </c>
      <c r="BQ288" t="s">
        <v>0</v>
      </c>
      <c r="BR288" t="s">
        <v>17</v>
      </c>
      <c r="BS288" t="s">
        <v>17</v>
      </c>
      <c r="BT288" t="s">
        <v>0</v>
      </c>
      <c r="BU288" t="s">
        <v>0</v>
      </c>
      <c r="BV288" t="s">
        <v>0</v>
      </c>
      <c r="BW288" t="s">
        <v>0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</row>
    <row r="289" spans="1:80" ht="13.95" customHeight="1" x14ac:dyDescent="0.25">
      <c r="A289" t="s">
        <v>333</v>
      </c>
      <c r="B289" s="2">
        <v>45558</v>
      </c>
      <c r="C289" s="2">
        <v>45558</v>
      </c>
      <c r="D289" s="2">
        <v>45587</v>
      </c>
      <c r="E289" t="s">
        <v>2</v>
      </c>
      <c r="F289" t="s">
        <v>82</v>
      </c>
      <c r="G289" t="s">
        <v>0</v>
      </c>
      <c r="H289" t="s">
        <v>4</v>
      </c>
      <c r="I289" t="s">
        <v>314</v>
      </c>
      <c r="J289" t="s">
        <v>6</v>
      </c>
      <c r="K289" t="s">
        <v>7</v>
      </c>
      <c r="L289" t="s">
        <v>70</v>
      </c>
      <c r="M289" t="s">
        <v>315</v>
      </c>
      <c r="N289" t="s">
        <v>10</v>
      </c>
      <c r="O289" t="s">
        <v>0</v>
      </c>
      <c r="P289" t="s">
        <v>11</v>
      </c>
      <c r="Q289" s="3">
        <v>7.5</v>
      </c>
      <c r="R289" s="4">
        <v>50250</v>
      </c>
      <c r="S289" s="5">
        <v>1</v>
      </c>
      <c r="T289" s="4">
        <v>376875</v>
      </c>
      <c r="U289" s="5">
        <v>0</v>
      </c>
      <c r="V289" s="4">
        <v>0</v>
      </c>
      <c r="W289" s="5">
        <v>0</v>
      </c>
      <c r="X289" s="4">
        <v>0</v>
      </c>
      <c r="Y289" s="4">
        <f t="shared" si="8"/>
        <v>376875</v>
      </c>
      <c r="Z289" s="6" t="s">
        <v>0</v>
      </c>
      <c r="AA289" t="s">
        <v>2</v>
      </c>
      <c r="AB289" t="s">
        <v>12</v>
      </c>
      <c r="AC289">
        <f>_xlfn.XLOOKUP(AB289,'[1]GST Codes'!$A:$A,'[1]GST Codes'!$C:$C,0,0)</f>
        <v>18</v>
      </c>
      <c r="AD289">
        <f t="shared" si="9"/>
        <v>444712.5</v>
      </c>
      <c r="AE289" t="s">
        <v>13</v>
      </c>
      <c r="AF289" t="s">
        <v>0</v>
      </c>
      <c r="AG289" t="s">
        <v>14</v>
      </c>
      <c r="AH289" t="s">
        <v>15</v>
      </c>
      <c r="AI289" t="s">
        <v>16</v>
      </c>
      <c r="AJ289" t="s">
        <v>17</v>
      </c>
      <c r="AK289" t="s">
        <v>18</v>
      </c>
      <c r="AL289" t="s">
        <v>19</v>
      </c>
      <c r="AM289" t="s">
        <v>316</v>
      </c>
      <c r="AN289" t="s">
        <v>0</v>
      </c>
      <c r="AO289" t="s">
        <v>20</v>
      </c>
      <c r="AP289" t="s">
        <v>0</v>
      </c>
      <c r="AQ289" s="3">
        <v>7.5</v>
      </c>
      <c r="AR289" t="s">
        <v>11</v>
      </c>
      <c r="AS289" t="s">
        <v>0</v>
      </c>
      <c r="AT289" t="s">
        <v>17</v>
      </c>
      <c r="AU289" s="4">
        <v>0</v>
      </c>
      <c r="AV289" s="4">
        <v>0</v>
      </c>
      <c r="AW289" s="4">
        <v>0</v>
      </c>
      <c r="AX289" s="4">
        <v>0</v>
      </c>
      <c r="AY289" s="5">
        <v>0</v>
      </c>
      <c r="AZ289" s="5">
        <v>0</v>
      </c>
      <c r="BA289" s="5">
        <v>0</v>
      </c>
      <c r="BB289" s="2"/>
      <c r="BC289" t="s">
        <v>0</v>
      </c>
      <c r="BD289" s="5">
        <v>1</v>
      </c>
      <c r="BE289" t="s">
        <v>0</v>
      </c>
      <c r="BF289" t="s">
        <v>317</v>
      </c>
      <c r="BG289" t="s">
        <v>17</v>
      </c>
      <c r="BH289" t="s">
        <v>0</v>
      </c>
      <c r="BI289" t="s">
        <v>11</v>
      </c>
      <c r="BJ289" t="s">
        <v>0</v>
      </c>
      <c r="BK289" t="s">
        <v>0</v>
      </c>
      <c r="BL289" s="5">
        <v>0</v>
      </c>
      <c r="BM289" t="s">
        <v>0</v>
      </c>
      <c r="BN289" t="s">
        <v>0</v>
      </c>
      <c r="BO289" t="s">
        <v>0</v>
      </c>
      <c r="BP289" t="s">
        <v>17</v>
      </c>
      <c r="BQ289" t="s">
        <v>0</v>
      </c>
      <c r="BR289" t="s">
        <v>17</v>
      </c>
      <c r="BS289" t="s">
        <v>17</v>
      </c>
      <c r="BT289" t="s">
        <v>0</v>
      </c>
      <c r="BU289" t="s">
        <v>0</v>
      </c>
      <c r="BV289" t="s">
        <v>0</v>
      </c>
      <c r="BW289" t="s">
        <v>0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</row>
    <row r="290" spans="1:80" ht="13.95" customHeight="1" x14ac:dyDescent="0.25">
      <c r="A290" t="s">
        <v>333</v>
      </c>
      <c r="B290" s="2">
        <v>45558</v>
      </c>
      <c r="C290" s="2">
        <v>45558</v>
      </c>
      <c r="D290" s="2">
        <v>45587</v>
      </c>
      <c r="E290" t="s">
        <v>2</v>
      </c>
      <c r="F290" t="s">
        <v>82</v>
      </c>
      <c r="G290" t="s">
        <v>0</v>
      </c>
      <c r="H290" t="s">
        <v>4</v>
      </c>
      <c r="I290" t="s">
        <v>314</v>
      </c>
      <c r="J290" t="s">
        <v>6</v>
      </c>
      <c r="K290" t="s">
        <v>22</v>
      </c>
      <c r="L290" t="s">
        <v>70</v>
      </c>
      <c r="M290" t="s">
        <v>315</v>
      </c>
      <c r="N290" t="s">
        <v>10</v>
      </c>
      <c r="O290" t="s">
        <v>0</v>
      </c>
      <c r="P290" t="s">
        <v>11</v>
      </c>
      <c r="Q290" s="3">
        <v>7.5</v>
      </c>
      <c r="R290" s="4">
        <v>50250</v>
      </c>
      <c r="S290" s="5">
        <v>1</v>
      </c>
      <c r="T290" s="4">
        <v>376875</v>
      </c>
      <c r="U290" s="5">
        <v>0</v>
      </c>
      <c r="V290" s="4">
        <v>0</v>
      </c>
      <c r="W290" s="5">
        <v>0</v>
      </c>
      <c r="X290" s="4">
        <v>0</v>
      </c>
      <c r="Y290" s="4">
        <f t="shared" si="8"/>
        <v>376875</v>
      </c>
      <c r="Z290" s="6" t="s">
        <v>0</v>
      </c>
      <c r="AA290" t="s">
        <v>2</v>
      </c>
      <c r="AB290" t="s">
        <v>12</v>
      </c>
      <c r="AC290">
        <f>_xlfn.XLOOKUP(AB290,'[1]GST Codes'!$A:$A,'[1]GST Codes'!$C:$C,0,0)</f>
        <v>18</v>
      </c>
      <c r="AD290">
        <f t="shared" si="9"/>
        <v>444712.5</v>
      </c>
      <c r="AE290" t="s">
        <v>13</v>
      </c>
      <c r="AF290" t="s">
        <v>0</v>
      </c>
      <c r="AG290" t="s">
        <v>14</v>
      </c>
      <c r="AH290" t="s">
        <v>15</v>
      </c>
      <c r="AI290" t="s">
        <v>16</v>
      </c>
      <c r="AJ290" t="s">
        <v>17</v>
      </c>
      <c r="AK290" t="s">
        <v>18</v>
      </c>
      <c r="AL290" t="s">
        <v>19</v>
      </c>
      <c r="AM290" t="s">
        <v>316</v>
      </c>
      <c r="AN290" t="s">
        <v>0</v>
      </c>
      <c r="AO290" t="s">
        <v>20</v>
      </c>
      <c r="AP290" t="s">
        <v>0</v>
      </c>
      <c r="AQ290" s="3">
        <v>7.5</v>
      </c>
      <c r="AR290" t="s">
        <v>11</v>
      </c>
      <c r="AS290" t="s">
        <v>0</v>
      </c>
      <c r="AT290" t="s">
        <v>17</v>
      </c>
      <c r="AU290" s="4">
        <v>0</v>
      </c>
      <c r="AV290" s="4">
        <v>0</v>
      </c>
      <c r="AW290" s="4">
        <v>0</v>
      </c>
      <c r="AX290" s="4">
        <v>0</v>
      </c>
      <c r="AY290" s="5">
        <v>0</v>
      </c>
      <c r="AZ290" s="5">
        <v>0</v>
      </c>
      <c r="BA290" s="5">
        <v>0</v>
      </c>
      <c r="BB290" s="2"/>
      <c r="BC290" t="s">
        <v>0</v>
      </c>
      <c r="BD290" s="5">
        <v>1</v>
      </c>
      <c r="BE290" t="s">
        <v>0</v>
      </c>
      <c r="BF290" t="s">
        <v>317</v>
      </c>
      <c r="BG290" t="s">
        <v>17</v>
      </c>
      <c r="BH290" t="s">
        <v>0</v>
      </c>
      <c r="BI290" t="s">
        <v>11</v>
      </c>
      <c r="BJ290" t="s">
        <v>0</v>
      </c>
      <c r="BK290" t="s">
        <v>0</v>
      </c>
      <c r="BL290" s="5">
        <v>0</v>
      </c>
      <c r="BM290" t="s">
        <v>0</v>
      </c>
      <c r="BN290" t="s">
        <v>0</v>
      </c>
      <c r="BO290" t="s">
        <v>0</v>
      </c>
      <c r="BP290" t="s">
        <v>17</v>
      </c>
      <c r="BQ290" t="s">
        <v>0</v>
      </c>
      <c r="BR290" t="s">
        <v>17</v>
      </c>
      <c r="BS290" t="s">
        <v>17</v>
      </c>
      <c r="BT290" t="s">
        <v>0</v>
      </c>
      <c r="BU290" t="s">
        <v>0</v>
      </c>
      <c r="BV290" t="s">
        <v>0</v>
      </c>
      <c r="BW290" t="s">
        <v>0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</row>
    <row r="291" spans="1:80" ht="13.95" customHeight="1" x14ac:dyDescent="0.25">
      <c r="A291" t="s">
        <v>333</v>
      </c>
      <c r="B291" s="2">
        <v>45558</v>
      </c>
      <c r="C291" s="2">
        <v>45558</v>
      </c>
      <c r="D291" s="2">
        <v>45587</v>
      </c>
      <c r="E291" t="s">
        <v>2</v>
      </c>
      <c r="F291" t="s">
        <v>82</v>
      </c>
      <c r="G291" t="s">
        <v>0</v>
      </c>
      <c r="H291" t="s">
        <v>4</v>
      </c>
      <c r="I291" t="s">
        <v>314</v>
      </c>
      <c r="J291" t="s">
        <v>6</v>
      </c>
      <c r="K291" t="s">
        <v>26</v>
      </c>
      <c r="L291" t="s">
        <v>35</v>
      </c>
      <c r="M291" t="s">
        <v>318</v>
      </c>
      <c r="N291" t="s">
        <v>10</v>
      </c>
      <c r="O291" t="s">
        <v>0</v>
      </c>
      <c r="P291" t="s">
        <v>11</v>
      </c>
      <c r="Q291" s="3">
        <v>7.5</v>
      </c>
      <c r="R291" s="4">
        <v>49000</v>
      </c>
      <c r="S291" s="5">
        <v>1</v>
      </c>
      <c r="T291" s="4">
        <v>367500</v>
      </c>
      <c r="U291" s="5">
        <v>0</v>
      </c>
      <c r="V291" s="4">
        <v>0</v>
      </c>
      <c r="W291" s="5">
        <v>0</v>
      </c>
      <c r="X291" s="4">
        <v>0</v>
      </c>
      <c r="Y291" s="4">
        <f t="shared" si="8"/>
        <v>367500</v>
      </c>
      <c r="Z291" s="6" t="s">
        <v>0</v>
      </c>
      <c r="AA291" t="s">
        <v>2</v>
      </c>
      <c r="AB291" t="s">
        <v>12</v>
      </c>
      <c r="AC291">
        <f>_xlfn.XLOOKUP(AB291,'[1]GST Codes'!$A:$A,'[1]GST Codes'!$C:$C,0,0)</f>
        <v>18</v>
      </c>
      <c r="AD291">
        <f t="shared" si="9"/>
        <v>433650</v>
      </c>
      <c r="AE291" t="s">
        <v>13</v>
      </c>
      <c r="AF291" t="s">
        <v>0</v>
      </c>
      <c r="AG291" t="s">
        <v>14</v>
      </c>
      <c r="AH291" t="s">
        <v>15</v>
      </c>
      <c r="AI291" t="s">
        <v>16</v>
      </c>
      <c r="AJ291" t="s">
        <v>17</v>
      </c>
      <c r="AK291" t="s">
        <v>18</v>
      </c>
      <c r="AL291" t="s">
        <v>19</v>
      </c>
      <c r="AM291" t="s">
        <v>316</v>
      </c>
      <c r="AN291" t="s">
        <v>0</v>
      </c>
      <c r="AO291" t="s">
        <v>20</v>
      </c>
      <c r="AP291" t="s">
        <v>0</v>
      </c>
      <c r="AQ291" s="3">
        <v>7.5</v>
      </c>
      <c r="AR291" t="s">
        <v>11</v>
      </c>
      <c r="AS291" t="s">
        <v>0</v>
      </c>
      <c r="AT291" t="s">
        <v>17</v>
      </c>
      <c r="AU291" s="4">
        <v>0</v>
      </c>
      <c r="AV291" s="4">
        <v>0</v>
      </c>
      <c r="AW291" s="4">
        <v>0</v>
      </c>
      <c r="AX291" s="4">
        <v>0</v>
      </c>
      <c r="AY291" s="5">
        <v>0</v>
      </c>
      <c r="AZ291" s="5">
        <v>0</v>
      </c>
      <c r="BA291" s="5">
        <v>0</v>
      </c>
      <c r="BB291" s="2"/>
      <c r="BC291" t="s">
        <v>0</v>
      </c>
      <c r="BD291" s="5">
        <v>1</v>
      </c>
      <c r="BE291" t="s">
        <v>0</v>
      </c>
      <c r="BF291" t="s">
        <v>319</v>
      </c>
      <c r="BG291" t="s">
        <v>17</v>
      </c>
      <c r="BH291" t="s">
        <v>0</v>
      </c>
      <c r="BI291" t="s">
        <v>11</v>
      </c>
      <c r="BJ291" t="s">
        <v>0</v>
      </c>
      <c r="BK291" t="s">
        <v>0</v>
      </c>
      <c r="BL291" s="5">
        <v>0</v>
      </c>
      <c r="BM291" t="s">
        <v>0</v>
      </c>
      <c r="BN291" t="s">
        <v>0</v>
      </c>
      <c r="BO291" t="s">
        <v>0</v>
      </c>
      <c r="BP291" t="s">
        <v>17</v>
      </c>
      <c r="BQ291" t="s">
        <v>0</v>
      </c>
      <c r="BR291" t="s">
        <v>17</v>
      </c>
      <c r="BS291" t="s">
        <v>17</v>
      </c>
      <c r="BT291" t="s">
        <v>0</v>
      </c>
      <c r="BU291" t="s">
        <v>0</v>
      </c>
      <c r="BV291" t="s">
        <v>0</v>
      </c>
      <c r="BW291" t="s">
        <v>0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</row>
    <row r="292" spans="1:80" ht="13.95" customHeight="1" x14ac:dyDescent="0.25">
      <c r="A292" t="s">
        <v>333</v>
      </c>
      <c r="B292" s="2">
        <v>45558</v>
      </c>
      <c r="C292" s="2">
        <v>45558</v>
      </c>
      <c r="D292" s="2">
        <v>45587</v>
      </c>
      <c r="E292" t="s">
        <v>2</v>
      </c>
      <c r="F292" t="s">
        <v>82</v>
      </c>
      <c r="G292" t="s">
        <v>0</v>
      </c>
      <c r="H292" t="s">
        <v>4</v>
      </c>
      <c r="I292" t="s">
        <v>314</v>
      </c>
      <c r="J292" t="s">
        <v>6</v>
      </c>
      <c r="K292" t="s">
        <v>30</v>
      </c>
      <c r="L292" t="s">
        <v>35</v>
      </c>
      <c r="M292" t="s">
        <v>318</v>
      </c>
      <c r="N292" t="s">
        <v>10</v>
      </c>
      <c r="O292" t="s">
        <v>0</v>
      </c>
      <c r="P292" t="s">
        <v>11</v>
      </c>
      <c r="Q292" s="3">
        <v>7.5</v>
      </c>
      <c r="R292" s="4">
        <v>49000</v>
      </c>
      <c r="S292" s="5">
        <v>1</v>
      </c>
      <c r="T292" s="4">
        <v>367500</v>
      </c>
      <c r="U292" s="5">
        <v>0</v>
      </c>
      <c r="V292" s="4">
        <v>0</v>
      </c>
      <c r="W292" s="5">
        <v>0</v>
      </c>
      <c r="X292" s="4">
        <v>0</v>
      </c>
      <c r="Y292" s="4">
        <f t="shared" si="8"/>
        <v>367500</v>
      </c>
      <c r="Z292" s="6" t="s">
        <v>0</v>
      </c>
      <c r="AA292" t="s">
        <v>2</v>
      </c>
      <c r="AB292" t="s">
        <v>12</v>
      </c>
      <c r="AC292">
        <f>_xlfn.XLOOKUP(AB292,'[1]GST Codes'!$A:$A,'[1]GST Codes'!$C:$C,0,0)</f>
        <v>18</v>
      </c>
      <c r="AD292">
        <f t="shared" si="9"/>
        <v>433650</v>
      </c>
      <c r="AE292" t="s">
        <v>13</v>
      </c>
      <c r="AF292" t="s">
        <v>0</v>
      </c>
      <c r="AG292" t="s">
        <v>14</v>
      </c>
      <c r="AH292" t="s">
        <v>15</v>
      </c>
      <c r="AI292" t="s">
        <v>16</v>
      </c>
      <c r="AJ292" t="s">
        <v>17</v>
      </c>
      <c r="AK292" t="s">
        <v>18</v>
      </c>
      <c r="AL292" t="s">
        <v>19</v>
      </c>
      <c r="AM292" t="s">
        <v>316</v>
      </c>
      <c r="AN292" t="s">
        <v>0</v>
      </c>
      <c r="AO292" t="s">
        <v>20</v>
      </c>
      <c r="AP292" t="s">
        <v>0</v>
      </c>
      <c r="AQ292" s="3">
        <v>7.5</v>
      </c>
      <c r="AR292" t="s">
        <v>11</v>
      </c>
      <c r="AS292" t="s">
        <v>0</v>
      </c>
      <c r="AT292" t="s">
        <v>17</v>
      </c>
      <c r="AU292" s="4">
        <v>0</v>
      </c>
      <c r="AV292" s="4">
        <v>0</v>
      </c>
      <c r="AW292" s="4">
        <v>0</v>
      </c>
      <c r="AX292" s="4">
        <v>0</v>
      </c>
      <c r="AY292" s="5">
        <v>0</v>
      </c>
      <c r="AZ292" s="5">
        <v>0</v>
      </c>
      <c r="BA292" s="5">
        <v>0</v>
      </c>
      <c r="BB292" s="2"/>
      <c r="BC292" t="s">
        <v>0</v>
      </c>
      <c r="BD292" s="5">
        <v>1</v>
      </c>
      <c r="BE292" t="s">
        <v>0</v>
      </c>
      <c r="BF292" t="s">
        <v>319</v>
      </c>
      <c r="BG292" t="s">
        <v>17</v>
      </c>
      <c r="BH292" t="s">
        <v>0</v>
      </c>
      <c r="BI292" t="s">
        <v>11</v>
      </c>
      <c r="BJ292" t="s">
        <v>0</v>
      </c>
      <c r="BK292" t="s">
        <v>0</v>
      </c>
      <c r="BL292" s="5">
        <v>0</v>
      </c>
      <c r="BM292" t="s">
        <v>0</v>
      </c>
      <c r="BN292" t="s">
        <v>0</v>
      </c>
      <c r="BO292" t="s">
        <v>0</v>
      </c>
      <c r="BP292" t="s">
        <v>17</v>
      </c>
      <c r="BQ292" t="s">
        <v>0</v>
      </c>
      <c r="BR292" t="s">
        <v>17</v>
      </c>
      <c r="BS292" t="s">
        <v>17</v>
      </c>
      <c r="BT292" t="s">
        <v>0</v>
      </c>
      <c r="BU292" t="s">
        <v>0</v>
      </c>
      <c r="BV292" t="s">
        <v>0</v>
      </c>
      <c r="BW292" t="s">
        <v>0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</row>
    <row r="293" spans="1:80" ht="13.95" customHeight="1" x14ac:dyDescent="0.25">
      <c r="A293" t="s">
        <v>333</v>
      </c>
      <c r="B293" s="2">
        <v>45558</v>
      </c>
      <c r="C293" s="2">
        <v>45558</v>
      </c>
      <c r="D293" s="2">
        <v>45587</v>
      </c>
      <c r="E293" t="s">
        <v>2</v>
      </c>
      <c r="F293" t="s">
        <v>82</v>
      </c>
      <c r="G293" t="s">
        <v>0</v>
      </c>
      <c r="H293" t="s">
        <v>4</v>
      </c>
      <c r="I293" t="s">
        <v>314</v>
      </c>
      <c r="J293" t="s">
        <v>6</v>
      </c>
      <c r="K293" t="s">
        <v>34</v>
      </c>
      <c r="L293" t="s">
        <v>74</v>
      </c>
      <c r="M293" t="s">
        <v>320</v>
      </c>
      <c r="N293" t="s">
        <v>10</v>
      </c>
      <c r="O293" t="s">
        <v>0</v>
      </c>
      <c r="P293" t="s">
        <v>11</v>
      </c>
      <c r="Q293" s="3">
        <v>15.5</v>
      </c>
      <c r="R293" s="4">
        <v>48250</v>
      </c>
      <c r="S293" s="5">
        <v>1</v>
      </c>
      <c r="T293" s="4">
        <v>747875</v>
      </c>
      <c r="U293" s="5">
        <v>0</v>
      </c>
      <c r="V293" s="4">
        <v>0</v>
      </c>
      <c r="W293" s="5">
        <v>0</v>
      </c>
      <c r="X293" s="4">
        <v>0</v>
      </c>
      <c r="Y293" s="4">
        <f t="shared" si="8"/>
        <v>747875</v>
      </c>
      <c r="Z293" s="6" t="s">
        <v>0</v>
      </c>
      <c r="AA293" t="s">
        <v>2</v>
      </c>
      <c r="AB293" t="s">
        <v>12</v>
      </c>
      <c r="AC293">
        <f>_xlfn.XLOOKUP(AB293,'[1]GST Codes'!$A:$A,'[1]GST Codes'!$C:$C,0,0)</f>
        <v>18</v>
      </c>
      <c r="AD293">
        <f t="shared" si="9"/>
        <v>882492.5</v>
      </c>
      <c r="AE293" t="s">
        <v>13</v>
      </c>
      <c r="AF293" t="s">
        <v>0</v>
      </c>
      <c r="AG293" t="s">
        <v>14</v>
      </c>
      <c r="AH293" t="s">
        <v>15</v>
      </c>
      <c r="AI293" t="s">
        <v>16</v>
      </c>
      <c r="AJ293" t="s">
        <v>17</v>
      </c>
      <c r="AK293" t="s">
        <v>18</v>
      </c>
      <c r="AL293" t="s">
        <v>19</v>
      </c>
      <c r="AM293" t="s">
        <v>316</v>
      </c>
      <c r="AN293" t="s">
        <v>0</v>
      </c>
      <c r="AO293" t="s">
        <v>20</v>
      </c>
      <c r="AP293" t="s">
        <v>0</v>
      </c>
      <c r="AQ293" s="3">
        <v>15.5</v>
      </c>
      <c r="AR293" t="s">
        <v>11</v>
      </c>
      <c r="AS293" t="s">
        <v>0</v>
      </c>
      <c r="AT293" t="s">
        <v>17</v>
      </c>
      <c r="AU293" s="4">
        <v>0</v>
      </c>
      <c r="AV293" s="4">
        <v>0</v>
      </c>
      <c r="AW293" s="4">
        <v>0</v>
      </c>
      <c r="AX293" s="4">
        <v>0</v>
      </c>
      <c r="AY293" s="5">
        <v>0</v>
      </c>
      <c r="AZ293" s="5">
        <v>0</v>
      </c>
      <c r="BA293" s="5">
        <v>0</v>
      </c>
      <c r="BB293" s="2"/>
      <c r="BC293" t="s">
        <v>0</v>
      </c>
      <c r="BD293" s="5">
        <v>1</v>
      </c>
      <c r="BE293" t="s">
        <v>0</v>
      </c>
      <c r="BF293" t="s">
        <v>321</v>
      </c>
      <c r="BG293" t="s">
        <v>17</v>
      </c>
      <c r="BH293" t="s">
        <v>0</v>
      </c>
      <c r="BI293" t="s">
        <v>11</v>
      </c>
      <c r="BJ293" t="s">
        <v>0</v>
      </c>
      <c r="BK293" t="s">
        <v>0</v>
      </c>
      <c r="BL293" s="5">
        <v>0</v>
      </c>
      <c r="BM293" t="s">
        <v>0</v>
      </c>
      <c r="BN293" t="s">
        <v>0</v>
      </c>
      <c r="BO293" t="s">
        <v>0</v>
      </c>
      <c r="BP293" t="s">
        <v>17</v>
      </c>
      <c r="BQ293" t="s">
        <v>0</v>
      </c>
      <c r="BR293" t="s">
        <v>17</v>
      </c>
      <c r="BS293" t="s">
        <v>17</v>
      </c>
      <c r="BT293" t="s">
        <v>0</v>
      </c>
      <c r="BU293" t="s">
        <v>0</v>
      </c>
      <c r="BV293" t="s">
        <v>0</v>
      </c>
      <c r="BW293" t="s">
        <v>0</v>
      </c>
      <c r="BX293" t="s">
        <v>0</v>
      </c>
      <c r="BY293" t="s">
        <v>0</v>
      </c>
      <c r="BZ293" t="s">
        <v>0</v>
      </c>
      <c r="CA293" t="s">
        <v>0</v>
      </c>
      <c r="CB293" t="s">
        <v>0</v>
      </c>
    </row>
    <row r="294" spans="1:80" ht="13.95" customHeight="1" x14ac:dyDescent="0.25">
      <c r="A294" t="s">
        <v>333</v>
      </c>
      <c r="B294" s="2">
        <v>45558</v>
      </c>
      <c r="C294" s="2">
        <v>45558</v>
      </c>
      <c r="D294" s="2">
        <v>45587</v>
      </c>
      <c r="E294" t="s">
        <v>2</v>
      </c>
      <c r="F294" t="s">
        <v>82</v>
      </c>
      <c r="G294" t="s">
        <v>0</v>
      </c>
      <c r="H294" t="s">
        <v>4</v>
      </c>
      <c r="I294" t="s">
        <v>314</v>
      </c>
      <c r="J294" t="s">
        <v>6</v>
      </c>
      <c r="K294" t="s">
        <v>38</v>
      </c>
      <c r="L294" t="s">
        <v>74</v>
      </c>
      <c r="M294" t="s">
        <v>320</v>
      </c>
      <c r="N294" t="s">
        <v>10</v>
      </c>
      <c r="O294" t="s">
        <v>0</v>
      </c>
      <c r="P294" t="s">
        <v>11</v>
      </c>
      <c r="Q294" s="3">
        <v>15.5</v>
      </c>
      <c r="R294" s="4">
        <v>48250</v>
      </c>
      <c r="S294" s="5">
        <v>1</v>
      </c>
      <c r="T294" s="4">
        <v>747875</v>
      </c>
      <c r="U294" s="3">
        <v>2.96</v>
      </c>
      <c r="V294" s="4">
        <v>142820</v>
      </c>
      <c r="W294" s="3">
        <v>2.96</v>
      </c>
      <c r="X294" s="4">
        <v>142820</v>
      </c>
      <c r="Y294" s="4">
        <f t="shared" si="8"/>
        <v>605055</v>
      </c>
      <c r="Z294" s="6" t="s">
        <v>0</v>
      </c>
      <c r="AA294" t="s">
        <v>2</v>
      </c>
      <c r="AB294" t="s">
        <v>12</v>
      </c>
      <c r="AC294">
        <f>_xlfn.XLOOKUP(AB294,'[1]GST Codes'!$A:$A,'[1]GST Codes'!$C:$C,0,0)</f>
        <v>18</v>
      </c>
      <c r="AD294">
        <f t="shared" si="9"/>
        <v>713964.9</v>
      </c>
      <c r="AE294" t="s">
        <v>13</v>
      </c>
      <c r="AF294" t="s">
        <v>0</v>
      </c>
      <c r="AG294" t="s">
        <v>14</v>
      </c>
      <c r="AH294" t="s">
        <v>15</v>
      </c>
      <c r="AI294" t="s">
        <v>16</v>
      </c>
      <c r="AJ294" t="s">
        <v>17</v>
      </c>
      <c r="AK294" t="s">
        <v>18</v>
      </c>
      <c r="AL294" t="s">
        <v>19</v>
      </c>
      <c r="AM294" t="s">
        <v>316</v>
      </c>
      <c r="AN294" t="s">
        <v>0</v>
      </c>
      <c r="AO294" t="s">
        <v>20</v>
      </c>
      <c r="AP294" t="s">
        <v>0</v>
      </c>
      <c r="AQ294" s="3">
        <v>15.5</v>
      </c>
      <c r="AR294" t="s">
        <v>11</v>
      </c>
      <c r="AS294" t="s">
        <v>0</v>
      </c>
      <c r="AT294" t="s">
        <v>17</v>
      </c>
      <c r="AU294" s="4">
        <v>0</v>
      </c>
      <c r="AV294" s="4">
        <v>0</v>
      </c>
      <c r="AW294" s="4">
        <v>0</v>
      </c>
      <c r="AX294" s="4">
        <v>0</v>
      </c>
      <c r="AY294" s="5">
        <v>0</v>
      </c>
      <c r="AZ294" s="5">
        <v>0</v>
      </c>
      <c r="BA294" s="5">
        <v>0</v>
      </c>
      <c r="BB294" s="2"/>
      <c r="BC294" t="s">
        <v>0</v>
      </c>
      <c r="BD294" s="5">
        <v>1</v>
      </c>
      <c r="BE294" t="s">
        <v>0</v>
      </c>
      <c r="BF294" t="s">
        <v>321</v>
      </c>
      <c r="BG294" t="s">
        <v>17</v>
      </c>
      <c r="BH294" t="s">
        <v>0</v>
      </c>
      <c r="BI294" t="s">
        <v>11</v>
      </c>
      <c r="BJ294" t="s">
        <v>0</v>
      </c>
      <c r="BK294" t="s">
        <v>0</v>
      </c>
      <c r="BL294" s="5">
        <v>0</v>
      </c>
      <c r="BM294" t="s">
        <v>0</v>
      </c>
      <c r="BN294" t="s">
        <v>0</v>
      </c>
      <c r="BO294" t="s">
        <v>0</v>
      </c>
      <c r="BP294" t="s">
        <v>17</v>
      </c>
      <c r="BQ294" t="s">
        <v>0</v>
      </c>
      <c r="BR294" t="s">
        <v>17</v>
      </c>
      <c r="BS294" t="s">
        <v>17</v>
      </c>
      <c r="BT294" t="s">
        <v>0</v>
      </c>
      <c r="BU294" t="s">
        <v>0</v>
      </c>
      <c r="BV294" t="s">
        <v>0</v>
      </c>
      <c r="BW294" t="s">
        <v>0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</row>
    <row r="295" spans="1:80" ht="13.95" customHeight="1" x14ac:dyDescent="0.25">
      <c r="A295" t="s">
        <v>333</v>
      </c>
      <c r="B295" s="2">
        <v>45558</v>
      </c>
      <c r="C295" s="2">
        <v>45558</v>
      </c>
      <c r="D295" s="2">
        <v>45587</v>
      </c>
      <c r="E295" t="s">
        <v>2</v>
      </c>
      <c r="F295" t="s">
        <v>82</v>
      </c>
      <c r="G295" t="s">
        <v>0</v>
      </c>
      <c r="H295" t="s">
        <v>4</v>
      </c>
      <c r="I295" t="s">
        <v>314</v>
      </c>
      <c r="J295" t="s">
        <v>6</v>
      </c>
      <c r="K295" t="s">
        <v>42</v>
      </c>
      <c r="L295" t="s">
        <v>39</v>
      </c>
      <c r="M295" t="s">
        <v>322</v>
      </c>
      <c r="N295" t="s">
        <v>10</v>
      </c>
      <c r="O295" t="s">
        <v>0</v>
      </c>
      <c r="P295" t="s">
        <v>11</v>
      </c>
      <c r="Q295" s="5">
        <v>15</v>
      </c>
      <c r="R295" s="4">
        <v>48250</v>
      </c>
      <c r="S295" s="5">
        <v>1</v>
      </c>
      <c r="T295" s="4">
        <v>723750</v>
      </c>
      <c r="U295" s="5">
        <v>0</v>
      </c>
      <c r="V295" s="4">
        <v>0</v>
      </c>
      <c r="W295" s="5">
        <v>0</v>
      </c>
      <c r="X295" s="4">
        <v>0</v>
      </c>
      <c r="Y295" s="4">
        <f t="shared" si="8"/>
        <v>723750</v>
      </c>
      <c r="Z295" s="6" t="s">
        <v>0</v>
      </c>
      <c r="AA295" t="s">
        <v>2</v>
      </c>
      <c r="AB295" t="s">
        <v>12</v>
      </c>
      <c r="AC295">
        <f>_xlfn.XLOOKUP(AB295,'[1]GST Codes'!$A:$A,'[1]GST Codes'!$C:$C,0,0)</f>
        <v>18</v>
      </c>
      <c r="AD295">
        <f t="shared" si="9"/>
        <v>854025</v>
      </c>
      <c r="AE295" t="s">
        <v>13</v>
      </c>
      <c r="AF295" t="s">
        <v>0</v>
      </c>
      <c r="AG295" t="s">
        <v>14</v>
      </c>
      <c r="AH295" t="s">
        <v>15</v>
      </c>
      <c r="AI295" t="s">
        <v>16</v>
      </c>
      <c r="AJ295" t="s">
        <v>17</v>
      </c>
      <c r="AK295" t="s">
        <v>18</v>
      </c>
      <c r="AL295" t="s">
        <v>19</v>
      </c>
      <c r="AM295" t="s">
        <v>316</v>
      </c>
      <c r="AN295" t="s">
        <v>0</v>
      </c>
      <c r="AO295" t="s">
        <v>20</v>
      </c>
      <c r="AP295" t="s">
        <v>0</v>
      </c>
      <c r="AQ295" s="5">
        <v>15</v>
      </c>
      <c r="AR295" t="s">
        <v>11</v>
      </c>
      <c r="AS295" t="s">
        <v>0</v>
      </c>
      <c r="AT295" t="s">
        <v>17</v>
      </c>
      <c r="AU295" s="4">
        <v>0</v>
      </c>
      <c r="AV295" s="4">
        <v>0</v>
      </c>
      <c r="AW295" s="4">
        <v>0</v>
      </c>
      <c r="AX295" s="4">
        <v>0</v>
      </c>
      <c r="AY295" s="5">
        <v>0</v>
      </c>
      <c r="AZ295" s="5">
        <v>0</v>
      </c>
      <c r="BA295" s="5">
        <v>0</v>
      </c>
      <c r="BB295" s="2"/>
      <c r="BC295" t="s">
        <v>0</v>
      </c>
      <c r="BD295" s="5">
        <v>1</v>
      </c>
      <c r="BE295" t="s">
        <v>0</v>
      </c>
      <c r="BF295" t="s">
        <v>323</v>
      </c>
      <c r="BG295" t="s">
        <v>17</v>
      </c>
      <c r="BH295" t="s">
        <v>0</v>
      </c>
      <c r="BI295" t="s">
        <v>11</v>
      </c>
      <c r="BJ295" t="s">
        <v>0</v>
      </c>
      <c r="BK295" t="s">
        <v>0</v>
      </c>
      <c r="BL295" s="5">
        <v>0</v>
      </c>
      <c r="BM295" t="s">
        <v>0</v>
      </c>
      <c r="BN295" t="s">
        <v>0</v>
      </c>
      <c r="BO295" t="s">
        <v>0</v>
      </c>
      <c r="BP295" t="s">
        <v>17</v>
      </c>
      <c r="BQ295" t="s">
        <v>0</v>
      </c>
      <c r="BR295" t="s">
        <v>17</v>
      </c>
      <c r="BS295" t="s">
        <v>17</v>
      </c>
      <c r="BT295" t="s">
        <v>0</v>
      </c>
      <c r="BU295" t="s">
        <v>0</v>
      </c>
      <c r="BV295" t="s">
        <v>0</v>
      </c>
      <c r="BW295" t="s">
        <v>0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</row>
    <row r="296" spans="1:80" ht="13.95" customHeight="1" x14ac:dyDescent="0.25">
      <c r="A296" t="s">
        <v>333</v>
      </c>
      <c r="B296" s="2">
        <v>45558</v>
      </c>
      <c r="C296" s="2">
        <v>45558</v>
      </c>
      <c r="D296" s="2">
        <v>45587</v>
      </c>
      <c r="E296" t="s">
        <v>2</v>
      </c>
      <c r="F296" t="s">
        <v>82</v>
      </c>
      <c r="G296" t="s">
        <v>0</v>
      </c>
      <c r="H296" t="s">
        <v>4</v>
      </c>
      <c r="I296" t="s">
        <v>314</v>
      </c>
      <c r="J296" t="s">
        <v>6</v>
      </c>
      <c r="K296" t="s">
        <v>86</v>
      </c>
      <c r="L296" t="s">
        <v>39</v>
      </c>
      <c r="M296" t="s">
        <v>322</v>
      </c>
      <c r="N296" t="s">
        <v>10</v>
      </c>
      <c r="O296" t="s">
        <v>0</v>
      </c>
      <c r="P296" t="s">
        <v>11</v>
      </c>
      <c r="Q296" s="5">
        <v>15</v>
      </c>
      <c r="R296" s="4">
        <v>48250</v>
      </c>
      <c r="S296" s="5">
        <v>1</v>
      </c>
      <c r="T296" s="4">
        <v>723750</v>
      </c>
      <c r="U296" s="3">
        <v>6.3620000000000001</v>
      </c>
      <c r="V296" s="4">
        <v>306966.5</v>
      </c>
      <c r="W296" s="3">
        <v>6.3620000000000001</v>
      </c>
      <c r="X296" s="4">
        <v>306966.5</v>
      </c>
      <c r="Y296" s="4">
        <f t="shared" si="8"/>
        <v>416783.5</v>
      </c>
      <c r="Z296" s="6" t="s">
        <v>0</v>
      </c>
      <c r="AA296" t="s">
        <v>2</v>
      </c>
      <c r="AB296" t="s">
        <v>12</v>
      </c>
      <c r="AC296">
        <f>_xlfn.XLOOKUP(AB296,'[1]GST Codes'!$A:$A,'[1]GST Codes'!$C:$C,0,0)</f>
        <v>18</v>
      </c>
      <c r="AD296">
        <f t="shared" si="9"/>
        <v>491804.53</v>
      </c>
      <c r="AE296" t="s">
        <v>13</v>
      </c>
      <c r="AF296" t="s">
        <v>0</v>
      </c>
      <c r="AG296" t="s">
        <v>14</v>
      </c>
      <c r="AH296" t="s">
        <v>15</v>
      </c>
      <c r="AI296" t="s">
        <v>16</v>
      </c>
      <c r="AJ296" t="s">
        <v>17</v>
      </c>
      <c r="AK296" t="s">
        <v>18</v>
      </c>
      <c r="AL296" t="s">
        <v>19</v>
      </c>
      <c r="AM296" t="s">
        <v>316</v>
      </c>
      <c r="AN296" t="s">
        <v>0</v>
      </c>
      <c r="AO296" t="s">
        <v>20</v>
      </c>
      <c r="AP296" t="s">
        <v>0</v>
      </c>
      <c r="AQ296" s="5">
        <v>15</v>
      </c>
      <c r="AR296" t="s">
        <v>11</v>
      </c>
      <c r="AS296" t="s">
        <v>0</v>
      </c>
      <c r="AT296" t="s">
        <v>17</v>
      </c>
      <c r="AU296" s="4">
        <v>0</v>
      </c>
      <c r="AV296" s="4">
        <v>0</v>
      </c>
      <c r="AW296" s="4">
        <v>0</v>
      </c>
      <c r="AX296" s="4">
        <v>0</v>
      </c>
      <c r="AY296" s="5">
        <v>0</v>
      </c>
      <c r="AZ296" s="5">
        <v>0</v>
      </c>
      <c r="BA296" s="5">
        <v>0</v>
      </c>
      <c r="BB296" s="2"/>
      <c r="BC296" t="s">
        <v>0</v>
      </c>
      <c r="BD296" s="5">
        <v>1</v>
      </c>
      <c r="BE296" t="s">
        <v>0</v>
      </c>
      <c r="BF296" t="s">
        <v>323</v>
      </c>
      <c r="BG296" t="s">
        <v>17</v>
      </c>
      <c r="BH296" t="s">
        <v>0</v>
      </c>
      <c r="BI296" t="s">
        <v>11</v>
      </c>
      <c r="BJ296" t="s">
        <v>0</v>
      </c>
      <c r="BK296" t="s">
        <v>0</v>
      </c>
      <c r="BL296" s="5">
        <v>0</v>
      </c>
      <c r="BM296" t="s">
        <v>0</v>
      </c>
      <c r="BN296" t="s">
        <v>0</v>
      </c>
      <c r="BO296" t="s">
        <v>0</v>
      </c>
      <c r="BP296" t="s">
        <v>17</v>
      </c>
      <c r="BQ296" t="s">
        <v>0</v>
      </c>
      <c r="BR296" t="s">
        <v>17</v>
      </c>
      <c r="BS296" t="s">
        <v>17</v>
      </c>
      <c r="BT296" t="s">
        <v>0</v>
      </c>
      <c r="BU296" t="s">
        <v>0</v>
      </c>
      <c r="BV296" t="s">
        <v>0</v>
      </c>
      <c r="BW296" t="s">
        <v>0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</row>
    <row r="297" spans="1:80" ht="13.95" customHeight="1" x14ac:dyDescent="0.25">
      <c r="A297" t="s">
        <v>333</v>
      </c>
      <c r="B297" s="2">
        <v>45558</v>
      </c>
      <c r="C297" s="2">
        <v>45558</v>
      </c>
      <c r="D297" s="2">
        <v>45587</v>
      </c>
      <c r="E297" t="s">
        <v>2</v>
      </c>
      <c r="F297" t="s">
        <v>82</v>
      </c>
      <c r="G297" t="s">
        <v>0</v>
      </c>
      <c r="H297" t="s">
        <v>4</v>
      </c>
      <c r="I297" t="s">
        <v>314</v>
      </c>
      <c r="J297" t="s">
        <v>6</v>
      </c>
      <c r="K297" t="s">
        <v>87</v>
      </c>
      <c r="L297" t="s">
        <v>43</v>
      </c>
      <c r="M297" t="s">
        <v>324</v>
      </c>
      <c r="N297" t="s">
        <v>10</v>
      </c>
      <c r="O297" t="s">
        <v>0</v>
      </c>
      <c r="P297" t="s">
        <v>11</v>
      </c>
      <c r="Q297" s="5">
        <v>29</v>
      </c>
      <c r="R297" s="4">
        <v>48250</v>
      </c>
      <c r="S297" s="5">
        <v>1</v>
      </c>
      <c r="T297" s="4">
        <v>1399250</v>
      </c>
      <c r="U297" s="5">
        <v>0</v>
      </c>
      <c r="V297" s="4">
        <v>0</v>
      </c>
      <c r="W297" s="5">
        <v>0</v>
      </c>
      <c r="X297" s="4">
        <v>0</v>
      </c>
      <c r="Y297" s="4">
        <f t="shared" si="8"/>
        <v>1399250</v>
      </c>
      <c r="Z297" s="6" t="s">
        <v>0</v>
      </c>
      <c r="AA297" t="s">
        <v>2</v>
      </c>
      <c r="AB297" t="s">
        <v>12</v>
      </c>
      <c r="AC297">
        <f>_xlfn.XLOOKUP(AB297,'[1]GST Codes'!$A:$A,'[1]GST Codes'!$C:$C,0,0)</f>
        <v>18</v>
      </c>
      <c r="AD297">
        <f t="shared" si="9"/>
        <v>1651115</v>
      </c>
      <c r="AE297" t="s">
        <v>13</v>
      </c>
      <c r="AF297" t="s">
        <v>0</v>
      </c>
      <c r="AG297" t="s">
        <v>14</v>
      </c>
      <c r="AH297" t="s">
        <v>15</v>
      </c>
      <c r="AI297" t="s">
        <v>16</v>
      </c>
      <c r="AJ297" t="s">
        <v>17</v>
      </c>
      <c r="AK297" t="s">
        <v>18</v>
      </c>
      <c r="AL297" t="s">
        <v>19</v>
      </c>
      <c r="AM297" t="s">
        <v>316</v>
      </c>
      <c r="AN297" t="s">
        <v>0</v>
      </c>
      <c r="AO297" t="s">
        <v>20</v>
      </c>
      <c r="AP297" t="s">
        <v>0</v>
      </c>
      <c r="AQ297" s="5">
        <v>29</v>
      </c>
      <c r="AR297" t="s">
        <v>11</v>
      </c>
      <c r="AS297" t="s">
        <v>0</v>
      </c>
      <c r="AT297" t="s">
        <v>17</v>
      </c>
      <c r="AU297" s="4">
        <v>0</v>
      </c>
      <c r="AV297" s="4">
        <v>0</v>
      </c>
      <c r="AW297" s="4">
        <v>0</v>
      </c>
      <c r="AX297" s="4">
        <v>0</v>
      </c>
      <c r="AY297" s="5">
        <v>0</v>
      </c>
      <c r="AZ297" s="5">
        <v>0</v>
      </c>
      <c r="BA297" s="5">
        <v>0</v>
      </c>
      <c r="BB297" s="2"/>
      <c r="BC297" t="s">
        <v>0</v>
      </c>
      <c r="BD297" s="5">
        <v>1</v>
      </c>
      <c r="BE297" t="s">
        <v>0</v>
      </c>
      <c r="BF297" t="s">
        <v>325</v>
      </c>
      <c r="BG297" t="s">
        <v>17</v>
      </c>
      <c r="BH297" t="s">
        <v>0</v>
      </c>
      <c r="BI297" t="s">
        <v>11</v>
      </c>
      <c r="BJ297" t="s">
        <v>0</v>
      </c>
      <c r="BK297" t="s">
        <v>0</v>
      </c>
      <c r="BL297" s="5">
        <v>0</v>
      </c>
      <c r="BM297" t="s">
        <v>0</v>
      </c>
      <c r="BN297" t="s">
        <v>0</v>
      </c>
      <c r="BO297" t="s">
        <v>0</v>
      </c>
      <c r="BP297" t="s">
        <v>17</v>
      </c>
      <c r="BQ297" t="s">
        <v>0</v>
      </c>
      <c r="BR297" t="s">
        <v>17</v>
      </c>
      <c r="BS297" t="s">
        <v>17</v>
      </c>
      <c r="BT297" t="s">
        <v>0</v>
      </c>
      <c r="BU297" t="s">
        <v>0</v>
      </c>
      <c r="BV297" t="s">
        <v>0</v>
      </c>
      <c r="BW297" t="s">
        <v>0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</row>
    <row r="298" spans="1:80" ht="13.95" customHeight="1" x14ac:dyDescent="0.25">
      <c r="A298" t="s">
        <v>333</v>
      </c>
      <c r="B298" s="2">
        <v>45558</v>
      </c>
      <c r="C298" s="2">
        <v>45558</v>
      </c>
      <c r="D298" s="2">
        <v>45587</v>
      </c>
      <c r="E298" t="s">
        <v>2</v>
      </c>
      <c r="F298" t="s">
        <v>82</v>
      </c>
      <c r="G298" t="s">
        <v>0</v>
      </c>
      <c r="H298" t="s">
        <v>4</v>
      </c>
      <c r="I298" t="s">
        <v>314</v>
      </c>
      <c r="J298" t="s">
        <v>6</v>
      </c>
      <c r="K298" t="s">
        <v>88</v>
      </c>
      <c r="L298" t="s">
        <v>43</v>
      </c>
      <c r="M298" t="s">
        <v>324</v>
      </c>
      <c r="N298" t="s">
        <v>10</v>
      </c>
      <c r="O298" t="s">
        <v>0</v>
      </c>
      <c r="P298" t="s">
        <v>11</v>
      </c>
      <c r="Q298" s="5">
        <v>27</v>
      </c>
      <c r="R298" s="4">
        <v>48250</v>
      </c>
      <c r="S298" s="5">
        <v>1</v>
      </c>
      <c r="T298" s="4">
        <v>1302750</v>
      </c>
      <c r="U298" s="5">
        <v>0</v>
      </c>
      <c r="V298" s="4">
        <v>0</v>
      </c>
      <c r="W298" s="5">
        <v>0</v>
      </c>
      <c r="X298" s="4">
        <v>0</v>
      </c>
      <c r="Y298" s="4">
        <f t="shared" si="8"/>
        <v>1302750</v>
      </c>
      <c r="Z298" s="6" t="s">
        <v>0</v>
      </c>
      <c r="AA298" t="s">
        <v>2</v>
      </c>
      <c r="AB298" t="s">
        <v>12</v>
      </c>
      <c r="AC298">
        <f>_xlfn.XLOOKUP(AB298,'[1]GST Codes'!$A:$A,'[1]GST Codes'!$C:$C,0,0)</f>
        <v>18</v>
      </c>
      <c r="AD298">
        <f t="shared" si="9"/>
        <v>1537245</v>
      </c>
      <c r="AE298" t="s">
        <v>13</v>
      </c>
      <c r="AF298" t="s">
        <v>0</v>
      </c>
      <c r="AG298" t="s">
        <v>14</v>
      </c>
      <c r="AH298" t="s">
        <v>15</v>
      </c>
      <c r="AI298" t="s">
        <v>16</v>
      </c>
      <c r="AJ298" t="s">
        <v>17</v>
      </c>
      <c r="AK298" t="s">
        <v>18</v>
      </c>
      <c r="AL298" t="s">
        <v>19</v>
      </c>
      <c r="AM298" t="s">
        <v>316</v>
      </c>
      <c r="AN298" t="s">
        <v>0</v>
      </c>
      <c r="AO298" t="s">
        <v>20</v>
      </c>
      <c r="AP298" t="s">
        <v>0</v>
      </c>
      <c r="AQ298" s="5">
        <v>27</v>
      </c>
      <c r="AR298" t="s">
        <v>11</v>
      </c>
      <c r="AS298" t="s">
        <v>0</v>
      </c>
      <c r="AT298" t="s">
        <v>17</v>
      </c>
      <c r="AU298" s="4">
        <v>0</v>
      </c>
      <c r="AV298" s="4">
        <v>0</v>
      </c>
      <c r="AW298" s="4">
        <v>0</v>
      </c>
      <c r="AX298" s="4">
        <v>0</v>
      </c>
      <c r="AY298" s="5">
        <v>0</v>
      </c>
      <c r="AZ298" s="5">
        <v>0</v>
      </c>
      <c r="BA298" s="5">
        <v>0</v>
      </c>
      <c r="BB298" s="2"/>
      <c r="BC298" t="s">
        <v>0</v>
      </c>
      <c r="BD298" s="5">
        <v>1</v>
      </c>
      <c r="BE298" t="s">
        <v>0</v>
      </c>
      <c r="BF298" t="s">
        <v>325</v>
      </c>
      <c r="BG298" t="s">
        <v>17</v>
      </c>
      <c r="BH298" t="s">
        <v>0</v>
      </c>
      <c r="BI298" t="s">
        <v>11</v>
      </c>
      <c r="BJ298" t="s">
        <v>0</v>
      </c>
      <c r="BK298" t="s">
        <v>0</v>
      </c>
      <c r="BL298" s="5">
        <v>0</v>
      </c>
      <c r="BM298" t="s">
        <v>0</v>
      </c>
      <c r="BN298" t="s">
        <v>0</v>
      </c>
      <c r="BO298" t="s">
        <v>0</v>
      </c>
      <c r="BP298" t="s">
        <v>17</v>
      </c>
      <c r="BQ298" t="s">
        <v>0</v>
      </c>
      <c r="BR298" t="s">
        <v>17</v>
      </c>
      <c r="BS298" t="s">
        <v>17</v>
      </c>
      <c r="BT298" t="s">
        <v>0</v>
      </c>
      <c r="BU298" t="s">
        <v>0</v>
      </c>
      <c r="BV298" t="s">
        <v>0</v>
      </c>
      <c r="BW298" t="s">
        <v>0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</row>
    <row r="299" spans="1:80" ht="13.95" customHeight="1" x14ac:dyDescent="0.25">
      <c r="A299" t="s">
        <v>333</v>
      </c>
      <c r="B299" s="2">
        <v>45558</v>
      </c>
      <c r="C299" s="2">
        <v>45558</v>
      </c>
      <c r="D299" s="2">
        <v>45587</v>
      </c>
      <c r="E299" t="s">
        <v>2</v>
      </c>
      <c r="F299" t="s">
        <v>82</v>
      </c>
      <c r="G299" t="s">
        <v>0</v>
      </c>
      <c r="H299" t="s">
        <v>4</v>
      </c>
      <c r="I299" t="s">
        <v>314</v>
      </c>
      <c r="J299" t="s">
        <v>6</v>
      </c>
      <c r="K299" t="s">
        <v>89</v>
      </c>
      <c r="L299" t="s">
        <v>326</v>
      </c>
      <c r="M299" t="s">
        <v>332</v>
      </c>
      <c r="N299" t="s">
        <v>10</v>
      </c>
      <c r="O299" t="s">
        <v>0</v>
      </c>
      <c r="P299" t="s">
        <v>11</v>
      </c>
      <c r="Q299" s="5">
        <v>15</v>
      </c>
      <c r="R299" s="4">
        <v>48250</v>
      </c>
      <c r="S299" s="5">
        <v>1</v>
      </c>
      <c r="T299" s="4">
        <v>723750</v>
      </c>
      <c r="U299" s="5">
        <v>0</v>
      </c>
      <c r="V299" s="4">
        <v>0</v>
      </c>
      <c r="W299" s="5">
        <v>0</v>
      </c>
      <c r="X299" s="4">
        <v>0</v>
      </c>
      <c r="Y299" s="4">
        <f t="shared" si="8"/>
        <v>723750</v>
      </c>
      <c r="Z299" s="6" t="s">
        <v>0</v>
      </c>
      <c r="AA299" t="s">
        <v>2</v>
      </c>
      <c r="AB299" t="s">
        <v>12</v>
      </c>
      <c r="AC299">
        <f>_xlfn.XLOOKUP(AB299,'[1]GST Codes'!$A:$A,'[1]GST Codes'!$C:$C,0,0)</f>
        <v>18</v>
      </c>
      <c r="AD299">
        <f t="shared" si="9"/>
        <v>854025</v>
      </c>
      <c r="AE299" t="s">
        <v>13</v>
      </c>
      <c r="AF299" t="s">
        <v>0</v>
      </c>
      <c r="AG299" t="s">
        <v>14</v>
      </c>
      <c r="AH299" t="s">
        <v>15</v>
      </c>
      <c r="AI299" t="s">
        <v>16</v>
      </c>
      <c r="AJ299" t="s">
        <v>17</v>
      </c>
      <c r="AK299" t="s">
        <v>18</v>
      </c>
      <c r="AL299" t="s">
        <v>19</v>
      </c>
      <c r="AM299" t="s">
        <v>316</v>
      </c>
      <c r="AN299" t="s">
        <v>0</v>
      </c>
      <c r="AO299" t="s">
        <v>20</v>
      </c>
      <c r="AP299" t="s">
        <v>0</v>
      </c>
      <c r="AQ299" s="5">
        <v>15</v>
      </c>
      <c r="AR299" t="s">
        <v>11</v>
      </c>
      <c r="AS299" t="s">
        <v>0</v>
      </c>
      <c r="AT299" t="s">
        <v>17</v>
      </c>
      <c r="AU299" s="4">
        <v>0</v>
      </c>
      <c r="AV299" s="4">
        <v>0</v>
      </c>
      <c r="AW299" s="4">
        <v>0</v>
      </c>
      <c r="AX299" s="4">
        <v>0</v>
      </c>
      <c r="AY299" s="5">
        <v>0</v>
      </c>
      <c r="AZ299" s="5">
        <v>0</v>
      </c>
      <c r="BA299" s="5">
        <v>0</v>
      </c>
      <c r="BB299" s="2"/>
      <c r="BC299" t="s">
        <v>0</v>
      </c>
      <c r="BD299" s="5">
        <v>1</v>
      </c>
      <c r="BE299" t="s">
        <v>0</v>
      </c>
      <c r="BF299" t="s">
        <v>328</v>
      </c>
      <c r="BG299" t="s">
        <v>17</v>
      </c>
      <c r="BH299" t="s">
        <v>0</v>
      </c>
      <c r="BI299" t="s">
        <v>11</v>
      </c>
      <c r="BJ299" t="s">
        <v>0</v>
      </c>
      <c r="BK299" t="s">
        <v>0</v>
      </c>
      <c r="BL299" s="5">
        <v>0</v>
      </c>
      <c r="BM299" t="s">
        <v>0</v>
      </c>
      <c r="BN299" t="s">
        <v>0</v>
      </c>
      <c r="BO299" t="s">
        <v>0</v>
      </c>
      <c r="BP299" t="s">
        <v>17</v>
      </c>
      <c r="BQ299" t="s">
        <v>0</v>
      </c>
      <c r="BR299" t="s">
        <v>17</v>
      </c>
      <c r="BS299" t="s">
        <v>17</v>
      </c>
      <c r="BT299" t="s">
        <v>0</v>
      </c>
      <c r="BU299" t="s">
        <v>0</v>
      </c>
      <c r="BV299" t="s">
        <v>0</v>
      </c>
      <c r="BW299" t="s">
        <v>0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</row>
    <row r="300" spans="1:80" ht="13.95" customHeight="1" x14ac:dyDescent="0.25">
      <c r="A300" t="s">
        <v>333</v>
      </c>
      <c r="B300" s="2">
        <v>45558</v>
      </c>
      <c r="C300" s="2">
        <v>45558</v>
      </c>
      <c r="D300" s="2">
        <v>45587</v>
      </c>
      <c r="E300" t="s">
        <v>2</v>
      </c>
      <c r="F300" t="s">
        <v>82</v>
      </c>
      <c r="G300" t="s">
        <v>0</v>
      </c>
      <c r="H300" t="s">
        <v>4</v>
      </c>
      <c r="I300" t="s">
        <v>314</v>
      </c>
      <c r="J300" t="s">
        <v>6</v>
      </c>
      <c r="K300" t="s">
        <v>90</v>
      </c>
      <c r="L300" t="s">
        <v>326</v>
      </c>
      <c r="M300" t="s">
        <v>332</v>
      </c>
      <c r="N300" t="s">
        <v>10</v>
      </c>
      <c r="O300" t="s">
        <v>0</v>
      </c>
      <c r="P300" t="s">
        <v>11</v>
      </c>
      <c r="Q300" s="5">
        <v>15</v>
      </c>
      <c r="R300" s="4">
        <v>48250</v>
      </c>
      <c r="S300" s="5">
        <v>1</v>
      </c>
      <c r="T300" s="4">
        <v>723750</v>
      </c>
      <c r="U300" s="5">
        <v>0</v>
      </c>
      <c r="V300" s="4">
        <v>0</v>
      </c>
      <c r="W300" s="5">
        <v>0</v>
      </c>
      <c r="X300" s="4">
        <v>0</v>
      </c>
      <c r="Y300" s="4">
        <f t="shared" si="8"/>
        <v>723750</v>
      </c>
      <c r="Z300" s="6" t="s">
        <v>0</v>
      </c>
      <c r="AA300" t="s">
        <v>2</v>
      </c>
      <c r="AB300" t="s">
        <v>12</v>
      </c>
      <c r="AC300">
        <f>_xlfn.XLOOKUP(AB300,'[1]GST Codes'!$A:$A,'[1]GST Codes'!$C:$C,0,0)</f>
        <v>18</v>
      </c>
      <c r="AD300">
        <f t="shared" si="9"/>
        <v>854025</v>
      </c>
      <c r="AE300" t="s">
        <v>13</v>
      </c>
      <c r="AF300" t="s">
        <v>0</v>
      </c>
      <c r="AG300" t="s">
        <v>14</v>
      </c>
      <c r="AH300" t="s">
        <v>15</v>
      </c>
      <c r="AI300" t="s">
        <v>16</v>
      </c>
      <c r="AJ300" t="s">
        <v>17</v>
      </c>
      <c r="AK300" t="s">
        <v>18</v>
      </c>
      <c r="AL300" t="s">
        <v>19</v>
      </c>
      <c r="AM300" t="s">
        <v>316</v>
      </c>
      <c r="AN300" t="s">
        <v>0</v>
      </c>
      <c r="AO300" t="s">
        <v>20</v>
      </c>
      <c r="AP300" t="s">
        <v>0</v>
      </c>
      <c r="AQ300" s="5">
        <v>15</v>
      </c>
      <c r="AR300" t="s">
        <v>11</v>
      </c>
      <c r="AS300" t="s">
        <v>0</v>
      </c>
      <c r="AT300" t="s">
        <v>17</v>
      </c>
      <c r="AU300" s="4">
        <v>0</v>
      </c>
      <c r="AV300" s="4">
        <v>0</v>
      </c>
      <c r="AW300" s="4">
        <v>0</v>
      </c>
      <c r="AX300" s="4">
        <v>0</v>
      </c>
      <c r="AY300" s="5">
        <v>0</v>
      </c>
      <c r="AZ300" s="5">
        <v>0</v>
      </c>
      <c r="BA300" s="5">
        <v>0</v>
      </c>
      <c r="BB300" s="2"/>
      <c r="BC300" t="s">
        <v>0</v>
      </c>
      <c r="BD300" s="5">
        <v>1</v>
      </c>
      <c r="BE300" t="s">
        <v>0</v>
      </c>
      <c r="BF300" t="s">
        <v>328</v>
      </c>
      <c r="BG300" t="s">
        <v>17</v>
      </c>
      <c r="BH300" t="s">
        <v>0</v>
      </c>
      <c r="BI300" t="s">
        <v>11</v>
      </c>
      <c r="BJ300" t="s">
        <v>0</v>
      </c>
      <c r="BK300" t="s">
        <v>0</v>
      </c>
      <c r="BL300" s="5">
        <v>0</v>
      </c>
      <c r="BM300" t="s">
        <v>0</v>
      </c>
      <c r="BN300" t="s">
        <v>0</v>
      </c>
      <c r="BO300" t="s">
        <v>0</v>
      </c>
      <c r="BP300" t="s">
        <v>17</v>
      </c>
      <c r="BQ300" t="s">
        <v>0</v>
      </c>
      <c r="BR300" t="s">
        <v>17</v>
      </c>
      <c r="BS300" t="s">
        <v>17</v>
      </c>
      <c r="BT300" t="s">
        <v>0</v>
      </c>
      <c r="BU300" t="s">
        <v>0</v>
      </c>
      <c r="BV300" t="s">
        <v>0</v>
      </c>
      <c r="BW300" t="s">
        <v>0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</row>
    <row r="301" spans="1:80" ht="13.95" customHeight="1" x14ac:dyDescent="0.25">
      <c r="A301" t="s">
        <v>333</v>
      </c>
      <c r="B301" s="2">
        <v>45558</v>
      </c>
      <c r="C301" s="2">
        <v>45558</v>
      </c>
      <c r="D301" s="2">
        <v>45587</v>
      </c>
      <c r="E301" t="s">
        <v>2</v>
      </c>
      <c r="F301" t="s">
        <v>82</v>
      </c>
      <c r="G301" t="s">
        <v>0</v>
      </c>
      <c r="H301" t="s">
        <v>4</v>
      </c>
      <c r="I301" t="s">
        <v>314</v>
      </c>
      <c r="J301" t="s">
        <v>6</v>
      </c>
      <c r="K301" t="s">
        <v>177</v>
      </c>
      <c r="L301" t="s">
        <v>329</v>
      </c>
      <c r="M301" t="s">
        <v>330</v>
      </c>
      <c r="N301" t="s">
        <v>10</v>
      </c>
      <c r="O301" t="s">
        <v>0</v>
      </c>
      <c r="P301" t="s">
        <v>11</v>
      </c>
      <c r="Q301" s="5">
        <v>100</v>
      </c>
      <c r="R301" s="4">
        <v>48250</v>
      </c>
      <c r="S301" s="5">
        <v>1</v>
      </c>
      <c r="T301" s="4">
        <v>4825000</v>
      </c>
      <c r="U301" s="5">
        <v>0</v>
      </c>
      <c r="V301" s="4">
        <v>0</v>
      </c>
      <c r="W301" s="5">
        <v>0</v>
      </c>
      <c r="X301" s="4">
        <v>0</v>
      </c>
      <c r="Y301" s="4">
        <f t="shared" si="8"/>
        <v>4825000</v>
      </c>
      <c r="Z301" s="6" t="s">
        <v>0</v>
      </c>
      <c r="AA301" t="s">
        <v>2</v>
      </c>
      <c r="AB301" t="s">
        <v>12</v>
      </c>
      <c r="AC301">
        <f>_xlfn.XLOOKUP(AB301,'[1]GST Codes'!$A:$A,'[1]GST Codes'!$C:$C,0,0)</f>
        <v>18</v>
      </c>
      <c r="AD301">
        <f t="shared" si="9"/>
        <v>5693500</v>
      </c>
      <c r="AE301" t="s">
        <v>13</v>
      </c>
      <c r="AF301" t="s">
        <v>0</v>
      </c>
      <c r="AG301" t="s">
        <v>14</v>
      </c>
      <c r="AH301" t="s">
        <v>15</v>
      </c>
      <c r="AI301" t="s">
        <v>16</v>
      </c>
      <c r="AJ301" t="s">
        <v>17</v>
      </c>
      <c r="AK301" t="s">
        <v>18</v>
      </c>
      <c r="AL301" t="s">
        <v>19</v>
      </c>
      <c r="AM301" t="s">
        <v>316</v>
      </c>
      <c r="AN301" t="s">
        <v>0</v>
      </c>
      <c r="AO301" t="s">
        <v>20</v>
      </c>
      <c r="AP301" t="s">
        <v>0</v>
      </c>
      <c r="AQ301" s="5">
        <v>100</v>
      </c>
      <c r="AR301" t="s">
        <v>11</v>
      </c>
      <c r="AS301" t="s">
        <v>0</v>
      </c>
      <c r="AT301" t="s">
        <v>17</v>
      </c>
      <c r="AU301" s="4">
        <v>0</v>
      </c>
      <c r="AV301" s="4">
        <v>0</v>
      </c>
      <c r="AW301" s="4">
        <v>0</v>
      </c>
      <c r="AX301" s="4">
        <v>0</v>
      </c>
      <c r="AY301" s="5">
        <v>0</v>
      </c>
      <c r="AZ301" s="5">
        <v>0</v>
      </c>
      <c r="BA301" s="5">
        <v>0</v>
      </c>
      <c r="BB301" s="2"/>
      <c r="BC301" t="s">
        <v>0</v>
      </c>
      <c r="BD301" s="5">
        <v>1</v>
      </c>
      <c r="BE301" t="s">
        <v>0</v>
      </c>
      <c r="BF301" t="s">
        <v>331</v>
      </c>
      <c r="BG301" t="s">
        <v>17</v>
      </c>
      <c r="BH301" t="s">
        <v>0</v>
      </c>
      <c r="BI301" t="s">
        <v>11</v>
      </c>
      <c r="BJ301" t="s">
        <v>0</v>
      </c>
      <c r="BK301" t="s">
        <v>0</v>
      </c>
      <c r="BL301" s="5">
        <v>0</v>
      </c>
      <c r="BM301" t="s">
        <v>0</v>
      </c>
      <c r="BN301" t="s">
        <v>0</v>
      </c>
      <c r="BO301" t="s">
        <v>0</v>
      </c>
      <c r="BP301" t="s">
        <v>17</v>
      </c>
      <c r="BQ301" t="s">
        <v>0</v>
      </c>
      <c r="BR301" t="s">
        <v>17</v>
      </c>
      <c r="BS301" t="s">
        <v>17</v>
      </c>
      <c r="BT301" t="s">
        <v>0</v>
      </c>
      <c r="BU301" t="s">
        <v>0</v>
      </c>
      <c r="BV301" t="s">
        <v>0</v>
      </c>
      <c r="BW301" t="s">
        <v>0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</row>
    <row r="302" spans="1:80" ht="13.95" customHeight="1" x14ac:dyDescent="0.25">
      <c r="A302" t="s">
        <v>333</v>
      </c>
      <c r="B302" s="2">
        <v>45558</v>
      </c>
      <c r="C302" s="2">
        <v>45558</v>
      </c>
      <c r="D302" s="2">
        <v>45587</v>
      </c>
      <c r="E302" t="s">
        <v>2</v>
      </c>
      <c r="F302" t="s">
        <v>82</v>
      </c>
      <c r="G302" t="s">
        <v>0</v>
      </c>
      <c r="H302" t="s">
        <v>4</v>
      </c>
      <c r="I302" t="s">
        <v>314</v>
      </c>
      <c r="J302" t="s">
        <v>6</v>
      </c>
      <c r="K302" t="s">
        <v>181</v>
      </c>
      <c r="L302" t="s">
        <v>329</v>
      </c>
      <c r="M302" t="s">
        <v>330</v>
      </c>
      <c r="N302" t="s">
        <v>10</v>
      </c>
      <c r="O302" t="s">
        <v>0</v>
      </c>
      <c r="P302" t="s">
        <v>11</v>
      </c>
      <c r="Q302" s="5">
        <v>100</v>
      </c>
      <c r="R302" s="4">
        <v>48250</v>
      </c>
      <c r="S302" s="5">
        <v>1</v>
      </c>
      <c r="T302" s="4">
        <v>4825000</v>
      </c>
      <c r="U302" s="5">
        <v>0</v>
      </c>
      <c r="V302" s="4">
        <v>0</v>
      </c>
      <c r="W302" s="5">
        <v>0</v>
      </c>
      <c r="X302" s="4">
        <v>0</v>
      </c>
      <c r="Y302" s="4">
        <f t="shared" si="8"/>
        <v>4825000</v>
      </c>
      <c r="Z302" s="6" t="s">
        <v>0</v>
      </c>
      <c r="AA302" t="s">
        <v>2</v>
      </c>
      <c r="AB302" t="s">
        <v>12</v>
      </c>
      <c r="AC302">
        <f>_xlfn.XLOOKUP(AB302,'[1]GST Codes'!$A:$A,'[1]GST Codes'!$C:$C,0,0)</f>
        <v>18</v>
      </c>
      <c r="AD302">
        <f t="shared" si="9"/>
        <v>5693500</v>
      </c>
      <c r="AE302" t="s">
        <v>13</v>
      </c>
      <c r="AF302" t="s">
        <v>0</v>
      </c>
      <c r="AG302" t="s">
        <v>14</v>
      </c>
      <c r="AH302" t="s">
        <v>15</v>
      </c>
      <c r="AI302" t="s">
        <v>16</v>
      </c>
      <c r="AJ302" t="s">
        <v>17</v>
      </c>
      <c r="AK302" t="s">
        <v>18</v>
      </c>
      <c r="AL302" t="s">
        <v>19</v>
      </c>
      <c r="AM302" t="s">
        <v>316</v>
      </c>
      <c r="AN302" t="s">
        <v>0</v>
      </c>
      <c r="AO302" t="s">
        <v>20</v>
      </c>
      <c r="AP302" t="s">
        <v>0</v>
      </c>
      <c r="AQ302" s="5">
        <v>100</v>
      </c>
      <c r="AR302" t="s">
        <v>11</v>
      </c>
      <c r="AS302" t="s">
        <v>0</v>
      </c>
      <c r="AT302" t="s">
        <v>17</v>
      </c>
      <c r="AU302" s="4">
        <v>0</v>
      </c>
      <c r="AV302" s="4">
        <v>0</v>
      </c>
      <c r="AW302" s="4">
        <v>0</v>
      </c>
      <c r="AX302" s="4">
        <v>0</v>
      </c>
      <c r="AY302" s="5">
        <v>0</v>
      </c>
      <c r="AZ302" s="5">
        <v>0</v>
      </c>
      <c r="BA302" s="5">
        <v>0</v>
      </c>
      <c r="BB302" s="2"/>
      <c r="BC302" t="s">
        <v>0</v>
      </c>
      <c r="BD302" s="5">
        <v>1</v>
      </c>
      <c r="BE302" t="s">
        <v>0</v>
      </c>
      <c r="BF302" t="s">
        <v>331</v>
      </c>
      <c r="BG302" t="s">
        <v>17</v>
      </c>
      <c r="BH302" t="s">
        <v>0</v>
      </c>
      <c r="BI302" t="s">
        <v>11</v>
      </c>
      <c r="BJ302" t="s">
        <v>0</v>
      </c>
      <c r="BK302" t="s">
        <v>0</v>
      </c>
      <c r="BL302" s="5">
        <v>0</v>
      </c>
      <c r="BM302" t="s">
        <v>0</v>
      </c>
      <c r="BN302" t="s">
        <v>0</v>
      </c>
      <c r="BO302" t="s">
        <v>0</v>
      </c>
      <c r="BP302" t="s">
        <v>17</v>
      </c>
      <c r="BQ302" t="s">
        <v>0</v>
      </c>
      <c r="BR302" t="s">
        <v>17</v>
      </c>
      <c r="BS302" t="s">
        <v>17</v>
      </c>
      <c r="BT302" t="s">
        <v>0</v>
      </c>
      <c r="BU302" t="s">
        <v>0</v>
      </c>
      <c r="BV302" t="s">
        <v>0</v>
      </c>
      <c r="BW302" t="s">
        <v>0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</row>
    <row r="303" spans="1:80" ht="13.95" customHeight="1" x14ac:dyDescent="0.25">
      <c r="A303" t="s">
        <v>334</v>
      </c>
      <c r="B303" s="2">
        <v>45558</v>
      </c>
      <c r="C303" s="2">
        <v>45558</v>
      </c>
      <c r="D303" s="2">
        <v>45587</v>
      </c>
      <c r="E303" t="s">
        <v>2</v>
      </c>
      <c r="F303" t="s">
        <v>3</v>
      </c>
      <c r="G303" t="s">
        <v>0</v>
      </c>
      <c r="H303" t="s">
        <v>4</v>
      </c>
      <c r="I303" t="s">
        <v>314</v>
      </c>
      <c r="J303" t="s">
        <v>6</v>
      </c>
      <c r="K303" t="s">
        <v>7</v>
      </c>
      <c r="L303" t="s">
        <v>70</v>
      </c>
      <c r="M303" t="s">
        <v>56</v>
      </c>
      <c r="N303" t="s">
        <v>10</v>
      </c>
      <c r="O303" t="s">
        <v>0</v>
      </c>
      <c r="P303" t="s">
        <v>11</v>
      </c>
      <c r="Q303" s="3">
        <v>17.5</v>
      </c>
      <c r="R303" s="4">
        <v>50250</v>
      </c>
      <c r="S303" s="5">
        <v>1</v>
      </c>
      <c r="T303" s="4">
        <v>879375</v>
      </c>
      <c r="U303" s="5">
        <v>0</v>
      </c>
      <c r="V303" s="4">
        <v>0</v>
      </c>
      <c r="W303" s="5">
        <v>0</v>
      </c>
      <c r="X303" s="4">
        <v>0</v>
      </c>
      <c r="Y303" s="4">
        <f t="shared" si="8"/>
        <v>879375</v>
      </c>
      <c r="Z303" s="6" t="s">
        <v>0</v>
      </c>
      <c r="AA303" t="s">
        <v>2</v>
      </c>
      <c r="AB303" t="s">
        <v>12</v>
      </c>
      <c r="AC303">
        <f>_xlfn.XLOOKUP(AB303,'[1]GST Codes'!$A:$A,'[1]GST Codes'!$C:$C,0,0)</f>
        <v>18</v>
      </c>
      <c r="AD303">
        <f t="shared" si="9"/>
        <v>1037662.5</v>
      </c>
      <c r="AE303" t="s">
        <v>13</v>
      </c>
      <c r="AF303" t="s">
        <v>0</v>
      </c>
      <c r="AG303" t="s">
        <v>14</v>
      </c>
      <c r="AH303" t="s">
        <v>15</v>
      </c>
      <c r="AI303" t="s">
        <v>16</v>
      </c>
      <c r="AJ303" t="s">
        <v>17</v>
      </c>
      <c r="AK303" t="s">
        <v>18</v>
      </c>
      <c r="AL303" t="s">
        <v>19</v>
      </c>
      <c r="AM303" t="s">
        <v>316</v>
      </c>
      <c r="AN303" t="s">
        <v>0</v>
      </c>
      <c r="AO303" t="s">
        <v>20</v>
      </c>
      <c r="AP303" t="s">
        <v>0</v>
      </c>
      <c r="AQ303" s="3">
        <v>17.5</v>
      </c>
      <c r="AR303" t="s">
        <v>11</v>
      </c>
      <c r="AS303" t="s">
        <v>0</v>
      </c>
      <c r="AT303" t="s">
        <v>17</v>
      </c>
      <c r="AU303" s="4">
        <v>0</v>
      </c>
      <c r="AV303" s="4">
        <v>0</v>
      </c>
      <c r="AW303" s="4">
        <v>0</v>
      </c>
      <c r="AX303" s="4">
        <v>0</v>
      </c>
      <c r="AY303" s="5">
        <v>0</v>
      </c>
      <c r="AZ303" s="5">
        <v>0</v>
      </c>
      <c r="BA303" s="5">
        <v>0</v>
      </c>
      <c r="BB303" s="2"/>
      <c r="BC303" t="s">
        <v>0</v>
      </c>
      <c r="BD303" s="5">
        <v>1</v>
      </c>
      <c r="BE303" t="s">
        <v>0</v>
      </c>
      <c r="BF303" t="s">
        <v>317</v>
      </c>
      <c r="BG303" t="s">
        <v>17</v>
      </c>
      <c r="BH303" t="s">
        <v>0</v>
      </c>
      <c r="BI303" t="s">
        <v>11</v>
      </c>
      <c r="BJ303" t="s">
        <v>0</v>
      </c>
      <c r="BK303" t="s">
        <v>0</v>
      </c>
      <c r="BL303" s="5">
        <v>0</v>
      </c>
      <c r="BM303" t="s">
        <v>0</v>
      </c>
      <c r="BN303" t="s">
        <v>0</v>
      </c>
      <c r="BO303" t="s">
        <v>0</v>
      </c>
      <c r="BP303" t="s">
        <v>17</v>
      </c>
      <c r="BQ303" t="s">
        <v>0</v>
      </c>
      <c r="BR303" t="s">
        <v>17</v>
      </c>
      <c r="BS303" t="s">
        <v>17</v>
      </c>
      <c r="BT303" t="s">
        <v>0</v>
      </c>
      <c r="BU303" t="s">
        <v>0</v>
      </c>
      <c r="BV303" t="s">
        <v>0</v>
      </c>
      <c r="BW303" t="s">
        <v>0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</row>
    <row r="304" spans="1:80" ht="13.95" customHeight="1" x14ac:dyDescent="0.25">
      <c r="A304" t="s">
        <v>334</v>
      </c>
      <c r="B304" s="2">
        <v>45558</v>
      </c>
      <c r="C304" s="2">
        <v>45558</v>
      </c>
      <c r="D304" s="2">
        <v>45587</v>
      </c>
      <c r="E304" t="s">
        <v>2</v>
      </c>
      <c r="F304" t="s">
        <v>3</v>
      </c>
      <c r="G304" t="s">
        <v>0</v>
      </c>
      <c r="H304" t="s">
        <v>4</v>
      </c>
      <c r="I304" t="s">
        <v>314</v>
      </c>
      <c r="J304" t="s">
        <v>6</v>
      </c>
      <c r="K304" t="s">
        <v>22</v>
      </c>
      <c r="L304" t="s">
        <v>35</v>
      </c>
      <c r="M304" t="s">
        <v>335</v>
      </c>
      <c r="N304" t="s">
        <v>10</v>
      </c>
      <c r="O304" t="s">
        <v>0</v>
      </c>
      <c r="P304" t="s">
        <v>11</v>
      </c>
      <c r="Q304" s="5">
        <v>70</v>
      </c>
      <c r="R304" s="4">
        <v>49000</v>
      </c>
      <c r="S304" s="5">
        <v>1</v>
      </c>
      <c r="T304" s="4">
        <v>3430000</v>
      </c>
      <c r="U304" s="5">
        <v>0</v>
      </c>
      <c r="V304" s="4">
        <v>0</v>
      </c>
      <c r="W304" s="5">
        <v>0</v>
      </c>
      <c r="X304" s="4">
        <v>0</v>
      </c>
      <c r="Y304" s="4">
        <f t="shared" si="8"/>
        <v>3430000</v>
      </c>
      <c r="Z304" s="6" t="s">
        <v>0</v>
      </c>
      <c r="AA304" t="s">
        <v>2</v>
      </c>
      <c r="AB304" t="s">
        <v>12</v>
      </c>
      <c r="AC304">
        <f>_xlfn.XLOOKUP(AB304,'[1]GST Codes'!$A:$A,'[1]GST Codes'!$C:$C,0,0)</f>
        <v>18</v>
      </c>
      <c r="AD304">
        <f t="shared" si="9"/>
        <v>4047400</v>
      </c>
      <c r="AE304" t="s">
        <v>13</v>
      </c>
      <c r="AF304" t="s">
        <v>0</v>
      </c>
      <c r="AG304" t="s">
        <v>14</v>
      </c>
      <c r="AH304" t="s">
        <v>15</v>
      </c>
      <c r="AI304" t="s">
        <v>16</v>
      </c>
      <c r="AJ304" t="s">
        <v>17</v>
      </c>
      <c r="AK304" t="s">
        <v>18</v>
      </c>
      <c r="AL304" t="s">
        <v>19</v>
      </c>
      <c r="AM304" t="s">
        <v>316</v>
      </c>
      <c r="AN304" t="s">
        <v>0</v>
      </c>
      <c r="AO304" t="s">
        <v>20</v>
      </c>
      <c r="AP304" t="s">
        <v>0</v>
      </c>
      <c r="AQ304" s="5">
        <v>70</v>
      </c>
      <c r="AR304" t="s">
        <v>11</v>
      </c>
      <c r="AS304" t="s">
        <v>0</v>
      </c>
      <c r="AT304" t="s">
        <v>17</v>
      </c>
      <c r="AU304" s="4">
        <v>0</v>
      </c>
      <c r="AV304" s="4">
        <v>0</v>
      </c>
      <c r="AW304" s="4">
        <v>0</v>
      </c>
      <c r="AX304" s="4">
        <v>0</v>
      </c>
      <c r="AY304" s="5">
        <v>0</v>
      </c>
      <c r="AZ304" s="5">
        <v>0</v>
      </c>
      <c r="BA304" s="5">
        <v>0</v>
      </c>
      <c r="BB304" s="2"/>
      <c r="BC304" t="s">
        <v>0</v>
      </c>
      <c r="BD304" s="5">
        <v>1</v>
      </c>
      <c r="BE304" t="s">
        <v>0</v>
      </c>
      <c r="BF304" t="s">
        <v>319</v>
      </c>
      <c r="BG304" t="s">
        <v>17</v>
      </c>
      <c r="BH304" t="s">
        <v>0</v>
      </c>
      <c r="BI304" t="s">
        <v>11</v>
      </c>
      <c r="BJ304" t="s">
        <v>0</v>
      </c>
      <c r="BK304" t="s">
        <v>0</v>
      </c>
      <c r="BL304" s="5">
        <v>0</v>
      </c>
      <c r="BM304" t="s">
        <v>0</v>
      </c>
      <c r="BN304" t="s">
        <v>0</v>
      </c>
      <c r="BO304" t="s">
        <v>0</v>
      </c>
      <c r="BP304" t="s">
        <v>17</v>
      </c>
      <c r="BQ304" t="s">
        <v>0</v>
      </c>
      <c r="BR304" t="s">
        <v>17</v>
      </c>
      <c r="BS304" t="s">
        <v>17</v>
      </c>
      <c r="BT304" t="s">
        <v>0</v>
      </c>
      <c r="BU304" t="s">
        <v>0</v>
      </c>
      <c r="BV304" t="s">
        <v>0</v>
      </c>
      <c r="BW304" t="s">
        <v>0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</row>
    <row r="305" spans="1:80" ht="13.95" customHeight="1" x14ac:dyDescent="0.25">
      <c r="A305" t="s">
        <v>334</v>
      </c>
      <c r="B305" s="2">
        <v>45558</v>
      </c>
      <c r="C305" s="2">
        <v>45558</v>
      </c>
      <c r="D305" s="2">
        <v>45587</v>
      </c>
      <c r="E305" t="s">
        <v>2</v>
      </c>
      <c r="F305" t="s">
        <v>3</v>
      </c>
      <c r="G305" t="s">
        <v>0</v>
      </c>
      <c r="H305" t="s">
        <v>4</v>
      </c>
      <c r="I305" t="s">
        <v>314</v>
      </c>
      <c r="J305" t="s">
        <v>6</v>
      </c>
      <c r="K305" t="s">
        <v>26</v>
      </c>
      <c r="L305" t="s">
        <v>39</v>
      </c>
      <c r="M305" t="s">
        <v>62</v>
      </c>
      <c r="N305" t="s">
        <v>10</v>
      </c>
      <c r="O305" t="s">
        <v>0</v>
      </c>
      <c r="P305" t="s">
        <v>11</v>
      </c>
      <c r="Q305" s="3">
        <v>17.5</v>
      </c>
      <c r="R305" s="4">
        <v>48250</v>
      </c>
      <c r="S305" s="5">
        <v>1</v>
      </c>
      <c r="T305" s="4">
        <v>844375</v>
      </c>
      <c r="U305" s="5">
        <v>0</v>
      </c>
      <c r="V305" s="4">
        <v>0</v>
      </c>
      <c r="W305" s="5">
        <v>0</v>
      </c>
      <c r="X305" s="4">
        <v>0</v>
      </c>
      <c r="Y305" s="4">
        <f t="shared" si="8"/>
        <v>844375</v>
      </c>
      <c r="Z305" s="6" t="s">
        <v>0</v>
      </c>
      <c r="AA305" t="s">
        <v>2</v>
      </c>
      <c r="AB305" t="s">
        <v>12</v>
      </c>
      <c r="AC305">
        <f>_xlfn.XLOOKUP(AB305,'[1]GST Codes'!$A:$A,'[1]GST Codes'!$C:$C,0,0)</f>
        <v>18</v>
      </c>
      <c r="AD305">
        <f t="shared" si="9"/>
        <v>996362.5</v>
      </c>
      <c r="AE305" t="s">
        <v>13</v>
      </c>
      <c r="AF305" t="s">
        <v>0</v>
      </c>
      <c r="AG305" t="s">
        <v>14</v>
      </c>
      <c r="AH305" t="s">
        <v>15</v>
      </c>
      <c r="AI305" t="s">
        <v>16</v>
      </c>
      <c r="AJ305" t="s">
        <v>17</v>
      </c>
      <c r="AK305" t="s">
        <v>18</v>
      </c>
      <c r="AL305" t="s">
        <v>19</v>
      </c>
      <c r="AM305" t="s">
        <v>316</v>
      </c>
      <c r="AN305" t="s">
        <v>0</v>
      </c>
      <c r="AO305" t="s">
        <v>20</v>
      </c>
      <c r="AP305" t="s">
        <v>0</v>
      </c>
      <c r="AQ305" s="3">
        <v>17.5</v>
      </c>
      <c r="AR305" t="s">
        <v>11</v>
      </c>
      <c r="AS305" t="s">
        <v>0</v>
      </c>
      <c r="AT305" t="s">
        <v>17</v>
      </c>
      <c r="AU305" s="4">
        <v>0</v>
      </c>
      <c r="AV305" s="4">
        <v>0</v>
      </c>
      <c r="AW305" s="4">
        <v>0</v>
      </c>
      <c r="AX305" s="4">
        <v>0</v>
      </c>
      <c r="AY305" s="5">
        <v>0</v>
      </c>
      <c r="AZ305" s="5">
        <v>0</v>
      </c>
      <c r="BA305" s="5">
        <v>0</v>
      </c>
      <c r="BB305" s="2"/>
      <c r="BC305" t="s">
        <v>0</v>
      </c>
      <c r="BD305" s="5">
        <v>1</v>
      </c>
      <c r="BE305" t="s">
        <v>0</v>
      </c>
      <c r="BF305" t="s">
        <v>323</v>
      </c>
      <c r="BG305" t="s">
        <v>17</v>
      </c>
      <c r="BH305" t="s">
        <v>0</v>
      </c>
      <c r="BI305" t="s">
        <v>11</v>
      </c>
      <c r="BJ305" t="s">
        <v>0</v>
      </c>
      <c r="BK305" t="s">
        <v>0</v>
      </c>
      <c r="BL305" s="5">
        <v>0</v>
      </c>
      <c r="BM305" t="s">
        <v>0</v>
      </c>
      <c r="BN305" t="s">
        <v>0</v>
      </c>
      <c r="BO305" t="s">
        <v>0</v>
      </c>
      <c r="BP305" t="s">
        <v>17</v>
      </c>
      <c r="BQ305" t="s">
        <v>0</v>
      </c>
      <c r="BR305" t="s">
        <v>17</v>
      </c>
      <c r="BS305" t="s">
        <v>17</v>
      </c>
      <c r="BT305" t="s">
        <v>0</v>
      </c>
      <c r="BU305" t="s">
        <v>0</v>
      </c>
      <c r="BV305" t="s">
        <v>0</v>
      </c>
      <c r="BW305" t="s">
        <v>0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</row>
    <row r="306" spans="1:80" ht="13.95" customHeight="1" x14ac:dyDescent="0.25">
      <c r="A306" t="s">
        <v>334</v>
      </c>
      <c r="B306" s="2">
        <v>45558</v>
      </c>
      <c r="C306" s="2">
        <v>45558</v>
      </c>
      <c r="D306" s="2">
        <v>45587</v>
      </c>
      <c r="E306" t="s">
        <v>2</v>
      </c>
      <c r="F306" t="s">
        <v>3</v>
      </c>
      <c r="G306" t="s">
        <v>0</v>
      </c>
      <c r="H306" t="s">
        <v>4</v>
      </c>
      <c r="I306" t="s">
        <v>314</v>
      </c>
      <c r="J306" t="s">
        <v>6</v>
      </c>
      <c r="K306" t="s">
        <v>30</v>
      </c>
      <c r="L306" t="s">
        <v>43</v>
      </c>
      <c r="M306" t="s">
        <v>67</v>
      </c>
      <c r="N306" t="s">
        <v>10</v>
      </c>
      <c r="O306" t="s">
        <v>0</v>
      </c>
      <c r="P306" t="s">
        <v>11</v>
      </c>
      <c r="Q306" s="5">
        <v>20</v>
      </c>
      <c r="R306" s="4">
        <v>48250</v>
      </c>
      <c r="S306" s="5">
        <v>1</v>
      </c>
      <c r="T306" s="4">
        <v>965000</v>
      </c>
      <c r="U306" s="5">
        <v>0</v>
      </c>
      <c r="V306" s="4">
        <v>0</v>
      </c>
      <c r="W306" s="5">
        <v>0</v>
      </c>
      <c r="X306" s="4">
        <v>0</v>
      </c>
      <c r="Y306" s="4">
        <f t="shared" si="8"/>
        <v>965000</v>
      </c>
      <c r="Z306" s="6" t="s">
        <v>0</v>
      </c>
      <c r="AA306" t="s">
        <v>2</v>
      </c>
      <c r="AB306" t="s">
        <v>12</v>
      </c>
      <c r="AC306">
        <f>_xlfn.XLOOKUP(AB306,'[1]GST Codes'!$A:$A,'[1]GST Codes'!$C:$C,0,0)</f>
        <v>18</v>
      </c>
      <c r="AD306">
        <f t="shared" si="9"/>
        <v>1138700</v>
      </c>
      <c r="AE306" t="s">
        <v>13</v>
      </c>
      <c r="AF306" t="s">
        <v>0</v>
      </c>
      <c r="AG306" t="s">
        <v>14</v>
      </c>
      <c r="AH306" t="s">
        <v>15</v>
      </c>
      <c r="AI306" t="s">
        <v>16</v>
      </c>
      <c r="AJ306" t="s">
        <v>17</v>
      </c>
      <c r="AK306" t="s">
        <v>18</v>
      </c>
      <c r="AL306" t="s">
        <v>19</v>
      </c>
      <c r="AM306" t="s">
        <v>316</v>
      </c>
      <c r="AN306" t="s">
        <v>0</v>
      </c>
      <c r="AO306" t="s">
        <v>20</v>
      </c>
      <c r="AP306" t="s">
        <v>0</v>
      </c>
      <c r="AQ306" s="5">
        <v>20</v>
      </c>
      <c r="AR306" t="s">
        <v>11</v>
      </c>
      <c r="AS306" t="s">
        <v>0</v>
      </c>
      <c r="AT306" t="s">
        <v>17</v>
      </c>
      <c r="AU306" s="4">
        <v>0</v>
      </c>
      <c r="AV306" s="4">
        <v>0</v>
      </c>
      <c r="AW306" s="4">
        <v>0</v>
      </c>
      <c r="AX306" s="4">
        <v>0</v>
      </c>
      <c r="AY306" s="5">
        <v>0</v>
      </c>
      <c r="AZ306" s="5">
        <v>0</v>
      </c>
      <c r="BA306" s="5">
        <v>0</v>
      </c>
      <c r="BB306" s="2"/>
      <c r="BC306" t="s">
        <v>0</v>
      </c>
      <c r="BD306" s="5">
        <v>1</v>
      </c>
      <c r="BE306" t="s">
        <v>0</v>
      </c>
      <c r="BF306" t="s">
        <v>325</v>
      </c>
      <c r="BG306" t="s">
        <v>17</v>
      </c>
      <c r="BH306" t="s">
        <v>0</v>
      </c>
      <c r="BI306" t="s">
        <v>11</v>
      </c>
      <c r="BJ306" t="s">
        <v>0</v>
      </c>
      <c r="BK306" t="s">
        <v>0</v>
      </c>
      <c r="BL306" s="5">
        <v>0</v>
      </c>
      <c r="BM306" t="s">
        <v>0</v>
      </c>
      <c r="BN306" t="s">
        <v>0</v>
      </c>
      <c r="BO306" t="s">
        <v>0</v>
      </c>
      <c r="BP306" t="s">
        <v>17</v>
      </c>
      <c r="BQ306" t="s">
        <v>0</v>
      </c>
      <c r="BR306" t="s">
        <v>17</v>
      </c>
      <c r="BS306" t="s">
        <v>17</v>
      </c>
      <c r="BT306" t="s">
        <v>0</v>
      </c>
      <c r="BU306" t="s">
        <v>0</v>
      </c>
      <c r="BV306" t="s">
        <v>0</v>
      </c>
      <c r="BW306" t="s">
        <v>0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</row>
    <row r="307" spans="1:80" ht="13.95" customHeight="1" x14ac:dyDescent="0.25">
      <c r="A307" t="s">
        <v>334</v>
      </c>
      <c r="B307" s="2">
        <v>45558</v>
      </c>
      <c r="C307" s="2">
        <v>45558</v>
      </c>
      <c r="D307" s="2">
        <v>45587</v>
      </c>
      <c r="E307" t="s">
        <v>2</v>
      </c>
      <c r="F307" t="s">
        <v>3</v>
      </c>
      <c r="G307" t="s">
        <v>0</v>
      </c>
      <c r="H307" t="s">
        <v>4</v>
      </c>
      <c r="I307" t="s">
        <v>314</v>
      </c>
      <c r="J307" t="s">
        <v>6</v>
      </c>
      <c r="K307" t="s">
        <v>34</v>
      </c>
      <c r="L307" t="s">
        <v>70</v>
      </c>
      <c r="M307" t="s">
        <v>56</v>
      </c>
      <c r="N307" t="s">
        <v>10</v>
      </c>
      <c r="O307" t="s">
        <v>0</v>
      </c>
      <c r="P307" t="s">
        <v>11</v>
      </c>
      <c r="Q307" s="3">
        <v>17.5</v>
      </c>
      <c r="R307" s="4">
        <v>50250</v>
      </c>
      <c r="S307" s="5">
        <v>1</v>
      </c>
      <c r="T307" s="4">
        <v>879375</v>
      </c>
      <c r="U307" s="5">
        <v>0</v>
      </c>
      <c r="V307" s="4">
        <v>0</v>
      </c>
      <c r="W307" s="5">
        <v>0</v>
      </c>
      <c r="X307" s="4">
        <v>0</v>
      </c>
      <c r="Y307" s="4">
        <f t="shared" si="8"/>
        <v>879375</v>
      </c>
      <c r="Z307" s="6" t="s">
        <v>0</v>
      </c>
      <c r="AA307" t="s">
        <v>2</v>
      </c>
      <c r="AB307" t="s">
        <v>12</v>
      </c>
      <c r="AC307">
        <f>_xlfn.XLOOKUP(AB307,'[1]GST Codes'!$A:$A,'[1]GST Codes'!$C:$C,0,0)</f>
        <v>18</v>
      </c>
      <c r="AD307">
        <f t="shared" si="9"/>
        <v>1037662.5</v>
      </c>
      <c r="AE307" t="s">
        <v>13</v>
      </c>
      <c r="AF307" t="s">
        <v>0</v>
      </c>
      <c r="AG307" t="s">
        <v>14</v>
      </c>
      <c r="AH307" t="s">
        <v>15</v>
      </c>
      <c r="AI307" t="s">
        <v>16</v>
      </c>
      <c r="AJ307" t="s">
        <v>17</v>
      </c>
      <c r="AK307" t="s">
        <v>18</v>
      </c>
      <c r="AL307" t="s">
        <v>19</v>
      </c>
      <c r="AM307" t="s">
        <v>316</v>
      </c>
      <c r="AN307" t="s">
        <v>0</v>
      </c>
      <c r="AO307" t="s">
        <v>20</v>
      </c>
      <c r="AP307" t="s">
        <v>0</v>
      </c>
      <c r="AQ307" s="3">
        <v>17.5</v>
      </c>
      <c r="AR307" t="s">
        <v>11</v>
      </c>
      <c r="AS307" t="s">
        <v>0</v>
      </c>
      <c r="AT307" t="s">
        <v>17</v>
      </c>
      <c r="AU307" s="4">
        <v>0</v>
      </c>
      <c r="AV307" s="4">
        <v>0</v>
      </c>
      <c r="AW307" s="4">
        <v>0</v>
      </c>
      <c r="AX307" s="4">
        <v>0</v>
      </c>
      <c r="AY307" s="5">
        <v>0</v>
      </c>
      <c r="AZ307" s="5">
        <v>0</v>
      </c>
      <c r="BA307" s="5">
        <v>0</v>
      </c>
      <c r="BB307" s="2"/>
      <c r="BC307" t="s">
        <v>0</v>
      </c>
      <c r="BD307" s="5">
        <v>1</v>
      </c>
      <c r="BE307" t="s">
        <v>0</v>
      </c>
      <c r="BF307" t="s">
        <v>317</v>
      </c>
      <c r="BG307" t="s">
        <v>17</v>
      </c>
      <c r="BH307" t="s">
        <v>0</v>
      </c>
      <c r="BI307" t="s">
        <v>11</v>
      </c>
      <c r="BJ307" t="s">
        <v>0</v>
      </c>
      <c r="BK307" t="s">
        <v>0</v>
      </c>
      <c r="BL307" s="5">
        <v>0</v>
      </c>
      <c r="BM307" t="s">
        <v>0</v>
      </c>
      <c r="BN307" t="s">
        <v>0</v>
      </c>
      <c r="BO307" t="s">
        <v>0</v>
      </c>
      <c r="BP307" t="s">
        <v>17</v>
      </c>
      <c r="BQ307" t="s">
        <v>0</v>
      </c>
      <c r="BR307" t="s">
        <v>17</v>
      </c>
      <c r="BS307" t="s">
        <v>17</v>
      </c>
      <c r="BT307" t="s">
        <v>0</v>
      </c>
      <c r="BU307" t="s">
        <v>0</v>
      </c>
      <c r="BV307" t="s">
        <v>0</v>
      </c>
      <c r="BW307" t="s">
        <v>0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</row>
    <row r="308" spans="1:80" ht="13.95" customHeight="1" x14ac:dyDescent="0.25">
      <c r="A308" t="s">
        <v>334</v>
      </c>
      <c r="B308" s="2">
        <v>45558</v>
      </c>
      <c r="C308" s="2">
        <v>45558</v>
      </c>
      <c r="D308" s="2">
        <v>45587</v>
      </c>
      <c r="E308" t="s">
        <v>2</v>
      </c>
      <c r="F308" t="s">
        <v>3</v>
      </c>
      <c r="G308" t="s">
        <v>0</v>
      </c>
      <c r="H308" t="s">
        <v>4</v>
      </c>
      <c r="I308" t="s">
        <v>314</v>
      </c>
      <c r="J308" t="s">
        <v>6</v>
      </c>
      <c r="K308" t="s">
        <v>38</v>
      </c>
      <c r="L308" t="s">
        <v>35</v>
      </c>
      <c r="M308" t="s">
        <v>335</v>
      </c>
      <c r="N308" t="s">
        <v>10</v>
      </c>
      <c r="O308" t="s">
        <v>0</v>
      </c>
      <c r="P308" t="s">
        <v>11</v>
      </c>
      <c r="Q308" s="5">
        <v>70</v>
      </c>
      <c r="R308" s="4">
        <v>49000</v>
      </c>
      <c r="S308" s="5">
        <v>1</v>
      </c>
      <c r="T308" s="4">
        <v>3430000</v>
      </c>
      <c r="U308" s="5">
        <v>0</v>
      </c>
      <c r="V308" s="4">
        <v>0</v>
      </c>
      <c r="W308" s="5">
        <v>0</v>
      </c>
      <c r="X308" s="4">
        <v>0</v>
      </c>
      <c r="Y308" s="4">
        <f t="shared" si="8"/>
        <v>3430000</v>
      </c>
      <c r="Z308" s="6" t="s">
        <v>0</v>
      </c>
      <c r="AA308" t="s">
        <v>2</v>
      </c>
      <c r="AB308" t="s">
        <v>12</v>
      </c>
      <c r="AC308">
        <f>_xlfn.XLOOKUP(AB308,'[1]GST Codes'!$A:$A,'[1]GST Codes'!$C:$C,0,0)</f>
        <v>18</v>
      </c>
      <c r="AD308">
        <f t="shared" si="9"/>
        <v>4047400</v>
      </c>
      <c r="AE308" t="s">
        <v>13</v>
      </c>
      <c r="AF308" t="s">
        <v>0</v>
      </c>
      <c r="AG308" t="s">
        <v>14</v>
      </c>
      <c r="AH308" t="s">
        <v>15</v>
      </c>
      <c r="AI308" t="s">
        <v>16</v>
      </c>
      <c r="AJ308" t="s">
        <v>17</v>
      </c>
      <c r="AK308" t="s">
        <v>18</v>
      </c>
      <c r="AL308" t="s">
        <v>19</v>
      </c>
      <c r="AM308" t="s">
        <v>316</v>
      </c>
      <c r="AN308" t="s">
        <v>0</v>
      </c>
      <c r="AO308" t="s">
        <v>20</v>
      </c>
      <c r="AP308" t="s">
        <v>0</v>
      </c>
      <c r="AQ308" s="5">
        <v>70</v>
      </c>
      <c r="AR308" t="s">
        <v>11</v>
      </c>
      <c r="AS308" t="s">
        <v>0</v>
      </c>
      <c r="AT308" t="s">
        <v>17</v>
      </c>
      <c r="AU308" s="4">
        <v>0</v>
      </c>
      <c r="AV308" s="4">
        <v>0</v>
      </c>
      <c r="AW308" s="4">
        <v>0</v>
      </c>
      <c r="AX308" s="4">
        <v>0</v>
      </c>
      <c r="AY308" s="5">
        <v>0</v>
      </c>
      <c r="AZ308" s="5">
        <v>0</v>
      </c>
      <c r="BA308" s="5">
        <v>0</v>
      </c>
      <c r="BB308" s="2"/>
      <c r="BC308" t="s">
        <v>0</v>
      </c>
      <c r="BD308" s="5">
        <v>1</v>
      </c>
      <c r="BE308" t="s">
        <v>0</v>
      </c>
      <c r="BF308" t="s">
        <v>319</v>
      </c>
      <c r="BG308" t="s">
        <v>17</v>
      </c>
      <c r="BH308" t="s">
        <v>0</v>
      </c>
      <c r="BI308" t="s">
        <v>11</v>
      </c>
      <c r="BJ308" t="s">
        <v>0</v>
      </c>
      <c r="BK308" t="s">
        <v>0</v>
      </c>
      <c r="BL308" s="5">
        <v>0</v>
      </c>
      <c r="BM308" t="s">
        <v>0</v>
      </c>
      <c r="BN308" t="s">
        <v>0</v>
      </c>
      <c r="BO308" t="s">
        <v>0</v>
      </c>
      <c r="BP308" t="s">
        <v>17</v>
      </c>
      <c r="BQ308" t="s">
        <v>0</v>
      </c>
      <c r="BR308" t="s">
        <v>17</v>
      </c>
      <c r="BS308" t="s">
        <v>17</v>
      </c>
      <c r="BT308" t="s">
        <v>0</v>
      </c>
      <c r="BU308" t="s">
        <v>0</v>
      </c>
      <c r="BV308" t="s">
        <v>0</v>
      </c>
      <c r="BW308" t="s">
        <v>0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</row>
    <row r="309" spans="1:80" ht="13.95" customHeight="1" x14ac:dyDescent="0.25">
      <c r="A309" t="s">
        <v>334</v>
      </c>
      <c r="B309" s="2">
        <v>45558</v>
      </c>
      <c r="C309" s="2">
        <v>45558</v>
      </c>
      <c r="D309" s="2">
        <v>45587</v>
      </c>
      <c r="E309" t="s">
        <v>2</v>
      </c>
      <c r="F309" t="s">
        <v>3</v>
      </c>
      <c r="G309" t="s">
        <v>0</v>
      </c>
      <c r="H309" t="s">
        <v>4</v>
      </c>
      <c r="I309" t="s">
        <v>314</v>
      </c>
      <c r="J309" t="s">
        <v>6</v>
      </c>
      <c r="K309" t="s">
        <v>42</v>
      </c>
      <c r="L309" t="s">
        <v>39</v>
      </c>
      <c r="M309" t="s">
        <v>62</v>
      </c>
      <c r="N309" t="s">
        <v>10</v>
      </c>
      <c r="O309" t="s">
        <v>0</v>
      </c>
      <c r="P309" t="s">
        <v>11</v>
      </c>
      <c r="Q309" s="3">
        <v>17.5</v>
      </c>
      <c r="R309" s="4">
        <v>48250</v>
      </c>
      <c r="S309" s="5">
        <v>1</v>
      </c>
      <c r="T309" s="4">
        <v>844375</v>
      </c>
      <c r="U309" s="5">
        <v>0</v>
      </c>
      <c r="V309" s="4">
        <v>0</v>
      </c>
      <c r="W309" s="5">
        <v>0</v>
      </c>
      <c r="X309" s="4">
        <v>0</v>
      </c>
      <c r="Y309" s="4">
        <f t="shared" si="8"/>
        <v>844375</v>
      </c>
      <c r="Z309" s="6" t="s">
        <v>0</v>
      </c>
      <c r="AA309" t="s">
        <v>2</v>
      </c>
      <c r="AB309" t="s">
        <v>12</v>
      </c>
      <c r="AC309">
        <f>_xlfn.XLOOKUP(AB309,'[1]GST Codes'!$A:$A,'[1]GST Codes'!$C:$C,0,0)</f>
        <v>18</v>
      </c>
      <c r="AD309">
        <f t="shared" si="9"/>
        <v>996362.5</v>
      </c>
      <c r="AE309" t="s">
        <v>13</v>
      </c>
      <c r="AF309" t="s">
        <v>0</v>
      </c>
      <c r="AG309" t="s">
        <v>14</v>
      </c>
      <c r="AH309" t="s">
        <v>15</v>
      </c>
      <c r="AI309" t="s">
        <v>16</v>
      </c>
      <c r="AJ309" t="s">
        <v>17</v>
      </c>
      <c r="AK309" t="s">
        <v>18</v>
      </c>
      <c r="AL309" t="s">
        <v>19</v>
      </c>
      <c r="AM309" t="s">
        <v>316</v>
      </c>
      <c r="AN309" t="s">
        <v>0</v>
      </c>
      <c r="AO309" t="s">
        <v>20</v>
      </c>
      <c r="AP309" t="s">
        <v>0</v>
      </c>
      <c r="AQ309" s="3">
        <v>17.5</v>
      </c>
      <c r="AR309" t="s">
        <v>11</v>
      </c>
      <c r="AS309" t="s">
        <v>0</v>
      </c>
      <c r="AT309" t="s">
        <v>17</v>
      </c>
      <c r="AU309" s="4">
        <v>0</v>
      </c>
      <c r="AV309" s="4">
        <v>0</v>
      </c>
      <c r="AW309" s="4">
        <v>0</v>
      </c>
      <c r="AX309" s="4">
        <v>0</v>
      </c>
      <c r="AY309" s="5">
        <v>0</v>
      </c>
      <c r="AZ309" s="5">
        <v>0</v>
      </c>
      <c r="BA309" s="5">
        <v>0</v>
      </c>
      <c r="BB309" s="2"/>
      <c r="BC309" t="s">
        <v>0</v>
      </c>
      <c r="BD309" s="5">
        <v>1</v>
      </c>
      <c r="BE309" t="s">
        <v>0</v>
      </c>
      <c r="BF309" t="s">
        <v>323</v>
      </c>
      <c r="BG309" t="s">
        <v>17</v>
      </c>
      <c r="BH309" t="s">
        <v>0</v>
      </c>
      <c r="BI309" t="s">
        <v>11</v>
      </c>
      <c r="BJ309" t="s">
        <v>0</v>
      </c>
      <c r="BK309" t="s">
        <v>0</v>
      </c>
      <c r="BL309" s="5">
        <v>0</v>
      </c>
      <c r="BM309" t="s">
        <v>0</v>
      </c>
      <c r="BN309" t="s">
        <v>0</v>
      </c>
      <c r="BO309" t="s">
        <v>0</v>
      </c>
      <c r="BP309" t="s">
        <v>17</v>
      </c>
      <c r="BQ309" t="s">
        <v>0</v>
      </c>
      <c r="BR309" t="s">
        <v>17</v>
      </c>
      <c r="BS309" t="s">
        <v>17</v>
      </c>
      <c r="BT309" t="s">
        <v>0</v>
      </c>
      <c r="BU309" t="s">
        <v>0</v>
      </c>
      <c r="BV309" t="s">
        <v>0</v>
      </c>
      <c r="BW309" t="s">
        <v>0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</row>
    <row r="310" spans="1:80" ht="13.95" customHeight="1" x14ac:dyDescent="0.25">
      <c r="A310" t="s">
        <v>334</v>
      </c>
      <c r="B310" s="2">
        <v>45558</v>
      </c>
      <c r="C310" s="2">
        <v>45558</v>
      </c>
      <c r="D310" s="2">
        <v>45587</v>
      </c>
      <c r="E310" t="s">
        <v>2</v>
      </c>
      <c r="F310" t="s">
        <v>3</v>
      </c>
      <c r="G310" t="s">
        <v>0</v>
      </c>
      <c r="H310" t="s">
        <v>4</v>
      </c>
      <c r="I310" t="s">
        <v>314</v>
      </c>
      <c r="J310" t="s">
        <v>6</v>
      </c>
      <c r="K310" t="s">
        <v>86</v>
      </c>
      <c r="L310" t="s">
        <v>43</v>
      </c>
      <c r="M310" t="s">
        <v>67</v>
      </c>
      <c r="N310" t="s">
        <v>10</v>
      </c>
      <c r="O310" t="s">
        <v>0</v>
      </c>
      <c r="P310" t="s">
        <v>11</v>
      </c>
      <c r="Q310" s="5">
        <v>20</v>
      </c>
      <c r="R310" s="4">
        <v>48250</v>
      </c>
      <c r="S310" s="5">
        <v>1</v>
      </c>
      <c r="T310" s="4">
        <v>965000</v>
      </c>
      <c r="U310" s="5">
        <v>0</v>
      </c>
      <c r="V310" s="4">
        <v>0</v>
      </c>
      <c r="W310" s="5">
        <v>0</v>
      </c>
      <c r="X310" s="4">
        <v>0</v>
      </c>
      <c r="Y310" s="4">
        <f t="shared" si="8"/>
        <v>965000</v>
      </c>
      <c r="Z310" s="6" t="s">
        <v>0</v>
      </c>
      <c r="AA310" t="s">
        <v>2</v>
      </c>
      <c r="AB310" t="s">
        <v>12</v>
      </c>
      <c r="AC310">
        <f>_xlfn.XLOOKUP(AB310,'[1]GST Codes'!$A:$A,'[1]GST Codes'!$C:$C,0,0)</f>
        <v>18</v>
      </c>
      <c r="AD310">
        <f t="shared" si="9"/>
        <v>1138700</v>
      </c>
      <c r="AE310" t="s">
        <v>13</v>
      </c>
      <c r="AF310" t="s">
        <v>0</v>
      </c>
      <c r="AG310" t="s">
        <v>14</v>
      </c>
      <c r="AH310" t="s">
        <v>15</v>
      </c>
      <c r="AI310" t="s">
        <v>16</v>
      </c>
      <c r="AJ310" t="s">
        <v>17</v>
      </c>
      <c r="AK310" t="s">
        <v>18</v>
      </c>
      <c r="AL310" t="s">
        <v>19</v>
      </c>
      <c r="AM310" t="s">
        <v>316</v>
      </c>
      <c r="AN310" t="s">
        <v>0</v>
      </c>
      <c r="AO310" t="s">
        <v>20</v>
      </c>
      <c r="AP310" t="s">
        <v>0</v>
      </c>
      <c r="AQ310" s="5">
        <v>20</v>
      </c>
      <c r="AR310" t="s">
        <v>11</v>
      </c>
      <c r="AS310" t="s">
        <v>0</v>
      </c>
      <c r="AT310" t="s">
        <v>17</v>
      </c>
      <c r="AU310" s="4">
        <v>0</v>
      </c>
      <c r="AV310" s="4">
        <v>0</v>
      </c>
      <c r="AW310" s="4">
        <v>0</v>
      </c>
      <c r="AX310" s="4">
        <v>0</v>
      </c>
      <c r="AY310" s="5">
        <v>0</v>
      </c>
      <c r="AZ310" s="5">
        <v>0</v>
      </c>
      <c r="BA310" s="5">
        <v>0</v>
      </c>
      <c r="BB310" s="2"/>
      <c r="BC310" t="s">
        <v>0</v>
      </c>
      <c r="BD310" s="5">
        <v>1</v>
      </c>
      <c r="BE310" t="s">
        <v>0</v>
      </c>
      <c r="BF310" t="s">
        <v>325</v>
      </c>
      <c r="BG310" t="s">
        <v>17</v>
      </c>
      <c r="BH310" t="s">
        <v>0</v>
      </c>
      <c r="BI310" t="s">
        <v>11</v>
      </c>
      <c r="BJ310" t="s">
        <v>0</v>
      </c>
      <c r="BK310" t="s">
        <v>0</v>
      </c>
      <c r="BL310" s="5">
        <v>0</v>
      </c>
      <c r="BM310" t="s">
        <v>0</v>
      </c>
      <c r="BN310" t="s">
        <v>0</v>
      </c>
      <c r="BO310" t="s">
        <v>0</v>
      </c>
      <c r="BP310" t="s">
        <v>17</v>
      </c>
      <c r="BQ310" t="s">
        <v>0</v>
      </c>
      <c r="BR310" t="s">
        <v>17</v>
      </c>
      <c r="BS310" t="s">
        <v>17</v>
      </c>
      <c r="BT310" t="s">
        <v>0</v>
      </c>
      <c r="BU310" t="s">
        <v>0</v>
      </c>
      <c r="BV310" t="s">
        <v>0</v>
      </c>
      <c r="BW310" t="s">
        <v>0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</row>
    <row r="311" spans="1:80" ht="13.95" customHeight="1" x14ac:dyDescent="0.25">
      <c r="A311" t="s">
        <v>336</v>
      </c>
      <c r="B311" s="2">
        <v>45576</v>
      </c>
      <c r="C311" s="2">
        <v>45576</v>
      </c>
      <c r="D311" s="2">
        <v>45607</v>
      </c>
      <c r="E311" t="s">
        <v>2</v>
      </c>
      <c r="F311" t="s">
        <v>3</v>
      </c>
      <c r="G311" t="s">
        <v>0</v>
      </c>
      <c r="H311" t="s">
        <v>4</v>
      </c>
      <c r="I311" t="s">
        <v>314</v>
      </c>
      <c r="J311" t="s">
        <v>6</v>
      </c>
      <c r="K311" t="s">
        <v>7</v>
      </c>
      <c r="L311" t="s">
        <v>35</v>
      </c>
      <c r="M311" t="s">
        <v>335</v>
      </c>
      <c r="N311" t="s">
        <v>10</v>
      </c>
      <c r="O311" t="s">
        <v>0</v>
      </c>
      <c r="P311" t="s">
        <v>11</v>
      </c>
      <c r="Q311" s="5">
        <v>74</v>
      </c>
      <c r="R311" s="4">
        <v>54250</v>
      </c>
      <c r="S311" s="5">
        <v>1</v>
      </c>
      <c r="T311" s="4">
        <v>4014500</v>
      </c>
      <c r="U311" s="5">
        <v>0</v>
      </c>
      <c r="V311" s="4">
        <v>0</v>
      </c>
      <c r="W311" s="5">
        <v>0</v>
      </c>
      <c r="X311" s="4">
        <v>0</v>
      </c>
      <c r="Y311" s="4">
        <f t="shared" si="8"/>
        <v>4014500</v>
      </c>
      <c r="Z311" s="6" t="s">
        <v>0</v>
      </c>
      <c r="AA311" t="s">
        <v>2</v>
      </c>
      <c r="AB311" t="s">
        <v>12</v>
      </c>
      <c r="AC311">
        <f>_xlfn.XLOOKUP(AB311,'[1]GST Codes'!$A:$A,'[1]GST Codes'!$C:$C,0,0)</f>
        <v>18</v>
      </c>
      <c r="AD311">
        <f t="shared" si="9"/>
        <v>4737110</v>
      </c>
      <c r="AE311" t="s">
        <v>13</v>
      </c>
      <c r="AF311" t="s">
        <v>0</v>
      </c>
      <c r="AG311" t="s">
        <v>14</v>
      </c>
      <c r="AH311" t="s">
        <v>15</v>
      </c>
      <c r="AI311" t="s">
        <v>16</v>
      </c>
      <c r="AJ311" t="s">
        <v>17</v>
      </c>
      <c r="AK311" t="s">
        <v>18</v>
      </c>
      <c r="AL311" t="s">
        <v>19</v>
      </c>
      <c r="AM311" t="s">
        <v>316</v>
      </c>
      <c r="AN311" t="s">
        <v>0</v>
      </c>
      <c r="AO311" t="s">
        <v>20</v>
      </c>
      <c r="AP311" t="s">
        <v>0</v>
      </c>
      <c r="AQ311" s="5">
        <v>74</v>
      </c>
      <c r="AR311" t="s">
        <v>11</v>
      </c>
      <c r="AS311" t="s">
        <v>0</v>
      </c>
      <c r="AT311" t="s">
        <v>17</v>
      </c>
      <c r="AU311" s="4">
        <v>0</v>
      </c>
      <c r="AV311" s="4">
        <v>0</v>
      </c>
      <c r="AW311" s="4">
        <v>0</v>
      </c>
      <c r="AX311" s="4">
        <v>0</v>
      </c>
      <c r="AY311" s="5">
        <v>0</v>
      </c>
      <c r="AZ311" s="5">
        <v>0</v>
      </c>
      <c r="BA311" s="5">
        <v>0</v>
      </c>
      <c r="BB311" s="2"/>
      <c r="BC311" t="s">
        <v>0</v>
      </c>
      <c r="BD311" s="5">
        <v>1</v>
      </c>
      <c r="BE311" t="s">
        <v>0</v>
      </c>
      <c r="BF311" t="s">
        <v>319</v>
      </c>
      <c r="BG311" t="s">
        <v>17</v>
      </c>
      <c r="BH311" t="s">
        <v>0</v>
      </c>
      <c r="BI311" t="s">
        <v>11</v>
      </c>
      <c r="BJ311" t="s">
        <v>0</v>
      </c>
      <c r="BK311" t="s">
        <v>0</v>
      </c>
      <c r="BL311" s="5">
        <v>0</v>
      </c>
      <c r="BM311" t="s">
        <v>0</v>
      </c>
      <c r="BN311" t="s">
        <v>0</v>
      </c>
      <c r="BO311" t="s">
        <v>0</v>
      </c>
      <c r="BP311" t="s">
        <v>17</v>
      </c>
      <c r="BQ311" t="s">
        <v>0</v>
      </c>
      <c r="BR311" t="s">
        <v>17</v>
      </c>
      <c r="BS311" t="s">
        <v>17</v>
      </c>
      <c r="BT311" t="s">
        <v>0</v>
      </c>
      <c r="BU311" t="s">
        <v>0</v>
      </c>
      <c r="BV311" t="s">
        <v>0</v>
      </c>
      <c r="BW311" t="s">
        <v>0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</row>
    <row r="312" spans="1:80" ht="13.95" customHeight="1" x14ac:dyDescent="0.25">
      <c r="A312" t="s">
        <v>336</v>
      </c>
      <c r="B312" s="2">
        <v>45576</v>
      </c>
      <c r="C312" s="2">
        <v>45576</v>
      </c>
      <c r="D312" s="2">
        <v>45607</v>
      </c>
      <c r="E312" t="s">
        <v>2</v>
      </c>
      <c r="F312" t="s">
        <v>3</v>
      </c>
      <c r="G312" t="s">
        <v>0</v>
      </c>
      <c r="H312" t="s">
        <v>4</v>
      </c>
      <c r="I312" t="s">
        <v>314</v>
      </c>
      <c r="J312" t="s">
        <v>6</v>
      </c>
      <c r="K312" t="s">
        <v>22</v>
      </c>
      <c r="L312" t="s">
        <v>35</v>
      </c>
      <c r="M312" t="s">
        <v>335</v>
      </c>
      <c r="N312" t="s">
        <v>10</v>
      </c>
      <c r="O312" t="s">
        <v>0</v>
      </c>
      <c r="P312" t="s">
        <v>11</v>
      </c>
      <c r="Q312" s="5">
        <v>74</v>
      </c>
      <c r="R312" s="4">
        <v>54250</v>
      </c>
      <c r="S312" s="5">
        <v>1</v>
      </c>
      <c r="T312" s="4">
        <v>4014500</v>
      </c>
      <c r="U312" s="5">
        <v>0</v>
      </c>
      <c r="V312" s="4">
        <v>0</v>
      </c>
      <c r="W312" s="5">
        <v>0</v>
      </c>
      <c r="X312" s="4">
        <v>0</v>
      </c>
      <c r="Y312" s="4">
        <f t="shared" si="8"/>
        <v>4014500</v>
      </c>
      <c r="Z312" s="6" t="s">
        <v>0</v>
      </c>
      <c r="AA312" t="s">
        <v>2</v>
      </c>
      <c r="AB312" t="s">
        <v>12</v>
      </c>
      <c r="AC312">
        <f>_xlfn.XLOOKUP(AB312,'[1]GST Codes'!$A:$A,'[1]GST Codes'!$C:$C,0,0)</f>
        <v>18</v>
      </c>
      <c r="AD312">
        <f t="shared" si="9"/>
        <v>4737110</v>
      </c>
      <c r="AE312" t="s">
        <v>13</v>
      </c>
      <c r="AF312" t="s">
        <v>0</v>
      </c>
      <c r="AG312" t="s">
        <v>14</v>
      </c>
      <c r="AH312" t="s">
        <v>15</v>
      </c>
      <c r="AI312" t="s">
        <v>16</v>
      </c>
      <c r="AJ312" t="s">
        <v>17</v>
      </c>
      <c r="AK312" t="s">
        <v>18</v>
      </c>
      <c r="AL312" t="s">
        <v>19</v>
      </c>
      <c r="AM312" t="s">
        <v>316</v>
      </c>
      <c r="AN312" t="s">
        <v>0</v>
      </c>
      <c r="AO312" t="s">
        <v>20</v>
      </c>
      <c r="AP312" t="s">
        <v>0</v>
      </c>
      <c r="AQ312" s="5">
        <v>74</v>
      </c>
      <c r="AR312" t="s">
        <v>11</v>
      </c>
      <c r="AS312" t="s">
        <v>0</v>
      </c>
      <c r="AT312" t="s">
        <v>17</v>
      </c>
      <c r="AU312" s="4">
        <v>0</v>
      </c>
      <c r="AV312" s="4">
        <v>0</v>
      </c>
      <c r="AW312" s="4">
        <v>0</v>
      </c>
      <c r="AX312" s="4">
        <v>0</v>
      </c>
      <c r="AY312" s="5">
        <v>0</v>
      </c>
      <c r="AZ312" s="5">
        <v>0</v>
      </c>
      <c r="BA312" s="5">
        <v>0</v>
      </c>
      <c r="BB312" s="2"/>
      <c r="BC312" t="s">
        <v>0</v>
      </c>
      <c r="BD312" s="5">
        <v>1</v>
      </c>
      <c r="BE312" t="s">
        <v>0</v>
      </c>
      <c r="BF312" t="s">
        <v>319</v>
      </c>
      <c r="BG312" t="s">
        <v>17</v>
      </c>
      <c r="BH312" t="s">
        <v>0</v>
      </c>
      <c r="BI312" t="s">
        <v>11</v>
      </c>
      <c r="BJ312" t="s">
        <v>0</v>
      </c>
      <c r="BK312" t="s">
        <v>0</v>
      </c>
      <c r="BL312" s="5">
        <v>0</v>
      </c>
      <c r="BM312" t="s">
        <v>0</v>
      </c>
      <c r="BN312" t="s">
        <v>0</v>
      </c>
      <c r="BO312" t="s">
        <v>0</v>
      </c>
      <c r="BP312" t="s">
        <v>17</v>
      </c>
      <c r="BQ312" t="s">
        <v>0</v>
      </c>
      <c r="BR312" t="s">
        <v>17</v>
      </c>
      <c r="BS312" t="s">
        <v>17</v>
      </c>
      <c r="BT312" t="s">
        <v>0</v>
      </c>
      <c r="BU312" t="s">
        <v>0</v>
      </c>
      <c r="BV312" t="s">
        <v>0</v>
      </c>
      <c r="BW312" t="s">
        <v>0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</row>
    <row r="313" spans="1:80" ht="13.95" customHeight="1" x14ac:dyDescent="0.25">
      <c r="A313" t="s">
        <v>336</v>
      </c>
      <c r="B313" s="2">
        <v>45576</v>
      </c>
      <c r="C313" s="2">
        <v>45576</v>
      </c>
      <c r="D313" s="2">
        <v>45607</v>
      </c>
      <c r="E313" t="s">
        <v>2</v>
      </c>
      <c r="F313" t="s">
        <v>3</v>
      </c>
      <c r="G313" t="s">
        <v>0</v>
      </c>
      <c r="H313" t="s">
        <v>4</v>
      </c>
      <c r="I313" t="s">
        <v>314</v>
      </c>
      <c r="J313" t="s">
        <v>6</v>
      </c>
      <c r="K313" t="s">
        <v>26</v>
      </c>
      <c r="L313" t="s">
        <v>35</v>
      </c>
      <c r="M313" t="s">
        <v>335</v>
      </c>
      <c r="N313" t="s">
        <v>10</v>
      </c>
      <c r="O313" t="s">
        <v>0</v>
      </c>
      <c r="P313" t="s">
        <v>11</v>
      </c>
      <c r="Q313" s="5">
        <v>57</v>
      </c>
      <c r="R313" s="4">
        <v>54250</v>
      </c>
      <c r="S313" s="5">
        <v>1</v>
      </c>
      <c r="T313" s="4">
        <v>3092250</v>
      </c>
      <c r="U313" s="3">
        <v>10.632</v>
      </c>
      <c r="V313" s="4">
        <v>576786</v>
      </c>
      <c r="W313" s="3">
        <v>10.632</v>
      </c>
      <c r="X313" s="4">
        <v>576786</v>
      </c>
      <c r="Y313" s="4">
        <f t="shared" si="8"/>
        <v>2515464</v>
      </c>
      <c r="Z313" s="6" t="s">
        <v>0</v>
      </c>
      <c r="AA313" t="s">
        <v>2</v>
      </c>
      <c r="AB313" t="s">
        <v>12</v>
      </c>
      <c r="AC313">
        <f>_xlfn.XLOOKUP(AB313,'[1]GST Codes'!$A:$A,'[1]GST Codes'!$C:$C,0,0)</f>
        <v>18</v>
      </c>
      <c r="AD313">
        <f t="shared" si="9"/>
        <v>2968247.52</v>
      </c>
      <c r="AE313" t="s">
        <v>13</v>
      </c>
      <c r="AF313" t="s">
        <v>0</v>
      </c>
      <c r="AG313" t="s">
        <v>14</v>
      </c>
      <c r="AH313" t="s">
        <v>15</v>
      </c>
      <c r="AI313" t="s">
        <v>16</v>
      </c>
      <c r="AJ313" t="s">
        <v>17</v>
      </c>
      <c r="AK313" t="s">
        <v>18</v>
      </c>
      <c r="AL313" t="s">
        <v>19</v>
      </c>
      <c r="AM313" t="s">
        <v>316</v>
      </c>
      <c r="AN313" t="s">
        <v>0</v>
      </c>
      <c r="AO313" t="s">
        <v>20</v>
      </c>
      <c r="AP313" t="s">
        <v>0</v>
      </c>
      <c r="AQ313" s="5">
        <v>57</v>
      </c>
      <c r="AR313" t="s">
        <v>11</v>
      </c>
      <c r="AS313" t="s">
        <v>0</v>
      </c>
      <c r="AT313" t="s">
        <v>17</v>
      </c>
      <c r="AU313" s="4">
        <v>0</v>
      </c>
      <c r="AV313" s="4">
        <v>0</v>
      </c>
      <c r="AW313" s="4">
        <v>0</v>
      </c>
      <c r="AX313" s="4">
        <v>0</v>
      </c>
      <c r="AY313" s="5">
        <v>0</v>
      </c>
      <c r="AZ313" s="5">
        <v>0</v>
      </c>
      <c r="BA313" s="5">
        <v>0</v>
      </c>
      <c r="BB313" s="2"/>
      <c r="BC313" t="s">
        <v>0</v>
      </c>
      <c r="BD313" s="5">
        <v>1</v>
      </c>
      <c r="BE313" t="s">
        <v>0</v>
      </c>
      <c r="BF313" t="s">
        <v>319</v>
      </c>
      <c r="BG313" t="s">
        <v>17</v>
      </c>
      <c r="BH313" t="s">
        <v>0</v>
      </c>
      <c r="BI313" t="s">
        <v>11</v>
      </c>
      <c r="BJ313" t="s">
        <v>0</v>
      </c>
      <c r="BK313" t="s">
        <v>0</v>
      </c>
      <c r="BL313" s="5">
        <v>0</v>
      </c>
      <c r="BM313" t="s">
        <v>0</v>
      </c>
      <c r="BN313" t="s">
        <v>0</v>
      </c>
      <c r="BO313" t="s">
        <v>0</v>
      </c>
      <c r="BP313" t="s">
        <v>17</v>
      </c>
      <c r="BQ313" t="s">
        <v>0</v>
      </c>
      <c r="BR313" t="s">
        <v>17</v>
      </c>
      <c r="BS313" t="s">
        <v>17</v>
      </c>
      <c r="BT313" t="s">
        <v>0</v>
      </c>
      <c r="BU313" t="s">
        <v>0</v>
      </c>
      <c r="BV313" t="s">
        <v>0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</row>
    <row r="314" spans="1:80" ht="13.95" customHeight="1" x14ac:dyDescent="0.25">
      <c r="A314" t="s">
        <v>337</v>
      </c>
      <c r="B314" s="2">
        <v>45612</v>
      </c>
      <c r="C314" s="2">
        <v>45677</v>
      </c>
      <c r="D314" s="2">
        <v>45736</v>
      </c>
      <c r="E314" t="s">
        <v>2</v>
      </c>
      <c r="F314" t="s">
        <v>3</v>
      </c>
      <c r="G314" t="s">
        <v>0</v>
      </c>
      <c r="H314" t="s">
        <v>4</v>
      </c>
      <c r="I314" t="s">
        <v>314</v>
      </c>
      <c r="J314" t="s">
        <v>6</v>
      </c>
      <c r="K314" t="s">
        <v>7</v>
      </c>
      <c r="L314" t="s">
        <v>43</v>
      </c>
      <c r="M314" t="s">
        <v>44</v>
      </c>
      <c r="N314" t="s">
        <v>10</v>
      </c>
      <c r="O314" t="s">
        <v>0</v>
      </c>
      <c r="P314" t="s">
        <v>11</v>
      </c>
      <c r="Q314" s="5">
        <v>9</v>
      </c>
      <c r="R314" s="4">
        <v>54500</v>
      </c>
      <c r="S314" s="5">
        <v>1</v>
      </c>
      <c r="T314" s="4">
        <v>490500</v>
      </c>
      <c r="U314" s="5">
        <v>0</v>
      </c>
      <c r="V314" s="4">
        <v>0</v>
      </c>
      <c r="W314" s="5">
        <v>0</v>
      </c>
      <c r="X314" s="4">
        <v>0</v>
      </c>
      <c r="Y314" s="4">
        <f t="shared" si="8"/>
        <v>490500</v>
      </c>
      <c r="Z314" s="6" t="s">
        <v>0</v>
      </c>
      <c r="AA314" t="s">
        <v>2</v>
      </c>
      <c r="AB314" t="s">
        <v>12</v>
      </c>
      <c r="AC314">
        <f>_xlfn.XLOOKUP(AB314,'[1]GST Codes'!$A:$A,'[1]GST Codes'!$C:$C,0,0)</f>
        <v>18</v>
      </c>
      <c r="AD314">
        <f t="shared" si="9"/>
        <v>578790</v>
      </c>
      <c r="AE314" t="s">
        <v>13</v>
      </c>
      <c r="AF314" t="s">
        <v>0</v>
      </c>
      <c r="AG314" t="s">
        <v>14</v>
      </c>
      <c r="AH314" t="s">
        <v>15</v>
      </c>
      <c r="AI314" t="s">
        <v>16</v>
      </c>
      <c r="AJ314" t="s">
        <v>17</v>
      </c>
      <c r="AK314" t="s">
        <v>18</v>
      </c>
      <c r="AL314" t="s">
        <v>19</v>
      </c>
      <c r="AM314" t="s">
        <v>316</v>
      </c>
      <c r="AN314" t="s">
        <v>0</v>
      </c>
      <c r="AO314" t="s">
        <v>0</v>
      </c>
      <c r="AP314" t="s">
        <v>0</v>
      </c>
      <c r="AQ314" s="5">
        <v>9</v>
      </c>
      <c r="AR314" t="s">
        <v>11</v>
      </c>
      <c r="AS314" t="s">
        <v>0</v>
      </c>
      <c r="AT314" t="s">
        <v>17</v>
      </c>
      <c r="AU314" s="4">
        <v>0</v>
      </c>
      <c r="AV314" s="4">
        <v>0</v>
      </c>
      <c r="AW314" s="4">
        <v>0</v>
      </c>
      <c r="AX314" s="4">
        <v>0</v>
      </c>
      <c r="AY314" s="5">
        <v>0</v>
      </c>
      <c r="AZ314" s="5">
        <v>0</v>
      </c>
      <c r="BA314" s="5">
        <v>0</v>
      </c>
      <c r="BB314" s="2"/>
      <c r="BC314" t="s">
        <v>0</v>
      </c>
      <c r="BD314" s="5">
        <v>1</v>
      </c>
      <c r="BE314" t="s">
        <v>0</v>
      </c>
      <c r="BF314" t="s">
        <v>325</v>
      </c>
      <c r="BG314" t="s">
        <v>17</v>
      </c>
      <c r="BH314" t="s">
        <v>0</v>
      </c>
      <c r="BI314" t="s">
        <v>11</v>
      </c>
      <c r="BJ314" t="s">
        <v>0</v>
      </c>
      <c r="BK314" t="s">
        <v>0</v>
      </c>
      <c r="BL314" s="5">
        <v>0</v>
      </c>
      <c r="BM314" t="s">
        <v>0</v>
      </c>
      <c r="BN314" t="s">
        <v>0</v>
      </c>
      <c r="BO314" t="s">
        <v>0</v>
      </c>
      <c r="BP314" t="s">
        <v>17</v>
      </c>
      <c r="BQ314" t="s">
        <v>0</v>
      </c>
      <c r="BR314" t="s">
        <v>17</v>
      </c>
      <c r="BS314" t="s">
        <v>17</v>
      </c>
      <c r="BT314" t="s">
        <v>0</v>
      </c>
      <c r="BU314" t="s">
        <v>0</v>
      </c>
      <c r="BV314" t="s">
        <v>0</v>
      </c>
      <c r="BW314" t="s">
        <v>0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</row>
    <row r="315" spans="1:80" ht="13.95" customHeight="1" x14ac:dyDescent="0.25">
      <c r="A315" t="s">
        <v>337</v>
      </c>
      <c r="B315" s="2">
        <v>45612</v>
      </c>
      <c r="C315" s="2">
        <v>45677</v>
      </c>
      <c r="D315" s="2">
        <v>45736</v>
      </c>
      <c r="E315" t="s">
        <v>2</v>
      </c>
      <c r="F315" t="s">
        <v>3</v>
      </c>
      <c r="G315" t="s">
        <v>0</v>
      </c>
      <c r="H315" t="s">
        <v>4</v>
      </c>
      <c r="I315" t="s">
        <v>314</v>
      </c>
      <c r="J315" t="s">
        <v>6</v>
      </c>
      <c r="K315" t="s">
        <v>22</v>
      </c>
      <c r="L315" t="s">
        <v>43</v>
      </c>
      <c r="M315" t="s">
        <v>44</v>
      </c>
      <c r="N315" t="s">
        <v>10</v>
      </c>
      <c r="O315" t="s">
        <v>0</v>
      </c>
      <c r="P315" t="s">
        <v>11</v>
      </c>
      <c r="Q315" s="5">
        <v>9</v>
      </c>
      <c r="R315" s="4">
        <v>54500</v>
      </c>
      <c r="S315" s="5">
        <v>1</v>
      </c>
      <c r="T315" s="4">
        <v>490500</v>
      </c>
      <c r="U315" s="5">
        <v>0</v>
      </c>
      <c r="V315" s="4">
        <v>0</v>
      </c>
      <c r="W315" s="5">
        <v>0</v>
      </c>
      <c r="X315" s="4">
        <v>0</v>
      </c>
      <c r="Y315" s="4">
        <f t="shared" si="8"/>
        <v>490500</v>
      </c>
      <c r="Z315" s="6" t="s">
        <v>0</v>
      </c>
      <c r="AA315" t="s">
        <v>2</v>
      </c>
      <c r="AB315" t="s">
        <v>12</v>
      </c>
      <c r="AC315">
        <f>_xlfn.XLOOKUP(AB315,'[1]GST Codes'!$A:$A,'[1]GST Codes'!$C:$C,0,0)</f>
        <v>18</v>
      </c>
      <c r="AD315">
        <f t="shared" si="9"/>
        <v>578790</v>
      </c>
      <c r="AE315" t="s">
        <v>13</v>
      </c>
      <c r="AF315" t="s">
        <v>0</v>
      </c>
      <c r="AG315" t="s">
        <v>14</v>
      </c>
      <c r="AH315" t="s">
        <v>15</v>
      </c>
      <c r="AI315" t="s">
        <v>16</v>
      </c>
      <c r="AJ315" t="s">
        <v>17</v>
      </c>
      <c r="AK315" t="s">
        <v>18</v>
      </c>
      <c r="AL315" t="s">
        <v>19</v>
      </c>
      <c r="AM315" t="s">
        <v>316</v>
      </c>
      <c r="AN315" t="s">
        <v>0</v>
      </c>
      <c r="AO315" t="s">
        <v>0</v>
      </c>
      <c r="AP315" t="s">
        <v>0</v>
      </c>
      <c r="AQ315" s="5">
        <v>9</v>
      </c>
      <c r="AR315" t="s">
        <v>11</v>
      </c>
      <c r="AS315" t="s">
        <v>0</v>
      </c>
      <c r="AT315" t="s">
        <v>17</v>
      </c>
      <c r="AU315" s="4">
        <v>0</v>
      </c>
      <c r="AV315" s="4">
        <v>0</v>
      </c>
      <c r="AW315" s="4">
        <v>0</v>
      </c>
      <c r="AX315" s="4">
        <v>0</v>
      </c>
      <c r="AY315" s="5">
        <v>0</v>
      </c>
      <c r="AZ315" s="5">
        <v>0</v>
      </c>
      <c r="BA315" s="5">
        <v>0</v>
      </c>
      <c r="BB315" s="2"/>
      <c r="BC315" t="s">
        <v>0</v>
      </c>
      <c r="BD315" s="5">
        <v>1</v>
      </c>
      <c r="BE315" t="s">
        <v>0</v>
      </c>
      <c r="BF315" t="s">
        <v>325</v>
      </c>
      <c r="BG315" t="s">
        <v>17</v>
      </c>
      <c r="BH315" t="s">
        <v>0</v>
      </c>
      <c r="BI315" t="s">
        <v>11</v>
      </c>
      <c r="BJ315" t="s">
        <v>0</v>
      </c>
      <c r="BK315" t="s">
        <v>0</v>
      </c>
      <c r="BL315" s="5">
        <v>0</v>
      </c>
      <c r="BM315" t="s">
        <v>0</v>
      </c>
      <c r="BN315" t="s">
        <v>0</v>
      </c>
      <c r="BO315" t="s">
        <v>0</v>
      </c>
      <c r="BP315" t="s">
        <v>17</v>
      </c>
      <c r="BQ315" t="s">
        <v>0</v>
      </c>
      <c r="BR315" t="s">
        <v>17</v>
      </c>
      <c r="BS315" t="s">
        <v>17</v>
      </c>
      <c r="BT315" t="s">
        <v>0</v>
      </c>
      <c r="BU315" t="s">
        <v>0</v>
      </c>
      <c r="BV315" t="s">
        <v>0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</row>
    <row r="316" spans="1:80" ht="13.95" customHeight="1" x14ac:dyDescent="0.25">
      <c r="A316" t="s">
        <v>337</v>
      </c>
      <c r="B316" s="2">
        <v>45612</v>
      </c>
      <c r="C316" s="2">
        <v>45677</v>
      </c>
      <c r="D316" s="2">
        <v>45736</v>
      </c>
      <c r="E316" t="s">
        <v>2</v>
      </c>
      <c r="F316" t="s">
        <v>3</v>
      </c>
      <c r="G316" t="s">
        <v>0</v>
      </c>
      <c r="H316" t="s">
        <v>4</v>
      </c>
      <c r="I316" t="s">
        <v>314</v>
      </c>
      <c r="J316" t="s">
        <v>6</v>
      </c>
      <c r="K316" t="s">
        <v>26</v>
      </c>
      <c r="L316" t="s">
        <v>43</v>
      </c>
      <c r="M316" t="s">
        <v>44</v>
      </c>
      <c r="N316" t="s">
        <v>10</v>
      </c>
      <c r="O316" t="s">
        <v>0</v>
      </c>
      <c r="P316" t="s">
        <v>11</v>
      </c>
      <c r="Q316" s="5">
        <v>11</v>
      </c>
      <c r="R316" s="4">
        <v>54500</v>
      </c>
      <c r="S316" s="5">
        <v>1</v>
      </c>
      <c r="T316" s="4">
        <v>599500</v>
      </c>
      <c r="U316" s="5">
        <v>0</v>
      </c>
      <c r="V316" s="4">
        <v>0</v>
      </c>
      <c r="W316" s="5">
        <v>0</v>
      </c>
      <c r="X316" s="4">
        <v>0</v>
      </c>
      <c r="Y316" s="4">
        <f t="shared" si="8"/>
        <v>599500</v>
      </c>
      <c r="Z316" s="6" t="s">
        <v>0</v>
      </c>
      <c r="AA316" t="s">
        <v>2</v>
      </c>
      <c r="AB316" t="s">
        <v>12</v>
      </c>
      <c r="AC316">
        <f>_xlfn.XLOOKUP(AB316,'[1]GST Codes'!$A:$A,'[1]GST Codes'!$C:$C,0,0)</f>
        <v>18</v>
      </c>
      <c r="AD316">
        <f t="shared" si="9"/>
        <v>707410</v>
      </c>
      <c r="AE316" t="s">
        <v>13</v>
      </c>
      <c r="AF316" t="s">
        <v>0</v>
      </c>
      <c r="AG316" t="s">
        <v>14</v>
      </c>
      <c r="AH316" t="s">
        <v>15</v>
      </c>
      <c r="AI316" t="s">
        <v>16</v>
      </c>
      <c r="AJ316" t="s">
        <v>17</v>
      </c>
      <c r="AK316" t="s">
        <v>18</v>
      </c>
      <c r="AL316" t="s">
        <v>19</v>
      </c>
      <c r="AM316" t="s">
        <v>316</v>
      </c>
      <c r="AN316" t="s">
        <v>0</v>
      </c>
      <c r="AO316" t="s">
        <v>0</v>
      </c>
      <c r="AP316" t="s">
        <v>0</v>
      </c>
      <c r="AQ316" s="5">
        <v>11</v>
      </c>
      <c r="AR316" t="s">
        <v>11</v>
      </c>
      <c r="AS316" t="s">
        <v>0</v>
      </c>
      <c r="AT316" t="s">
        <v>17</v>
      </c>
      <c r="AU316" s="4">
        <v>0</v>
      </c>
      <c r="AV316" s="4">
        <v>0</v>
      </c>
      <c r="AW316" s="4">
        <v>0</v>
      </c>
      <c r="AX316" s="4">
        <v>0</v>
      </c>
      <c r="AY316" s="5">
        <v>0</v>
      </c>
      <c r="AZ316" s="5">
        <v>0</v>
      </c>
      <c r="BA316" s="5">
        <v>0</v>
      </c>
      <c r="BB316" s="2"/>
      <c r="BC316" t="s">
        <v>0</v>
      </c>
      <c r="BD316" s="5">
        <v>1</v>
      </c>
      <c r="BE316" t="s">
        <v>0</v>
      </c>
      <c r="BF316" t="s">
        <v>325</v>
      </c>
      <c r="BG316" t="s">
        <v>17</v>
      </c>
      <c r="BH316" t="s">
        <v>0</v>
      </c>
      <c r="BI316" t="s">
        <v>11</v>
      </c>
      <c r="BJ316" t="s">
        <v>0</v>
      </c>
      <c r="BK316" t="s">
        <v>0</v>
      </c>
      <c r="BL316" s="5">
        <v>0</v>
      </c>
      <c r="BM316" t="s">
        <v>0</v>
      </c>
      <c r="BN316" t="s">
        <v>0</v>
      </c>
      <c r="BO316" t="s">
        <v>0</v>
      </c>
      <c r="BP316" t="s">
        <v>17</v>
      </c>
      <c r="BQ316" t="s">
        <v>0</v>
      </c>
      <c r="BR316" t="s">
        <v>17</v>
      </c>
      <c r="BS316" t="s">
        <v>17</v>
      </c>
      <c r="BT316" t="s">
        <v>0</v>
      </c>
      <c r="BU316" t="s">
        <v>0</v>
      </c>
      <c r="BV316" t="s">
        <v>0</v>
      </c>
      <c r="BW316" t="s">
        <v>0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</row>
    <row r="317" spans="1:80" ht="13.95" customHeight="1" x14ac:dyDescent="0.25">
      <c r="A317" t="s">
        <v>337</v>
      </c>
      <c r="B317" s="2">
        <v>45612</v>
      </c>
      <c r="C317" s="2">
        <v>45677</v>
      </c>
      <c r="D317" s="2">
        <v>45736</v>
      </c>
      <c r="E317" t="s">
        <v>2</v>
      </c>
      <c r="F317" t="s">
        <v>3</v>
      </c>
      <c r="G317" t="s">
        <v>0</v>
      </c>
      <c r="H317" t="s">
        <v>4</v>
      </c>
      <c r="I317" t="s">
        <v>314</v>
      </c>
      <c r="J317" t="s">
        <v>6</v>
      </c>
      <c r="K317" t="s">
        <v>30</v>
      </c>
      <c r="L317" t="s">
        <v>43</v>
      </c>
      <c r="M317" t="s">
        <v>44</v>
      </c>
      <c r="N317" t="s">
        <v>10</v>
      </c>
      <c r="O317" t="s">
        <v>0</v>
      </c>
      <c r="P317" t="s">
        <v>11</v>
      </c>
      <c r="Q317" s="5">
        <v>11</v>
      </c>
      <c r="R317" s="4">
        <v>54500</v>
      </c>
      <c r="S317" s="5">
        <v>1</v>
      </c>
      <c r="T317" s="4">
        <v>599500</v>
      </c>
      <c r="U317" s="5">
        <v>0</v>
      </c>
      <c r="V317" s="4">
        <v>0</v>
      </c>
      <c r="W317" s="5">
        <v>0</v>
      </c>
      <c r="X317" s="4">
        <v>0</v>
      </c>
      <c r="Y317" s="4">
        <f t="shared" si="8"/>
        <v>599500</v>
      </c>
      <c r="Z317" s="6" t="s">
        <v>0</v>
      </c>
      <c r="AA317" t="s">
        <v>2</v>
      </c>
      <c r="AB317" t="s">
        <v>12</v>
      </c>
      <c r="AC317">
        <f>_xlfn.XLOOKUP(AB317,'[1]GST Codes'!$A:$A,'[1]GST Codes'!$C:$C,0,0)</f>
        <v>18</v>
      </c>
      <c r="AD317">
        <f t="shared" si="9"/>
        <v>707410</v>
      </c>
      <c r="AE317" t="s">
        <v>13</v>
      </c>
      <c r="AF317" t="s">
        <v>0</v>
      </c>
      <c r="AG317" t="s">
        <v>14</v>
      </c>
      <c r="AH317" t="s">
        <v>15</v>
      </c>
      <c r="AI317" t="s">
        <v>16</v>
      </c>
      <c r="AJ317" t="s">
        <v>17</v>
      </c>
      <c r="AK317" t="s">
        <v>18</v>
      </c>
      <c r="AL317" t="s">
        <v>19</v>
      </c>
      <c r="AM317" t="s">
        <v>316</v>
      </c>
      <c r="AN317" t="s">
        <v>0</v>
      </c>
      <c r="AO317" t="s">
        <v>0</v>
      </c>
      <c r="AP317" t="s">
        <v>0</v>
      </c>
      <c r="AQ317" s="5">
        <v>11</v>
      </c>
      <c r="AR317" t="s">
        <v>11</v>
      </c>
      <c r="AS317" t="s">
        <v>0</v>
      </c>
      <c r="AT317" t="s">
        <v>17</v>
      </c>
      <c r="AU317" s="4">
        <v>0</v>
      </c>
      <c r="AV317" s="4">
        <v>0</v>
      </c>
      <c r="AW317" s="4">
        <v>0</v>
      </c>
      <c r="AX317" s="4">
        <v>0</v>
      </c>
      <c r="AY317" s="5">
        <v>0</v>
      </c>
      <c r="AZ317" s="5">
        <v>0</v>
      </c>
      <c r="BA317" s="5">
        <v>0</v>
      </c>
      <c r="BB317" s="2"/>
      <c r="BC317" t="s">
        <v>0</v>
      </c>
      <c r="BD317" s="5">
        <v>1</v>
      </c>
      <c r="BE317" t="s">
        <v>0</v>
      </c>
      <c r="BF317" t="s">
        <v>325</v>
      </c>
      <c r="BG317" t="s">
        <v>17</v>
      </c>
      <c r="BH317" t="s">
        <v>0</v>
      </c>
      <c r="BI317" t="s">
        <v>11</v>
      </c>
      <c r="BJ317" t="s">
        <v>0</v>
      </c>
      <c r="BK317" t="s">
        <v>0</v>
      </c>
      <c r="BL317" s="5">
        <v>0</v>
      </c>
      <c r="BM317" t="s">
        <v>0</v>
      </c>
      <c r="BN317" t="s">
        <v>0</v>
      </c>
      <c r="BO317" t="s">
        <v>0</v>
      </c>
      <c r="BP317" t="s">
        <v>17</v>
      </c>
      <c r="BQ317" t="s">
        <v>0</v>
      </c>
      <c r="BR317" t="s">
        <v>17</v>
      </c>
      <c r="BS317" t="s">
        <v>17</v>
      </c>
      <c r="BT317" t="s">
        <v>0</v>
      </c>
      <c r="BU317" t="s">
        <v>0</v>
      </c>
      <c r="BV317" t="s">
        <v>0</v>
      </c>
      <c r="BW317" t="s">
        <v>0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</row>
    <row r="318" spans="1:80" ht="13.95" customHeight="1" x14ac:dyDescent="0.25">
      <c r="A318" t="s">
        <v>337</v>
      </c>
      <c r="B318" s="2">
        <v>45612</v>
      </c>
      <c r="C318" s="2">
        <v>45677</v>
      </c>
      <c r="D318" s="2">
        <v>45736</v>
      </c>
      <c r="E318" t="s">
        <v>2</v>
      </c>
      <c r="F318" t="s">
        <v>3</v>
      </c>
      <c r="G318" t="s">
        <v>0</v>
      </c>
      <c r="H318" t="s">
        <v>4</v>
      </c>
      <c r="I318" t="s">
        <v>314</v>
      </c>
      <c r="J318" t="s">
        <v>6</v>
      </c>
      <c r="K318" t="s">
        <v>34</v>
      </c>
      <c r="L318" t="s">
        <v>43</v>
      </c>
      <c r="M318" t="s">
        <v>44</v>
      </c>
      <c r="N318" t="s">
        <v>10</v>
      </c>
      <c r="O318" t="s">
        <v>0</v>
      </c>
      <c r="P318" t="s">
        <v>11</v>
      </c>
      <c r="Q318" s="5">
        <v>5</v>
      </c>
      <c r="R318" s="4">
        <v>54500</v>
      </c>
      <c r="S318" s="5">
        <v>1</v>
      </c>
      <c r="T318" s="4">
        <v>272500</v>
      </c>
      <c r="U318" s="5">
        <v>0</v>
      </c>
      <c r="V318" s="4">
        <v>0</v>
      </c>
      <c r="W318" s="5">
        <v>0</v>
      </c>
      <c r="X318" s="4">
        <v>0</v>
      </c>
      <c r="Y318" s="4">
        <f t="shared" si="8"/>
        <v>272500</v>
      </c>
      <c r="Z318" s="6" t="s">
        <v>0</v>
      </c>
      <c r="AA318" t="s">
        <v>2</v>
      </c>
      <c r="AB318" t="s">
        <v>12</v>
      </c>
      <c r="AC318">
        <f>_xlfn.XLOOKUP(AB318,'[1]GST Codes'!$A:$A,'[1]GST Codes'!$C:$C,0,0)</f>
        <v>18</v>
      </c>
      <c r="AD318">
        <f t="shared" si="9"/>
        <v>321550</v>
      </c>
      <c r="AE318" t="s">
        <v>13</v>
      </c>
      <c r="AF318" t="s">
        <v>0</v>
      </c>
      <c r="AG318" t="s">
        <v>14</v>
      </c>
      <c r="AH318" t="s">
        <v>15</v>
      </c>
      <c r="AI318" t="s">
        <v>16</v>
      </c>
      <c r="AJ318" t="s">
        <v>17</v>
      </c>
      <c r="AK318" t="s">
        <v>18</v>
      </c>
      <c r="AL318" t="s">
        <v>19</v>
      </c>
      <c r="AM318" t="s">
        <v>316</v>
      </c>
      <c r="AN318" t="s">
        <v>0</v>
      </c>
      <c r="AO318" t="s">
        <v>0</v>
      </c>
      <c r="AP318" t="s">
        <v>0</v>
      </c>
      <c r="AQ318" s="5">
        <v>5</v>
      </c>
      <c r="AR318" t="s">
        <v>11</v>
      </c>
      <c r="AS318" t="s">
        <v>0</v>
      </c>
      <c r="AT318" t="s">
        <v>17</v>
      </c>
      <c r="AU318" s="4">
        <v>0</v>
      </c>
      <c r="AV318" s="4">
        <v>0</v>
      </c>
      <c r="AW318" s="4">
        <v>0</v>
      </c>
      <c r="AX318" s="4">
        <v>0</v>
      </c>
      <c r="AY318" s="5">
        <v>0</v>
      </c>
      <c r="AZ318" s="5">
        <v>0</v>
      </c>
      <c r="BA318" s="5">
        <v>0</v>
      </c>
      <c r="BB318" s="2"/>
      <c r="BC318" t="s">
        <v>0</v>
      </c>
      <c r="BD318" s="5">
        <v>1</v>
      </c>
      <c r="BE318" t="s">
        <v>0</v>
      </c>
      <c r="BF318" t="s">
        <v>325</v>
      </c>
      <c r="BG318" t="s">
        <v>17</v>
      </c>
      <c r="BH318" t="s">
        <v>0</v>
      </c>
      <c r="BI318" t="s">
        <v>11</v>
      </c>
      <c r="BJ318" t="s">
        <v>0</v>
      </c>
      <c r="BK318" t="s">
        <v>0</v>
      </c>
      <c r="BL318" s="5">
        <v>0</v>
      </c>
      <c r="BM318" t="s">
        <v>0</v>
      </c>
      <c r="BN318" t="s">
        <v>0</v>
      </c>
      <c r="BO318" t="s">
        <v>0</v>
      </c>
      <c r="BP318" t="s">
        <v>17</v>
      </c>
      <c r="BQ318" t="s">
        <v>0</v>
      </c>
      <c r="BR318" t="s">
        <v>17</v>
      </c>
      <c r="BS318" t="s">
        <v>17</v>
      </c>
      <c r="BT318" t="s">
        <v>0</v>
      </c>
      <c r="BU318" t="s">
        <v>0</v>
      </c>
      <c r="BV318" t="s">
        <v>0</v>
      </c>
      <c r="BW318" t="s">
        <v>0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</row>
    <row r="319" spans="1:80" ht="13.95" customHeight="1" x14ac:dyDescent="0.25">
      <c r="A319" t="s">
        <v>337</v>
      </c>
      <c r="B319" s="2">
        <v>45612</v>
      </c>
      <c r="C319" s="2">
        <v>45677</v>
      </c>
      <c r="D319" s="2">
        <v>45736</v>
      </c>
      <c r="E319" t="s">
        <v>2</v>
      </c>
      <c r="F319" t="s">
        <v>3</v>
      </c>
      <c r="G319" t="s">
        <v>0</v>
      </c>
      <c r="H319" t="s">
        <v>4</v>
      </c>
      <c r="I319" t="s">
        <v>314</v>
      </c>
      <c r="J319" t="s">
        <v>6</v>
      </c>
      <c r="K319" t="s">
        <v>38</v>
      </c>
      <c r="L319" t="s">
        <v>43</v>
      </c>
      <c r="M319" t="s">
        <v>44</v>
      </c>
      <c r="N319" t="s">
        <v>10</v>
      </c>
      <c r="O319" t="s">
        <v>0</v>
      </c>
      <c r="P319" t="s">
        <v>11</v>
      </c>
      <c r="Q319" s="5">
        <v>5</v>
      </c>
      <c r="R319" s="4">
        <v>54500</v>
      </c>
      <c r="S319" s="5">
        <v>1</v>
      </c>
      <c r="T319" s="4">
        <v>272500</v>
      </c>
      <c r="U319" s="5">
        <v>0</v>
      </c>
      <c r="V319" s="4">
        <v>0</v>
      </c>
      <c r="W319" s="5">
        <v>0</v>
      </c>
      <c r="X319" s="4">
        <v>0</v>
      </c>
      <c r="Y319" s="4">
        <f t="shared" si="8"/>
        <v>272500</v>
      </c>
      <c r="Z319" s="6" t="s">
        <v>0</v>
      </c>
      <c r="AA319" t="s">
        <v>2</v>
      </c>
      <c r="AB319" t="s">
        <v>12</v>
      </c>
      <c r="AC319">
        <f>_xlfn.XLOOKUP(AB319,'[1]GST Codes'!$A:$A,'[1]GST Codes'!$C:$C,0,0)</f>
        <v>18</v>
      </c>
      <c r="AD319">
        <f t="shared" si="9"/>
        <v>321550</v>
      </c>
      <c r="AE319" t="s">
        <v>13</v>
      </c>
      <c r="AF319" t="s">
        <v>0</v>
      </c>
      <c r="AG319" t="s">
        <v>14</v>
      </c>
      <c r="AH319" t="s">
        <v>15</v>
      </c>
      <c r="AI319" t="s">
        <v>16</v>
      </c>
      <c r="AJ319" t="s">
        <v>17</v>
      </c>
      <c r="AK319" t="s">
        <v>18</v>
      </c>
      <c r="AL319" t="s">
        <v>19</v>
      </c>
      <c r="AM319" t="s">
        <v>316</v>
      </c>
      <c r="AN319" t="s">
        <v>0</v>
      </c>
      <c r="AO319" t="s">
        <v>0</v>
      </c>
      <c r="AP319" t="s">
        <v>0</v>
      </c>
      <c r="AQ319" s="5">
        <v>5</v>
      </c>
      <c r="AR319" t="s">
        <v>11</v>
      </c>
      <c r="AS319" t="s">
        <v>0</v>
      </c>
      <c r="AT319" t="s">
        <v>17</v>
      </c>
      <c r="AU319" s="4">
        <v>0</v>
      </c>
      <c r="AV319" s="4">
        <v>0</v>
      </c>
      <c r="AW319" s="4">
        <v>0</v>
      </c>
      <c r="AX319" s="4">
        <v>0</v>
      </c>
      <c r="AY319" s="5">
        <v>0</v>
      </c>
      <c r="AZ319" s="5">
        <v>0</v>
      </c>
      <c r="BA319" s="5">
        <v>0</v>
      </c>
      <c r="BB319" s="2"/>
      <c r="BC319" t="s">
        <v>0</v>
      </c>
      <c r="BD319" s="5">
        <v>1</v>
      </c>
      <c r="BE319" t="s">
        <v>0</v>
      </c>
      <c r="BF319" t="s">
        <v>325</v>
      </c>
      <c r="BG319" t="s">
        <v>17</v>
      </c>
      <c r="BH319" t="s">
        <v>0</v>
      </c>
      <c r="BI319" t="s">
        <v>11</v>
      </c>
      <c r="BJ319" t="s">
        <v>0</v>
      </c>
      <c r="BK319" t="s">
        <v>0</v>
      </c>
      <c r="BL319" s="5">
        <v>0</v>
      </c>
      <c r="BM319" t="s">
        <v>0</v>
      </c>
      <c r="BN319" t="s">
        <v>0</v>
      </c>
      <c r="BO319" t="s">
        <v>0</v>
      </c>
      <c r="BP319" t="s">
        <v>17</v>
      </c>
      <c r="BQ319" t="s">
        <v>0</v>
      </c>
      <c r="BR319" t="s">
        <v>17</v>
      </c>
      <c r="BS319" t="s">
        <v>17</v>
      </c>
      <c r="BT319" t="s">
        <v>0</v>
      </c>
      <c r="BU319" t="s">
        <v>0</v>
      </c>
      <c r="BV319" t="s">
        <v>0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</row>
    <row r="320" spans="1:80" ht="13.95" customHeight="1" x14ac:dyDescent="0.25">
      <c r="A320" t="s">
        <v>337</v>
      </c>
      <c r="B320" s="2">
        <v>45612</v>
      </c>
      <c r="C320" s="2">
        <v>45677</v>
      </c>
      <c r="D320" s="2">
        <v>45736</v>
      </c>
      <c r="E320" t="s">
        <v>2</v>
      </c>
      <c r="F320" t="s">
        <v>3</v>
      </c>
      <c r="G320" t="s">
        <v>0</v>
      </c>
      <c r="H320" t="s">
        <v>4</v>
      </c>
      <c r="I320" t="s">
        <v>314</v>
      </c>
      <c r="J320" t="s">
        <v>6</v>
      </c>
      <c r="K320" t="s">
        <v>42</v>
      </c>
      <c r="L320" t="s">
        <v>43</v>
      </c>
      <c r="M320" t="s">
        <v>44</v>
      </c>
      <c r="N320" t="s">
        <v>10</v>
      </c>
      <c r="O320" t="s">
        <v>0</v>
      </c>
      <c r="P320" t="s">
        <v>11</v>
      </c>
      <c r="Q320" s="5">
        <v>10</v>
      </c>
      <c r="R320" s="4">
        <v>54500</v>
      </c>
      <c r="S320" s="5">
        <v>1</v>
      </c>
      <c r="T320" s="4">
        <v>545000</v>
      </c>
      <c r="U320" s="3">
        <v>2.85</v>
      </c>
      <c r="V320" s="4">
        <v>155325</v>
      </c>
      <c r="W320" s="3">
        <v>2.85</v>
      </c>
      <c r="X320" s="4">
        <v>155325</v>
      </c>
      <c r="Y320" s="4">
        <f t="shared" si="8"/>
        <v>389675</v>
      </c>
      <c r="Z320" s="6" t="s">
        <v>0</v>
      </c>
      <c r="AA320" t="s">
        <v>2</v>
      </c>
      <c r="AB320" t="s">
        <v>12</v>
      </c>
      <c r="AC320">
        <f>_xlfn.XLOOKUP(AB320,'[1]GST Codes'!$A:$A,'[1]GST Codes'!$C:$C,0,0)</f>
        <v>18</v>
      </c>
      <c r="AD320">
        <f t="shared" si="9"/>
        <v>459816.5</v>
      </c>
      <c r="AE320" t="s">
        <v>13</v>
      </c>
      <c r="AF320" t="s">
        <v>0</v>
      </c>
      <c r="AG320" t="s">
        <v>14</v>
      </c>
      <c r="AH320" t="s">
        <v>15</v>
      </c>
      <c r="AI320" t="s">
        <v>16</v>
      </c>
      <c r="AJ320" t="s">
        <v>17</v>
      </c>
      <c r="AK320" t="s">
        <v>18</v>
      </c>
      <c r="AL320" t="s">
        <v>19</v>
      </c>
      <c r="AM320" t="s">
        <v>316</v>
      </c>
      <c r="AN320" t="s">
        <v>0</v>
      </c>
      <c r="AO320" t="s">
        <v>0</v>
      </c>
      <c r="AP320" t="s">
        <v>0</v>
      </c>
      <c r="AQ320" s="5">
        <v>10</v>
      </c>
      <c r="AR320" t="s">
        <v>11</v>
      </c>
      <c r="AS320" t="s">
        <v>0</v>
      </c>
      <c r="AT320" t="s">
        <v>17</v>
      </c>
      <c r="AU320" s="4">
        <v>0</v>
      </c>
      <c r="AV320" s="4">
        <v>0</v>
      </c>
      <c r="AW320" s="4">
        <v>0</v>
      </c>
      <c r="AX320" s="4">
        <v>0</v>
      </c>
      <c r="AY320" s="5">
        <v>0</v>
      </c>
      <c r="AZ320" s="5">
        <v>0</v>
      </c>
      <c r="BA320" s="5">
        <v>0</v>
      </c>
      <c r="BB320" s="2"/>
      <c r="BC320" t="s">
        <v>0</v>
      </c>
      <c r="BD320" s="5">
        <v>1</v>
      </c>
      <c r="BE320" t="s">
        <v>0</v>
      </c>
      <c r="BF320" t="s">
        <v>325</v>
      </c>
      <c r="BG320" t="s">
        <v>17</v>
      </c>
      <c r="BH320" t="s">
        <v>0</v>
      </c>
      <c r="BI320" t="s">
        <v>11</v>
      </c>
      <c r="BJ320" t="s">
        <v>0</v>
      </c>
      <c r="BK320" t="s">
        <v>0</v>
      </c>
      <c r="BL320" s="5">
        <v>0</v>
      </c>
      <c r="BM320" t="s">
        <v>0</v>
      </c>
      <c r="BN320" t="s">
        <v>0</v>
      </c>
      <c r="BO320" t="s">
        <v>0</v>
      </c>
      <c r="BP320" t="s">
        <v>17</v>
      </c>
      <c r="BQ320" t="s">
        <v>0</v>
      </c>
      <c r="BR320" t="s">
        <v>17</v>
      </c>
      <c r="BS320" t="s">
        <v>17</v>
      </c>
      <c r="BT320" t="s">
        <v>0</v>
      </c>
      <c r="BU320" t="s">
        <v>0</v>
      </c>
      <c r="BV320" t="s">
        <v>0</v>
      </c>
      <c r="BW320" t="s">
        <v>0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</row>
    <row r="321" spans="1:80" ht="13.95" customHeight="1" x14ac:dyDescent="0.25">
      <c r="A321" t="s">
        <v>337</v>
      </c>
      <c r="B321" s="2">
        <v>45612</v>
      </c>
      <c r="C321" s="2">
        <v>45677</v>
      </c>
      <c r="D321" s="2">
        <v>45736</v>
      </c>
      <c r="E321" t="s">
        <v>2</v>
      </c>
      <c r="F321" t="s">
        <v>3</v>
      </c>
      <c r="G321" t="s">
        <v>0</v>
      </c>
      <c r="H321" t="s">
        <v>4</v>
      </c>
      <c r="I321" t="s">
        <v>314</v>
      </c>
      <c r="J321" t="s">
        <v>6</v>
      </c>
      <c r="K321" t="s">
        <v>86</v>
      </c>
      <c r="L321" t="s">
        <v>43</v>
      </c>
      <c r="M321" t="s">
        <v>338</v>
      </c>
      <c r="N321" t="s">
        <v>10</v>
      </c>
      <c r="O321" t="s">
        <v>0</v>
      </c>
      <c r="P321" t="s">
        <v>11</v>
      </c>
      <c r="Q321" s="5">
        <v>13</v>
      </c>
      <c r="R321" s="4">
        <v>54500</v>
      </c>
      <c r="S321" s="5">
        <v>1</v>
      </c>
      <c r="T321" s="4">
        <v>708500</v>
      </c>
      <c r="U321" s="5">
        <v>0</v>
      </c>
      <c r="V321" s="4">
        <v>0</v>
      </c>
      <c r="W321" s="5">
        <v>0</v>
      </c>
      <c r="X321" s="4">
        <v>0</v>
      </c>
      <c r="Y321" s="4">
        <f t="shared" si="8"/>
        <v>708500</v>
      </c>
      <c r="Z321" s="6" t="s">
        <v>0</v>
      </c>
      <c r="AA321" t="s">
        <v>2</v>
      </c>
      <c r="AB321" t="s">
        <v>12</v>
      </c>
      <c r="AC321">
        <f>_xlfn.XLOOKUP(AB321,'[1]GST Codes'!$A:$A,'[1]GST Codes'!$C:$C,0,0)</f>
        <v>18</v>
      </c>
      <c r="AD321">
        <f t="shared" si="9"/>
        <v>836030</v>
      </c>
      <c r="AE321" t="s">
        <v>13</v>
      </c>
      <c r="AF321" t="s">
        <v>0</v>
      </c>
      <c r="AG321" t="s">
        <v>14</v>
      </c>
      <c r="AH321" t="s">
        <v>15</v>
      </c>
      <c r="AI321" t="s">
        <v>16</v>
      </c>
      <c r="AJ321" t="s">
        <v>17</v>
      </c>
      <c r="AK321" t="s">
        <v>18</v>
      </c>
      <c r="AL321" t="s">
        <v>19</v>
      </c>
      <c r="AM321" t="s">
        <v>316</v>
      </c>
      <c r="AN321" t="s">
        <v>0</v>
      </c>
      <c r="AO321" t="s">
        <v>0</v>
      </c>
      <c r="AP321" t="s">
        <v>0</v>
      </c>
      <c r="AQ321" s="5">
        <v>13</v>
      </c>
      <c r="AR321" t="s">
        <v>11</v>
      </c>
      <c r="AS321" t="s">
        <v>0</v>
      </c>
      <c r="AT321" t="s">
        <v>17</v>
      </c>
      <c r="AU321" s="4">
        <v>0</v>
      </c>
      <c r="AV321" s="4">
        <v>0</v>
      </c>
      <c r="AW321" s="4">
        <v>0</v>
      </c>
      <c r="AX321" s="4">
        <v>0</v>
      </c>
      <c r="AY321" s="5">
        <v>0</v>
      </c>
      <c r="AZ321" s="5">
        <v>0</v>
      </c>
      <c r="BA321" s="5">
        <v>0</v>
      </c>
      <c r="BB321" s="2"/>
      <c r="BC321" t="s">
        <v>0</v>
      </c>
      <c r="BD321" s="5">
        <v>1</v>
      </c>
      <c r="BE321" t="s">
        <v>0</v>
      </c>
      <c r="BF321" t="s">
        <v>325</v>
      </c>
      <c r="BG321" t="s">
        <v>17</v>
      </c>
      <c r="BH321" t="s">
        <v>0</v>
      </c>
      <c r="BI321" t="s">
        <v>11</v>
      </c>
      <c r="BJ321" t="s">
        <v>0</v>
      </c>
      <c r="BK321" t="s">
        <v>0</v>
      </c>
      <c r="BL321" s="5">
        <v>0</v>
      </c>
      <c r="BM321" t="s">
        <v>0</v>
      </c>
      <c r="BN321" t="s">
        <v>0</v>
      </c>
      <c r="BO321" t="s">
        <v>0</v>
      </c>
      <c r="BP321" t="s">
        <v>17</v>
      </c>
      <c r="BQ321" t="s">
        <v>0</v>
      </c>
      <c r="BR321" t="s">
        <v>17</v>
      </c>
      <c r="BS321" t="s">
        <v>17</v>
      </c>
      <c r="BT321" t="s">
        <v>0</v>
      </c>
      <c r="BU321" t="s">
        <v>0</v>
      </c>
      <c r="BV321" t="s">
        <v>0</v>
      </c>
      <c r="BW321" t="s">
        <v>0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</row>
    <row r="322" spans="1:80" ht="13.95" customHeight="1" x14ac:dyDescent="0.25">
      <c r="A322" t="s">
        <v>337</v>
      </c>
      <c r="B322" s="2">
        <v>45612</v>
      </c>
      <c r="C322" s="2">
        <v>45677</v>
      </c>
      <c r="D322" s="2">
        <v>45736</v>
      </c>
      <c r="E322" t="s">
        <v>2</v>
      </c>
      <c r="F322" t="s">
        <v>3</v>
      </c>
      <c r="G322" t="s">
        <v>0</v>
      </c>
      <c r="H322" t="s">
        <v>4</v>
      </c>
      <c r="I322" t="s">
        <v>314</v>
      </c>
      <c r="J322" t="s">
        <v>6</v>
      </c>
      <c r="K322" t="s">
        <v>87</v>
      </c>
      <c r="L322" t="s">
        <v>43</v>
      </c>
      <c r="M322" t="s">
        <v>338</v>
      </c>
      <c r="N322" t="s">
        <v>10</v>
      </c>
      <c r="O322" t="s">
        <v>0</v>
      </c>
      <c r="P322" t="s">
        <v>11</v>
      </c>
      <c r="Q322" s="5">
        <v>5</v>
      </c>
      <c r="R322" s="4">
        <v>54500</v>
      </c>
      <c r="S322" s="5">
        <v>1</v>
      </c>
      <c r="T322" s="4">
        <v>272500</v>
      </c>
      <c r="U322" s="5">
        <v>0</v>
      </c>
      <c r="V322" s="4">
        <v>0</v>
      </c>
      <c r="W322" s="5">
        <v>0</v>
      </c>
      <c r="X322" s="4">
        <v>0</v>
      </c>
      <c r="Y322" s="4">
        <f t="shared" si="8"/>
        <v>272500</v>
      </c>
      <c r="Z322" s="6" t="s">
        <v>0</v>
      </c>
      <c r="AA322" t="s">
        <v>2</v>
      </c>
      <c r="AB322" t="s">
        <v>12</v>
      </c>
      <c r="AC322">
        <f>_xlfn.XLOOKUP(AB322,'[1]GST Codes'!$A:$A,'[1]GST Codes'!$C:$C,0,0)</f>
        <v>18</v>
      </c>
      <c r="AD322">
        <f t="shared" si="9"/>
        <v>321550</v>
      </c>
      <c r="AE322" t="s">
        <v>13</v>
      </c>
      <c r="AF322" t="s">
        <v>0</v>
      </c>
      <c r="AG322" t="s">
        <v>14</v>
      </c>
      <c r="AH322" t="s">
        <v>15</v>
      </c>
      <c r="AI322" t="s">
        <v>16</v>
      </c>
      <c r="AJ322" t="s">
        <v>17</v>
      </c>
      <c r="AK322" t="s">
        <v>18</v>
      </c>
      <c r="AL322" t="s">
        <v>19</v>
      </c>
      <c r="AM322" t="s">
        <v>316</v>
      </c>
      <c r="AN322" t="s">
        <v>0</v>
      </c>
      <c r="AO322" t="s">
        <v>0</v>
      </c>
      <c r="AP322" t="s">
        <v>0</v>
      </c>
      <c r="AQ322" s="5">
        <v>5</v>
      </c>
      <c r="AR322" t="s">
        <v>11</v>
      </c>
      <c r="AS322" t="s">
        <v>0</v>
      </c>
      <c r="AT322" t="s">
        <v>17</v>
      </c>
      <c r="AU322" s="4">
        <v>0</v>
      </c>
      <c r="AV322" s="4">
        <v>0</v>
      </c>
      <c r="AW322" s="4">
        <v>0</v>
      </c>
      <c r="AX322" s="4">
        <v>0</v>
      </c>
      <c r="AY322" s="5">
        <v>0</v>
      </c>
      <c r="AZ322" s="5">
        <v>0</v>
      </c>
      <c r="BA322" s="5">
        <v>0</v>
      </c>
      <c r="BB322" s="2"/>
      <c r="BC322" t="s">
        <v>0</v>
      </c>
      <c r="BD322" s="5">
        <v>1</v>
      </c>
      <c r="BE322" t="s">
        <v>0</v>
      </c>
      <c r="BF322" t="s">
        <v>325</v>
      </c>
      <c r="BG322" t="s">
        <v>17</v>
      </c>
      <c r="BH322" t="s">
        <v>0</v>
      </c>
      <c r="BI322" t="s">
        <v>11</v>
      </c>
      <c r="BJ322" t="s">
        <v>0</v>
      </c>
      <c r="BK322" t="s">
        <v>0</v>
      </c>
      <c r="BL322" s="5">
        <v>0</v>
      </c>
      <c r="BM322" t="s">
        <v>0</v>
      </c>
      <c r="BN322" t="s">
        <v>0</v>
      </c>
      <c r="BO322" t="s">
        <v>0</v>
      </c>
      <c r="BP322" t="s">
        <v>17</v>
      </c>
      <c r="BQ322" t="s">
        <v>0</v>
      </c>
      <c r="BR322" t="s">
        <v>17</v>
      </c>
      <c r="BS322" t="s">
        <v>17</v>
      </c>
      <c r="BT322" t="s">
        <v>0</v>
      </c>
      <c r="BU322" t="s">
        <v>0</v>
      </c>
      <c r="BV322" t="s">
        <v>0</v>
      </c>
      <c r="BW322" t="s">
        <v>0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</row>
    <row r="323" spans="1:80" ht="13.95" customHeight="1" x14ac:dyDescent="0.25">
      <c r="A323" t="s">
        <v>337</v>
      </c>
      <c r="B323" s="2">
        <v>45612</v>
      </c>
      <c r="C323" s="2">
        <v>45677</v>
      </c>
      <c r="D323" s="2">
        <v>45736</v>
      </c>
      <c r="E323" t="s">
        <v>2</v>
      </c>
      <c r="F323" t="s">
        <v>3</v>
      </c>
      <c r="G323" t="s">
        <v>0</v>
      </c>
      <c r="H323" t="s">
        <v>4</v>
      </c>
      <c r="I323" t="s">
        <v>314</v>
      </c>
      <c r="J323" t="s">
        <v>6</v>
      </c>
      <c r="K323" t="s">
        <v>88</v>
      </c>
      <c r="L323" t="s">
        <v>43</v>
      </c>
      <c r="M323" t="s">
        <v>338</v>
      </c>
      <c r="N323" t="s">
        <v>10</v>
      </c>
      <c r="O323" t="s">
        <v>0</v>
      </c>
      <c r="P323" t="s">
        <v>11</v>
      </c>
      <c r="Q323" s="5">
        <v>31</v>
      </c>
      <c r="R323" s="4">
        <v>54500</v>
      </c>
      <c r="S323" s="5">
        <v>1</v>
      </c>
      <c r="T323" s="4">
        <v>1689500</v>
      </c>
      <c r="U323" s="5">
        <v>0</v>
      </c>
      <c r="V323" s="4">
        <v>0</v>
      </c>
      <c r="W323" s="5">
        <v>0</v>
      </c>
      <c r="X323" s="4">
        <v>0</v>
      </c>
      <c r="Y323" s="4">
        <f t="shared" ref="Y323:Y386" si="10">T323-V323</f>
        <v>1689500</v>
      </c>
      <c r="Z323" s="6" t="s">
        <v>0</v>
      </c>
      <c r="AA323" t="s">
        <v>2</v>
      </c>
      <c r="AB323" t="s">
        <v>12</v>
      </c>
      <c r="AC323">
        <f>_xlfn.XLOOKUP(AB323,'[1]GST Codes'!$A:$A,'[1]GST Codes'!$C:$C,0,0)</f>
        <v>18</v>
      </c>
      <c r="AD323">
        <f t="shared" ref="AD323:AD386" si="11">Y323+(Y323*AC323/100)</f>
        <v>1993610</v>
      </c>
      <c r="AE323" t="s">
        <v>13</v>
      </c>
      <c r="AF323" t="s">
        <v>0</v>
      </c>
      <c r="AG323" t="s">
        <v>14</v>
      </c>
      <c r="AH323" t="s">
        <v>15</v>
      </c>
      <c r="AI323" t="s">
        <v>16</v>
      </c>
      <c r="AJ323" t="s">
        <v>17</v>
      </c>
      <c r="AK323" t="s">
        <v>18</v>
      </c>
      <c r="AL323" t="s">
        <v>19</v>
      </c>
      <c r="AM323" t="s">
        <v>316</v>
      </c>
      <c r="AN323" t="s">
        <v>0</v>
      </c>
      <c r="AO323" t="s">
        <v>0</v>
      </c>
      <c r="AP323" t="s">
        <v>0</v>
      </c>
      <c r="AQ323" s="5">
        <v>31</v>
      </c>
      <c r="AR323" t="s">
        <v>11</v>
      </c>
      <c r="AS323" t="s">
        <v>0</v>
      </c>
      <c r="AT323" t="s">
        <v>17</v>
      </c>
      <c r="AU323" s="4">
        <v>0</v>
      </c>
      <c r="AV323" s="4">
        <v>0</v>
      </c>
      <c r="AW323" s="4">
        <v>0</v>
      </c>
      <c r="AX323" s="4">
        <v>0</v>
      </c>
      <c r="AY323" s="5">
        <v>0</v>
      </c>
      <c r="AZ323" s="5">
        <v>0</v>
      </c>
      <c r="BA323" s="5">
        <v>0</v>
      </c>
      <c r="BB323" s="2"/>
      <c r="BC323" t="s">
        <v>0</v>
      </c>
      <c r="BD323" s="5">
        <v>1</v>
      </c>
      <c r="BE323" t="s">
        <v>0</v>
      </c>
      <c r="BF323" t="s">
        <v>325</v>
      </c>
      <c r="BG323" t="s">
        <v>17</v>
      </c>
      <c r="BH323" t="s">
        <v>0</v>
      </c>
      <c r="BI323" t="s">
        <v>11</v>
      </c>
      <c r="BJ323" t="s">
        <v>0</v>
      </c>
      <c r="BK323" t="s">
        <v>0</v>
      </c>
      <c r="BL323" s="5">
        <v>0</v>
      </c>
      <c r="BM323" t="s">
        <v>0</v>
      </c>
      <c r="BN323" t="s">
        <v>0</v>
      </c>
      <c r="BO323" t="s">
        <v>0</v>
      </c>
      <c r="BP323" t="s">
        <v>17</v>
      </c>
      <c r="BQ323" t="s">
        <v>0</v>
      </c>
      <c r="BR323" t="s">
        <v>17</v>
      </c>
      <c r="BS323" t="s">
        <v>17</v>
      </c>
      <c r="BT323" t="s">
        <v>0</v>
      </c>
      <c r="BU323" t="s">
        <v>0</v>
      </c>
      <c r="BV323" t="s">
        <v>0</v>
      </c>
      <c r="BW323" t="s">
        <v>0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</row>
    <row r="324" spans="1:80" ht="13.95" customHeight="1" x14ac:dyDescent="0.25">
      <c r="A324" t="s">
        <v>337</v>
      </c>
      <c r="B324" s="2">
        <v>45612</v>
      </c>
      <c r="C324" s="2">
        <v>45677</v>
      </c>
      <c r="D324" s="2">
        <v>45736</v>
      </c>
      <c r="E324" t="s">
        <v>2</v>
      </c>
      <c r="F324" t="s">
        <v>3</v>
      </c>
      <c r="G324" t="s">
        <v>0</v>
      </c>
      <c r="H324" t="s">
        <v>4</v>
      </c>
      <c r="I324" t="s">
        <v>314</v>
      </c>
      <c r="J324" t="s">
        <v>6</v>
      </c>
      <c r="K324" t="s">
        <v>89</v>
      </c>
      <c r="L324" t="s">
        <v>43</v>
      </c>
      <c r="M324" t="s">
        <v>338</v>
      </c>
      <c r="N324" t="s">
        <v>10</v>
      </c>
      <c r="O324" t="s">
        <v>0</v>
      </c>
      <c r="P324" t="s">
        <v>11</v>
      </c>
      <c r="Q324" s="5">
        <v>31</v>
      </c>
      <c r="R324" s="4">
        <v>54500</v>
      </c>
      <c r="S324" s="5">
        <v>1</v>
      </c>
      <c r="T324" s="4">
        <v>1689500</v>
      </c>
      <c r="U324" s="5">
        <v>0</v>
      </c>
      <c r="V324" s="4">
        <v>0</v>
      </c>
      <c r="W324" s="5">
        <v>0</v>
      </c>
      <c r="X324" s="4">
        <v>0</v>
      </c>
      <c r="Y324" s="4">
        <f t="shared" si="10"/>
        <v>1689500</v>
      </c>
      <c r="Z324" s="6" t="s">
        <v>0</v>
      </c>
      <c r="AA324" t="s">
        <v>2</v>
      </c>
      <c r="AB324" t="s">
        <v>12</v>
      </c>
      <c r="AC324">
        <f>_xlfn.XLOOKUP(AB324,'[1]GST Codes'!$A:$A,'[1]GST Codes'!$C:$C,0,0)</f>
        <v>18</v>
      </c>
      <c r="AD324">
        <f t="shared" si="11"/>
        <v>1993610</v>
      </c>
      <c r="AE324" t="s">
        <v>13</v>
      </c>
      <c r="AF324" t="s">
        <v>0</v>
      </c>
      <c r="AG324" t="s">
        <v>14</v>
      </c>
      <c r="AH324" t="s">
        <v>15</v>
      </c>
      <c r="AI324" t="s">
        <v>16</v>
      </c>
      <c r="AJ324" t="s">
        <v>17</v>
      </c>
      <c r="AK324" t="s">
        <v>18</v>
      </c>
      <c r="AL324" t="s">
        <v>19</v>
      </c>
      <c r="AM324" t="s">
        <v>316</v>
      </c>
      <c r="AN324" t="s">
        <v>0</v>
      </c>
      <c r="AO324" t="s">
        <v>0</v>
      </c>
      <c r="AP324" t="s">
        <v>0</v>
      </c>
      <c r="AQ324" s="5">
        <v>31</v>
      </c>
      <c r="AR324" t="s">
        <v>11</v>
      </c>
      <c r="AS324" t="s">
        <v>0</v>
      </c>
      <c r="AT324" t="s">
        <v>17</v>
      </c>
      <c r="AU324" s="4">
        <v>0</v>
      </c>
      <c r="AV324" s="4">
        <v>0</v>
      </c>
      <c r="AW324" s="4">
        <v>0</v>
      </c>
      <c r="AX324" s="4">
        <v>0</v>
      </c>
      <c r="AY324" s="5">
        <v>0</v>
      </c>
      <c r="AZ324" s="5">
        <v>0</v>
      </c>
      <c r="BA324" s="5">
        <v>0</v>
      </c>
      <c r="BB324" s="2"/>
      <c r="BC324" t="s">
        <v>0</v>
      </c>
      <c r="BD324" s="5">
        <v>1</v>
      </c>
      <c r="BE324" t="s">
        <v>0</v>
      </c>
      <c r="BF324" t="s">
        <v>325</v>
      </c>
      <c r="BG324" t="s">
        <v>17</v>
      </c>
      <c r="BH324" t="s">
        <v>0</v>
      </c>
      <c r="BI324" t="s">
        <v>11</v>
      </c>
      <c r="BJ324" t="s">
        <v>0</v>
      </c>
      <c r="BK324" t="s">
        <v>0</v>
      </c>
      <c r="BL324" s="5">
        <v>0</v>
      </c>
      <c r="BM324" t="s">
        <v>0</v>
      </c>
      <c r="BN324" t="s">
        <v>0</v>
      </c>
      <c r="BO324" t="s">
        <v>0</v>
      </c>
      <c r="BP324" t="s">
        <v>17</v>
      </c>
      <c r="BQ324" t="s">
        <v>0</v>
      </c>
      <c r="BR324" t="s">
        <v>17</v>
      </c>
      <c r="BS324" t="s">
        <v>17</v>
      </c>
      <c r="BT324" t="s">
        <v>0</v>
      </c>
      <c r="BU324" t="s">
        <v>0</v>
      </c>
      <c r="BV324" t="s">
        <v>0</v>
      </c>
      <c r="BW324" t="s">
        <v>0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</row>
    <row r="325" spans="1:80" ht="13.95" customHeight="1" x14ac:dyDescent="0.25">
      <c r="A325" t="s">
        <v>337</v>
      </c>
      <c r="B325" s="2">
        <v>45612</v>
      </c>
      <c r="C325" s="2">
        <v>45677</v>
      </c>
      <c r="D325" s="2">
        <v>45736</v>
      </c>
      <c r="E325" t="s">
        <v>2</v>
      </c>
      <c r="F325" t="s">
        <v>3</v>
      </c>
      <c r="G325" t="s">
        <v>0</v>
      </c>
      <c r="H325" t="s">
        <v>4</v>
      </c>
      <c r="I325" t="s">
        <v>314</v>
      </c>
      <c r="J325" t="s">
        <v>6</v>
      </c>
      <c r="K325" t="s">
        <v>90</v>
      </c>
      <c r="L325" t="s">
        <v>43</v>
      </c>
      <c r="M325" t="s">
        <v>338</v>
      </c>
      <c r="N325" t="s">
        <v>10</v>
      </c>
      <c r="O325" t="s">
        <v>0</v>
      </c>
      <c r="P325" t="s">
        <v>11</v>
      </c>
      <c r="Q325" s="5">
        <v>12</v>
      </c>
      <c r="R325" s="4">
        <v>54500</v>
      </c>
      <c r="S325" s="5">
        <v>1</v>
      </c>
      <c r="T325" s="4">
        <v>654000</v>
      </c>
      <c r="U325" s="5">
        <v>0</v>
      </c>
      <c r="V325" s="4">
        <v>0</v>
      </c>
      <c r="W325" s="5">
        <v>0</v>
      </c>
      <c r="X325" s="4">
        <v>0</v>
      </c>
      <c r="Y325" s="4">
        <f t="shared" si="10"/>
        <v>654000</v>
      </c>
      <c r="Z325" s="6" t="s">
        <v>0</v>
      </c>
      <c r="AA325" t="s">
        <v>2</v>
      </c>
      <c r="AB325" t="s">
        <v>12</v>
      </c>
      <c r="AC325">
        <f>_xlfn.XLOOKUP(AB325,'[1]GST Codes'!$A:$A,'[1]GST Codes'!$C:$C,0,0)</f>
        <v>18</v>
      </c>
      <c r="AD325">
        <f t="shared" si="11"/>
        <v>771720</v>
      </c>
      <c r="AE325" t="s">
        <v>13</v>
      </c>
      <c r="AF325" t="s">
        <v>0</v>
      </c>
      <c r="AG325" t="s">
        <v>14</v>
      </c>
      <c r="AH325" t="s">
        <v>15</v>
      </c>
      <c r="AI325" t="s">
        <v>16</v>
      </c>
      <c r="AJ325" t="s">
        <v>17</v>
      </c>
      <c r="AK325" t="s">
        <v>18</v>
      </c>
      <c r="AL325" t="s">
        <v>19</v>
      </c>
      <c r="AM325" t="s">
        <v>316</v>
      </c>
      <c r="AN325" t="s">
        <v>0</v>
      </c>
      <c r="AO325" t="s">
        <v>0</v>
      </c>
      <c r="AP325" t="s">
        <v>0</v>
      </c>
      <c r="AQ325" s="5">
        <v>12</v>
      </c>
      <c r="AR325" t="s">
        <v>11</v>
      </c>
      <c r="AS325" t="s">
        <v>0</v>
      </c>
      <c r="AT325" t="s">
        <v>17</v>
      </c>
      <c r="AU325" s="4">
        <v>0</v>
      </c>
      <c r="AV325" s="4">
        <v>0</v>
      </c>
      <c r="AW325" s="4">
        <v>0</v>
      </c>
      <c r="AX325" s="4">
        <v>0</v>
      </c>
      <c r="AY325" s="5">
        <v>0</v>
      </c>
      <c r="AZ325" s="5">
        <v>0</v>
      </c>
      <c r="BA325" s="5">
        <v>0</v>
      </c>
      <c r="BB325" s="2"/>
      <c r="BC325" t="s">
        <v>0</v>
      </c>
      <c r="BD325" s="5">
        <v>1</v>
      </c>
      <c r="BE325" t="s">
        <v>0</v>
      </c>
      <c r="BF325" t="s">
        <v>325</v>
      </c>
      <c r="BG325" t="s">
        <v>17</v>
      </c>
      <c r="BH325" t="s">
        <v>0</v>
      </c>
      <c r="BI325" t="s">
        <v>11</v>
      </c>
      <c r="BJ325" t="s">
        <v>0</v>
      </c>
      <c r="BK325" t="s">
        <v>0</v>
      </c>
      <c r="BL325" s="5">
        <v>0</v>
      </c>
      <c r="BM325" t="s">
        <v>0</v>
      </c>
      <c r="BN325" t="s">
        <v>0</v>
      </c>
      <c r="BO325" t="s">
        <v>0</v>
      </c>
      <c r="BP325" t="s">
        <v>17</v>
      </c>
      <c r="BQ325" t="s">
        <v>0</v>
      </c>
      <c r="BR325" t="s">
        <v>17</v>
      </c>
      <c r="BS325" t="s">
        <v>17</v>
      </c>
      <c r="BT325" t="s">
        <v>0</v>
      </c>
      <c r="BU325" t="s">
        <v>0</v>
      </c>
      <c r="BV325" t="s">
        <v>0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</row>
    <row r="326" spans="1:80" ht="13.95" customHeight="1" x14ac:dyDescent="0.25">
      <c r="A326" t="s">
        <v>337</v>
      </c>
      <c r="B326" s="2">
        <v>45612</v>
      </c>
      <c r="C326" s="2">
        <v>45677</v>
      </c>
      <c r="D326" s="2">
        <v>45736</v>
      </c>
      <c r="E326" t="s">
        <v>2</v>
      </c>
      <c r="F326" t="s">
        <v>3</v>
      </c>
      <c r="G326" t="s">
        <v>0</v>
      </c>
      <c r="H326" t="s">
        <v>4</v>
      </c>
      <c r="I326" t="s">
        <v>314</v>
      </c>
      <c r="J326" t="s">
        <v>6</v>
      </c>
      <c r="K326" t="s">
        <v>177</v>
      </c>
      <c r="L326" t="s">
        <v>43</v>
      </c>
      <c r="M326" t="s">
        <v>338</v>
      </c>
      <c r="N326" t="s">
        <v>10</v>
      </c>
      <c r="O326" t="s">
        <v>0</v>
      </c>
      <c r="P326" t="s">
        <v>11</v>
      </c>
      <c r="Q326" s="5">
        <v>12</v>
      </c>
      <c r="R326" s="4">
        <v>54500</v>
      </c>
      <c r="S326" s="5">
        <v>1</v>
      </c>
      <c r="T326" s="4">
        <v>654000</v>
      </c>
      <c r="U326" s="5">
        <v>0</v>
      </c>
      <c r="V326" s="4">
        <v>0</v>
      </c>
      <c r="W326" s="5">
        <v>0</v>
      </c>
      <c r="X326" s="4">
        <v>0</v>
      </c>
      <c r="Y326" s="4">
        <f t="shared" si="10"/>
        <v>654000</v>
      </c>
      <c r="Z326" s="6" t="s">
        <v>0</v>
      </c>
      <c r="AA326" t="s">
        <v>2</v>
      </c>
      <c r="AB326" t="s">
        <v>12</v>
      </c>
      <c r="AC326">
        <f>_xlfn.XLOOKUP(AB326,'[1]GST Codes'!$A:$A,'[1]GST Codes'!$C:$C,0,0)</f>
        <v>18</v>
      </c>
      <c r="AD326">
        <f t="shared" si="11"/>
        <v>771720</v>
      </c>
      <c r="AE326" t="s">
        <v>13</v>
      </c>
      <c r="AF326" t="s">
        <v>0</v>
      </c>
      <c r="AG326" t="s">
        <v>14</v>
      </c>
      <c r="AH326" t="s">
        <v>15</v>
      </c>
      <c r="AI326" t="s">
        <v>16</v>
      </c>
      <c r="AJ326" t="s">
        <v>17</v>
      </c>
      <c r="AK326" t="s">
        <v>18</v>
      </c>
      <c r="AL326" t="s">
        <v>19</v>
      </c>
      <c r="AM326" t="s">
        <v>316</v>
      </c>
      <c r="AN326" t="s">
        <v>0</v>
      </c>
      <c r="AO326" t="s">
        <v>0</v>
      </c>
      <c r="AP326" t="s">
        <v>0</v>
      </c>
      <c r="AQ326" s="5">
        <v>12</v>
      </c>
      <c r="AR326" t="s">
        <v>11</v>
      </c>
      <c r="AS326" t="s">
        <v>0</v>
      </c>
      <c r="AT326" t="s">
        <v>17</v>
      </c>
      <c r="AU326" s="4">
        <v>0</v>
      </c>
      <c r="AV326" s="4">
        <v>0</v>
      </c>
      <c r="AW326" s="4">
        <v>0</v>
      </c>
      <c r="AX326" s="4">
        <v>0</v>
      </c>
      <c r="AY326" s="5">
        <v>0</v>
      </c>
      <c r="AZ326" s="5">
        <v>0</v>
      </c>
      <c r="BA326" s="5">
        <v>0</v>
      </c>
      <c r="BB326" s="2"/>
      <c r="BC326" t="s">
        <v>0</v>
      </c>
      <c r="BD326" s="5">
        <v>1</v>
      </c>
      <c r="BE326" t="s">
        <v>0</v>
      </c>
      <c r="BF326" t="s">
        <v>325</v>
      </c>
      <c r="BG326" t="s">
        <v>17</v>
      </c>
      <c r="BH326" t="s">
        <v>0</v>
      </c>
      <c r="BI326" t="s">
        <v>11</v>
      </c>
      <c r="BJ326" t="s">
        <v>0</v>
      </c>
      <c r="BK326" t="s">
        <v>0</v>
      </c>
      <c r="BL326" s="5">
        <v>0</v>
      </c>
      <c r="BM326" t="s">
        <v>0</v>
      </c>
      <c r="BN326" t="s">
        <v>0</v>
      </c>
      <c r="BO326" t="s">
        <v>0</v>
      </c>
      <c r="BP326" t="s">
        <v>17</v>
      </c>
      <c r="BQ326" t="s">
        <v>0</v>
      </c>
      <c r="BR326" t="s">
        <v>17</v>
      </c>
      <c r="BS326" t="s">
        <v>17</v>
      </c>
      <c r="BT326" t="s">
        <v>0</v>
      </c>
      <c r="BU326" t="s">
        <v>0</v>
      </c>
      <c r="BV326" t="s">
        <v>0</v>
      </c>
      <c r="BW326" t="s">
        <v>0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</row>
    <row r="327" spans="1:80" ht="13.95" customHeight="1" x14ac:dyDescent="0.25">
      <c r="A327" t="s">
        <v>337</v>
      </c>
      <c r="B327" s="2">
        <v>45612</v>
      </c>
      <c r="C327" s="2">
        <v>45677</v>
      </c>
      <c r="D327" s="2">
        <v>45736</v>
      </c>
      <c r="E327" t="s">
        <v>2</v>
      </c>
      <c r="F327" t="s">
        <v>3</v>
      </c>
      <c r="G327" t="s">
        <v>0</v>
      </c>
      <c r="H327" t="s">
        <v>4</v>
      </c>
      <c r="I327" t="s">
        <v>314</v>
      </c>
      <c r="J327" t="s">
        <v>6</v>
      </c>
      <c r="K327" t="s">
        <v>181</v>
      </c>
      <c r="L327" t="s">
        <v>43</v>
      </c>
      <c r="M327" t="s">
        <v>338</v>
      </c>
      <c r="N327" t="s">
        <v>10</v>
      </c>
      <c r="O327" t="s">
        <v>0</v>
      </c>
      <c r="P327" t="s">
        <v>11</v>
      </c>
      <c r="Q327" s="5">
        <v>26</v>
      </c>
      <c r="R327" s="4">
        <v>54500</v>
      </c>
      <c r="S327" s="5">
        <v>1</v>
      </c>
      <c r="T327" s="4">
        <v>1417000</v>
      </c>
      <c r="U327" s="5">
        <v>0</v>
      </c>
      <c r="V327" s="4">
        <v>0</v>
      </c>
      <c r="W327" s="5">
        <v>0</v>
      </c>
      <c r="X327" s="4">
        <v>0</v>
      </c>
      <c r="Y327" s="4">
        <f t="shared" si="10"/>
        <v>1417000</v>
      </c>
      <c r="Z327" s="6" t="s">
        <v>0</v>
      </c>
      <c r="AA327" t="s">
        <v>2</v>
      </c>
      <c r="AB327" t="s">
        <v>12</v>
      </c>
      <c r="AC327">
        <f>_xlfn.XLOOKUP(AB327,'[1]GST Codes'!$A:$A,'[1]GST Codes'!$C:$C,0,0)</f>
        <v>18</v>
      </c>
      <c r="AD327">
        <f t="shared" si="11"/>
        <v>1672060</v>
      </c>
      <c r="AE327" t="s">
        <v>13</v>
      </c>
      <c r="AF327" t="s">
        <v>0</v>
      </c>
      <c r="AG327" t="s">
        <v>14</v>
      </c>
      <c r="AH327" t="s">
        <v>15</v>
      </c>
      <c r="AI327" t="s">
        <v>16</v>
      </c>
      <c r="AJ327" t="s">
        <v>17</v>
      </c>
      <c r="AK327" t="s">
        <v>18</v>
      </c>
      <c r="AL327" t="s">
        <v>19</v>
      </c>
      <c r="AM327" t="s">
        <v>316</v>
      </c>
      <c r="AN327" t="s">
        <v>0</v>
      </c>
      <c r="AO327" t="s">
        <v>0</v>
      </c>
      <c r="AP327" t="s">
        <v>0</v>
      </c>
      <c r="AQ327" s="5">
        <v>26</v>
      </c>
      <c r="AR327" t="s">
        <v>11</v>
      </c>
      <c r="AS327" t="s">
        <v>0</v>
      </c>
      <c r="AT327" t="s">
        <v>17</v>
      </c>
      <c r="AU327" s="4">
        <v>0</v>
      </c>
      <c r="AV327" s="4">
        <v>0</v>
      </c>
      <c r="AW327" s="4">
        <v>0</v>
      </c>
      <c r="AX327" s="4">
        <v>0</v>
      </c>
      <c r="AY327" s="5">
        <v>0</v>
      </c>
      <c r="AZ327" s="5">
        <v>0</v>
      </c>
      <c r="BA327" s="5">
        <v>0</v>
      </c>
      <c r="BB327" s="2"/>
      <c r="BC327" t="s">
        <v>0</v>
      </c>
      <c r="BD327" s="5">
        <v>1</v>
      </c>
      <c r="BE327" t="s">
        <v>0</v>
      </c>
      <c r="BF327" t="s">
        <v>325</v>
      </c>
      <c r="BG327" t="s">
        <v>17</v>
      </c>
      <c r="BH327" t="s">
        <v>0</v>
      </c>
      <c r="BI327" t="s">
        <v>11</v>
      </c>
      <c r="BJ327" t="s">
        <v>0</v>
      </c>
      <c r="BK327" t="s">
        <v>0</v>
      </c>
      <c r="BL327" s="5">
        <v>0</v>
      </c>
      <c r="BM327" t="s">
        <v>0</v>
      </c>
      <c r="BN327" t="s">
        <v>0</v>
      </c>
      <c r="BO327" t="s">
        <v>0</v>
      </c>
      <c r="BP327" t="s">
        <v>17</v>
      </c>
      <c r="BQ327" t="s">
        <v>0</v>
      </c>
      <c r="BR327" t="s">
        <v>17</v>
      </c>
      <c r="BS327" t="s">
        <v>17</v>
      </c>
      <c r="BT327" t="s">
        <v>0</v>
      </c>
      <c r="BU327" t="s">
        <v>0</v>
      </c>
      <c r="BV327" t="s">
        <v>0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</row>
    <row r="328" spans="1:80" ht="13.95" customHeight="1" x14ac:dyDescent="0.25">
      <c r="A328" t="s">
        <v>337</v>
      </c>
      <c r="B328" s="2">
        <v>45612</v>
      </c>
      <c r="C328" s="2">
        <v>45677</v>
      </c>
      <c r="D328" s="2">
        <v>45736</v>
      </c>
      <c r="E328" t="s">
        <v>2</v>
      </c>
      <c r="F328" t="s">
        <v>3</v>
      </c>
      <c r="G328" t="s">
        <v>0</v>
      </c>
      <c r="H328" t="s">
        <v>4</v>
      </c>
      <c r="I328" t="s">
        <v>314</v>
      </c>
      <c r="J328" t="s">
        <v>6</v>
      </c>
      <c r="K328" t="s">
        <v>185</v>
      </c>
      <c r="L328" t="s">
        <v>329</v>
      </c>
      <c r="M328" t="s">
        <v>339</v>
      </c>
      <c r="N328" t="s">
        <v>10</v>
      </c>
      <c r="O328" t="s">
        <v>0</v>
      </c>
      <c r="P328" t="s">
        <v>11</v>
      </c>
      <c r="Q328" s="5">
        <v>87</v>
      </c>
      <c r="R328" s="4">
        <v>54500</v>
      </c>
      <c r="S328" s="5">
        <v>1</v>
      </c>
      <c r="T328" s="4">
        <v>4741500</v>
      </c>
      <c r="U328" s="5">
        <v>0</v>
      </c>
      <c r="V328" s="4">
        <v>0</v>
      </c>
      <c r="W328" s="5">
        <v>0</v>
      </c>
      <c r="X328" s="4">
        <v>0</v>
      </c>
      <c r="Y328" s="4">
        <f t="shared" si="10"/>
        <v>4741500</v>
      </c>
      <c r="Z328" s="6" t="s">
        <v>0</v>
      </c>
      <c r="AA328" t="s">
        <v>2</v>
      </c>
      <c r="AB328" t="s">
        <v>12</v>
      </c>
      <c r="AC328">
        <f>_xlfn.XLOOKUP(AB328,'[1]GST Codes'!$A:$A,'[1]GST Codes'!$C:$C,0,0)</f>
        <v>18</v>
      </c>
      <c r="AD328">
        <f t="shared" si="11"/>
        <v>5594970</v>
      </c>
      <c r="AE328" t="s">
        <v>13</v>
      </c>
      <c r="AF328" t="s">
        <v>0</v>
      </c>
      <c r="AG328" t="s">
        <v>14</v>
      </c>
      <c r="AH328" t="s">
        <v>15</v>
      </c>
      <c r="AI328" t="s">
        <v>16</v>
      </c>
      <c r="AJ328" t="s">
        <v>17</v>
      </c>
      <c r="AK328" t="s">
        <v>18</v>
      </c>
      <c r="AL328" t="s">
        <v>19</v>
      </c>
      <c r="AM328" t="s">
        <v>316</v>
      </c>
      <c r="AN328" t="s">
        <v>0</v>
      </c>
      <c r="AO328" t="s">
        <v>0</v>
      </c>
      <c r="AP328" t="s">
        <v>0</v>
      </c>
      <c r="AQ328" s="5">
        <v>87</v>
      </c>
      <c r="AR328" t="s">
        <v>11</v>
      </c>
      <c r="AS328" t="s">
        <v>0</v>
      </c>
      <c r="AT328" t="s">
        <v>17</v>
      </c>
      <c r="AU328" s="4">
        <v>0</v>
      </c>
      <c r="AV328" s="4">
        <v>0</v>
      </c>
      <c r="AW328" s="4">
        <v>0</v>
      </c>
      <c r="AX328" s="4">
        <v>0</v>
      </c>
      <c r="AY328" s="5">
        <v>0</v>
      </c>
      <c r="AZ328" s="5">
        <v>0</v>
      </c>
      <c r="BA328" s="5">
        <v>0</v>
      </c>
      <c r="BB328" s="2"/>
      <c r="BC328" t="s">
        <v>0</v>
      </c>
      <c r="BD328" s="5">
        <v>1</v>
      </c>
      <c r="BE328" t="s">
        <v>0</v>
      </c>
      <c r="BF328" t="s">
        <v>331</v>
      </c>
      <c r="BG328" t="s">
        <v>17</v>
      </c>
      <c r="BH328" t="s">
        <v>0</v>
      </c>
      <c r="BI328" t="s">
        <v>11</v>
      </c>
      <c r="BJ328" t="s">
        <v>0</v>
      </c>
      <c r="BK328" t="s">
        <v>0</v>
      </c>
      <c r="BL328" s="5">
        <v>0</v>
      </c>
      <c r="BM328" t="s">
        <v>0</v>
      </c>
      <c r="BN328" t="s">
        <v>0</v>
      </c>
      <c r="BO328" t="s">
        <v>0</v>
      </c>
      <c r="BP328" t="s">
        <v>17</v>
      </c>
      <c r="BQ328" t="s">
        <v>0</v>
      </c>
      <c r="BR328" t="s">
        <v>17</v>
      </c>
      <c r="BS328" t="s">
        <v>17</v>
      </c>
      <c r="BT328" t="s">
        <v>0</v>
      </c>
      <c r="BU328" t="s">
        <v>0</v>
      </c>
      <c r="BV328" t="s">
        <v>0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</row>
    <row r="329" spans="1:80" ht="13.95" customHeight="1" x14ac:dyDescent="0.25">
      <c r="A329" t="s">
        <v>337</v>
      </c>
      <c r="B329" s="2">
        <v>45612</v>
      </c>
      <c r="C329" s="2">
        <v>45677</v>
      </c>
      <c r="D329" s="2">
        <v>45736</v>
      </c>
      <c r="E329" t="s">
        <v>2</v>
      </c>
      <c r="F329" t="s">
        <v>3</v>
      </c>
      <c r="G329" t="s">
        <v>0</v>
      </c>
      <c r="H329" t="s">
        <v>4</v>
      </c>
      <c r="I329" t="s">
        <v>314</v>
      </c>
      <c r="J329" t="s">
        <v>6</v>
      </c>
      <c r="K329" t="s">
        <v>189</v>
      </c>
      <c r="L329" t="s">
        <v>329</v>
      </c>
      <c r="M329" t="s">
        <v>339</v>
      </c>
      <c r="N329" t="s">
        <v>10</v>
      </c>
      <c r="O329" t="s">
        <v>0</v>
      </c>
      <c r="P329" t="s">
        <v>11</v>
      </c>
      <c r="Q329" s="5">
        <v>87</v>
      </c>
      <c r="R329" s="4">
        <v>54500</v>
      </c>
      <c r="S329" s="5">
        <v>1</v>
      </c>
      <c r="T329" s="4">
        <v>4741500</v>
      </c>
      <c r="U329" s="5">
        <v>0</v>
      </c>
      <c r="V329" s="4">
        <v>0</v>
      </c>
      <c r="W329" s="5">
        <v>0</v>
      </c>
      <c r="X329" s="4">
        <v>0</v>
      </c>
      <c r="Y329" s="4">
        <f t="shared" si="10"/>
        <v>4741500</v>
      </c>
      <c r="Z329" s="6" t="s">
        <v>0</v>
      </c>
      <c r="AA329" t="s">
        <v>2</v>
      </c>
      <c r="AB329" t="s">
        <v>12</v>
      </c>
      <c r="AC329">
        <f>_xlfn.XLOOKUP(AB329,'[1]GST Codes'!$A:$A,'[1]GST Codes'!$C:$C,0,0)</f>
        <v>18</v>
      </c>
      <c r="AD329">
        <f t="shared" si="11"/>
        <v>5594970</v>
      </c>
      <c r="AE329" t="s">
        <v>13</v>
      </c>
      <c r="AF329" t="s">
        <v>0</v>
      </c>
      <c r="AG329" t="s">
        <v>14</v>
      </c>
      <c r="AH329" t="s">
        <v>15</v>
      </c>
      <c r="AI329" t="s">
        <v>16</v>
      </c>
      <c r="AJ329" t="s">
        <v>17</v>
      </c>
      <c r="AK329" t="s">
        <v>18</v>
      </c>
      <c r="AL329" t="s">
        <v>19</v>
      </c>
      <c r="AM329" t="s">
        <v>316</v>
      </c>
      <c r="AN329" t="s">
        <v>0</v>
      </c>
      <c r="AO329" t="s">
        <v>0</v>
      </c>
      <c r="AP329" t="s">
        <v>0</v>
      </c>
      <c r="AQ329" s="5">
        <v>87</v>
      </c>
      <c r="AR329" t="s">
        <v>11</v>
      </c>
      <c r="AS329" t="s">
        <v>0</v>
      </c>
      <c r="AT329" t="s">
        <v>17</v>
      </c>
      <c r="AU329" s="4">
        <v>0</v>
      </c>
      <c r="AV329" s="4">
        <v>0</v>
      </c>
      <c r="AW329" s="4">
        <v>0</v>
      </c>
      <c r="AX329" s="4">
        <v>0</v>
      </c>
      <c r="AY329" s="5">
        <v>0</v>
      </c>
      <c r="AZ329" s="5">
        <v>0</v>
      </c>
      <c r="BA329" s="5">
        <v>0</v>
      </c>
      <c r="BB329" s="2"/>
      <c r="BC329" t="s">
        <v>0</v>
      </c>
      <c r="BD329" s="5">
        <v>1</v>
      </c>
      <c r="BE329" t="s">
        <v>0</v>
      </c>
      <c r="BF329" t="s">
        <v>331</v>
      </c>
      <c r="BG329" t="s">
        <v>17</v>
      </c>
      <c r="BH329" t="s">
        <v>0</v>
      </c>
      <c r="BI329" t="s">
        <v>11</v>
      </c>
      <c r="BJ329" t="s">
        <v>0</v>
      </c>
      <c r="BK329" t="s">
        <v>0</v>
      </c>
      <c r="BL329" s="5">
        <v>0</v>
      </c>
      <c r="BM329" t="s">
        <v>0</v>
      </c>
      <c r="BN329" t="s">
        <v>0</v>
      </c>
      <c r="BO329" t="s">
        <v>0</v>
      </c>
      <c r="BP329" t="s">
        <v>17</v>
      </c>
      <c r="BQ329" t="s">
        <v>0</v>
      </c>
      <c r="BR329" t="s">
        <v>17</v>
      </c>
      <c r="BS329" t="s">
        <v>17</v>
      </c>
      <c r="BT329" t="s">
        <v>0</v>
      </c>
      <c r="BU329" t="s">
        <v>0</v>
      </c>
      <c r="BV329" t="s">
        <v>0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</row>
    <row r="330" spans="1:80" ht="13.95" customHeight="1" x14ac:dyDescent="0.25">
      <c r="A330" t="s">
        <v>337</v>
      </c>
      <c r="B330" s="2">
        <v>45612</v>
      </c>
      <c r="C330" s="2">
        <v>45677</v>
      </c>
      <c r="D330" s="2">
        <v>45736</v>
      </c>
      <c r="E330" t="s">
        <v>2</v>
      </c>
      <c r="F330" t="s">
        <v>3</v>
      </c>
      <c r="G330" t="s">
        <v>0</v>
      </c>
      <c r="H330" t="s">
        <v>4</v>
      </c>
      <c r="I330" t="s">
        <v>314</v>
      </c>
      <c r="J330" t="s">
        <v>6</v>
      </c>
      <c r="K330" t="s">
        <v>193</v>
      </c>
      <c r="L330" t="s">
        <v>329</v>
      </c>
      <c r="M330" t="s">
        <v>339</v>
      </c>
      <c r="N330" t="s">
        <v>10</v>
      </c>
      <c r="O330" t="s">
        <v>0</v>
      </c>
      <c r="P330" t="s">
        <v>11</v>
      </c>
      <c r="Q330" s="5">
        <v>418</v>
      </c>
      <c r="R330" s="4">
        <v>54500</v>
      </c>
      <c r="S330" s="5">
        <v>1</v>
      </c>
      <c r="T330" s="4">
        <v>22781000</v>
      </c>
      <c r="U330" s="5">
        <v>0</v>
      </c>
      <c r="V330" s="4">
        <v>0</v>
      </c>
      <c r="W330" s="5">
        <v>0</v>
      </c>
      <c r="X330" s="4">
        <v>0</v>
      </c>
      <c r="Y330" s="4">
        <f t="shared" si="10"/>
        <v>22781000</v>
      </c>
      <c r="Z330" s="6" t="s">
        <v>0</v>
      </c>
      <c r="AA330" t="s">
        <v>2</v>
      </c>
      <c r="AB330" t="s">
        <v>12</v>
      </c>
      <c r="AC330">
        <f>_xlfn.XLOOKUP(AB330,'[1]GST Codes'!$A:$A,'[1]GST Codes'!$C:$C,0,0)</f>
        <v>18</v>
      </c>
      <c r="AD330">
        <f t="shared" si="11"/>
        <v>26881580</v>
      </c>
      <c r="AE330" t="s">
        <v>13</v>
      </c>
      <c r="AF330" t="s">
        <v>0</v>
      </c>
      <c r="AG330" t="s">
        <v>14</v>
      </c>
      <c r="AH330" t="s">
        <v>15</v>
      </c>
      <c r="AI330" t="s">
        <v>16</v>
      </c>
      <c r="AJ330" t="s">
        <v>17</v>
      </c>
      <c r="AK330" t="s">
        <v>18</v>
      </c>
      <c r="AL330" t="s">
        <v>19</v>
      </c>
      <c r="AM330" t="s">
        <v>316</v>
      </c>
      <c r="AN330" t="s">
        <v>0</v>
      </c>
      <c r="AO330" t="s">
        <v>0</v>
      </c>
      <c r="AP330" t="s">
        <v>0</v>
      </c>
      <c r="AQ330" s="5">
        <v>418</v>
      </c>
      <c r="AR330" t="s">
        <v>11</v>
      </c>
      <c r="AS330" t="s">
        <v>0</v>
      </c>
      <c r="AT330" t="s">
        <v>17</v>
      </c>
      <c r="AU330" s="4">
        <v>0</v>
      </c>
      <c r="AV330" s="4">
        <v>0</v>
      </c>
      <c r="AW330" s="4">
        <v>0</v>
      </c>
      <c r="AX330" s="4">
        <v>0</v>
      </c>
      <c r="AY330" s="5">
        <v>0</v>
      </c>
      <c r="AZ330" s="5">
        <v>0</v>
      </c>
      <c r="BA330" s="5">
        <v>0</v>
      </c>
      <c r="BB330" s="2"/>
      <c r="BC330" t="s">
        <v>0</v>
      </c>
      <c r="BD330" s="5">
        <v>1</v>
      </c>
      <c r="BE330" t="s">
        <v>0</v>
      </c>
      <c r="BF330" t="s">
        <v>331</v>
      </c>
      <c r="BG330" t="s">
        <v>17</v>
      </c>
      <c r="BH330" t="s">
        <v>0</v>
      </c>
      <c r="BI330" t="s">
        <v>11</v>
      </c>
      <c r="BJ330" t="s">
        <v>0</v>
      </c>
      <c r="BK330" t="s">
        <v>0</v>
      </c>
      <c r="BL330" s="5">
        <v>0</v>
      </c>
      <c r="BM330" t="s">
        <v>0</v>
      </c>
      <c r="BN330" t="s">
        <v>0</v>
      </c>
      <c r="BO330" t="s">
        <v>0</v>
      </c>
      <c r="BP330" t="s">
        <v>17</v>
      </c>
      <c r="BQ330" t="s">
        <v>0</v>
      </c>
      <c r="BR330" t="s">
        <v>17</v>
      </c>
      <c r="BS330" t="s">
        <v>17</v>
      </c>
      <c r="BT330" t="s">
        <v>0</v>
      </c>
      <c r="BU330" t="s">
        <v>0</v>
      </c>
      <c r="BV330" t="s">
        <v>0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</row>
    <row r="331" spans="1:80" ht="13.95" customHeight="1" x14ac:dyDescent="0.25">
      <c r="A331" t="s">
        <v>337</v>
      </c>
      <c r="B331" s="2">
        <v>45612</v>
      </c>
      <c r="C331" s="2">
        <v>45677</v>
      </c>
      <c r="D331" s="2">
        <v>45736</v>
      </c>
      <c r="E331" t="s">
        <v>2</v>
      </c>
      <c r="F331" t="s">
        <v>3</v>
      </c>
      <c r="G331" t="s">
        <v>0</v>
      </c>
      <c r="H331" t="s">
        <v>4</v>
      </c>
      <c r="I331" t="s">
        <v>314</v>
      </c>
      <c r="J331" t="s">
        <v>6</v>
      </c>
      <c r="K331" t="s">
        <v>197</v>
      </c>
      <c r="L331" t="s">
        <v>329</v>
      </c>
      <c r="M331" t="s">
        <v>339</v>
      </c>
      <c r="N331" t="s">
        <v>10</v>
      </c>
      <c r="O331" t="s">
        <v>0</v>
      </c>
      <c r="P331" t="s">
        <v>11</v>
      </c>
      <c r="Q331" s="3">
        <v>370.89</v>
      </c>
      <c r="R331" s="4">
        <v>54500</v>
      </c>
      <c r="S331" s="5">
        <v>1</v>
      </c>
      <c r="T331" s="4">
        <v>20213505</v>
      </c>
      <c r="U331" s="5">
        <v>0</v>
      </c>
      <c r="V331" s="4">
        <v>0</v>
      </c>
      <c r="W331" s="5">
        <v>0</v>
      </c>
      <c r="X331" s="4">
        <v>0</v>
      </c>
      <c r="Y331" s="4">
        <f t="shared" si="10"/>
        <v>20213505</v>
      </c>
      <c r="Z331" s="6" t="s">
        <v>0</v>
      </c>
      <c r="AA331" t="s">
        <v>2</v>
      </c>
      <c r="AB331" t="s">
        <v>12</v>
      </c>
      <c r="AC331">
        <f>_xlfn.XLOOKUP(AB331,'[1]GST Codes'!$A:$A,'[1]GST Codes'!$C:$C,0,0)</f>
        <v>18</v>
      </c>
      <c r="AD331">
        <f t="shared" si="11"/>
        <v>23851935.899999999</v>
      </c>
      <c r="AE331" t="s">
        <v>13</v>
      </c>
      <c r="AF331" t="s">
        <v>0</v>
      </c>
      <c r="AG331" t="s">
        <v>14</v>
      </c>
      <c r="AH331" t="s">
        <v>15</v>
      </c>
      <c r="AI331" t="s">
        <v>16</v>
      </c>
      <c r="AJ331" t="s">
        <v>17</v>
      </c>
      <c r="AK331" t="s">
        <v>18</v>
      </c>
      <c r="AL331" t="s">
        <v>19</v>
      </c>
      <c r="AM331" t="s">
        <v>316</v>
      </c>
      <c r="AN331" t="s">
        <v>0</v>
      </c>
      <c r="AO331" t="s">
        <v>0</v>
      </c>
      <c r="AP331" t="s">
        <v>0</v>
      </c>
      <c r="AQ331" s="3">
        <v>370.89</v>
      </c>
      <c r="AR331" t="s">
        <v>11</v>
      </c>
      <c r="AS331" t="s">
        <v>0</v>
      </c>
      <c r="AT331" t="s">
        <v>17</v>
      </c>
      <c r="AU331" s="4">
        <v>0</v>
      </c>
      <c r="AV331" s="4">
        <v>0</v>
      </c>
      <c r="AW331" s="4">
        <v>0</v>
      </c>
      <c r="AX331" s="4">
        <v>0</v>
      </c>
      <c r="AY331" s="5">
        <v>0</v>
      </c>
      <c r="AZ331" s="5">
        <v>0</v>
      </c>
      <c r="BA331" s="5">
        <v>0</v>
      </c>
      <c r="BB331" s="2"/>
      <c r="BC331" t="s">
        <v>0</v>
      </c>
      <c r="BD331" s="5">
        <v>1</v>
      </c>
      <c r="BE331" t="s">
        <v>0</v>
      </c>
      <c r="BF331" t="s">
        <v>331</v>
      </c>
      <c r="BG331" t="s">
        <v>17</v>
      </c>
      <c r="BH331" t="s">
        <v>0</v>
      </c>
      <c r="BI331" t="s">
        <v>11</v>
      </c>
      <c r="BJ331" t="s">
        <v>0</v>
      </c>
      <c r="BK331" t="s">
        <v>0</v>
      </c>
      <c r="BL331" s="5">
        <v>0</v>
      </c>
      <c r="BM331" t="s">
        <v>0</v>
      </c>
      <c r="BN331" t="s">
        <v>0</v>
      </c>
      <c r="BO331" t="s">
        <v>0</v>
      </c>
      <c r="BP331" t="s">
        <v>17</v>
      </c>
      <c r="BQ331" t="s">
        <v>0</v>
      </c>
      <c r="BR331" t="s">
        <v>17</v>
      </c>
      <c r="BS331" t="s">
        <v>17</v>
      </c>
      <c r="BT331" t="s">
        <v>0</v>
      </c>
      <c r="BU331" t="s">
        <v>0</v>
      </c>
      <c r="BV331" t="s">
        <v>0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</row>
    <row r="332" spans="1:80" x14ac:dyDescent="0.25">
      <c r="A332" t="s">
        <v>337</v>
      </c>
      <c r="B332" s="2">
        <v>45612</v>
      </c>
      <c r="C332" s="2">
        <v>45677</v>
      </c>
      <c r="D332" s="2">
        <v>45736</v>
      </c>
      <c r="E332" t="s">
        <v>2</v>
      </c>
      <c r="F332" t="s">
        <v>3</v>
      </c>
      <c r="G332" t="s">
        <v>98</v>
      </c>
      <c r="H332" t="s">
        <v>4</v>
      </c>
      <c r="I332" t="s">
        <v>314</v>
      </c>
      <c r="J332" t="s">
        <v>6</v>
      </c>
      <c r="K332" t="s">
        <v>201</v>
      </c>
      <c r="L332" t="s">
        <v>329</v>
      </c>
      <c r="M332" t="s">
        <v>339</v>
      </c>
      <c r="N332" t="s">
        <v>10</v>
      </c>
      <c r="O332" t="s">
        <v>0</v>
      </c>
      <c r="P332" t="s">
        <v>11</v>
      </c>
      <c r="Q332" s="5">
        <v>23</v>
      </c>
      <c r="R332" s="4">
        <v>54500</v>
      </c>
      <c r="S332" s="5">
        <v>1</v>
      </c>
      <c r="T332" s="4">
        <v>1253500</v>
      </c>
      <c r="U332" s="5">
        <v>0</v>
      </c>
      <c r="V332" s="4">
        <v>0</v>
      </c>
      <c r="W332" s="5">
        <v>0</v>
      </c>
      <c r="X332" s="4">
        <v>0</v>
      </c>
      <c r="Y332" s="4">
        <f t="shared" si="10"/>
        <v>1253500</v>
      </c>
      <c r="Z332" t="s">
        <v>0</v>
      </c>
      <c r="AA332" t="s">
        <v>2</v>
      </c>
      <c r="AB332" t="s">
        <v>12</v>
      </c>
      <c r="AC332">
        <f>_xlfn.XLOOKUP(AB332,'[1]GST Codes'!$A:$A,'[1]GST Codes'!$C:$C,0,0)</f>
        <v>18</v>
      </c>
      <c r="AD332">
        <f t="shared" si="11"/>
        <v>1479130</v>
      </c>
      <c r="AE332" t="s">
        <v>13</v>
      </c>
      <c r="AF332" t="s">
        <v>0</v>
      </c>
      <c r="AG332" t="s">
        <v>14</v>
      </c>
      <c r="AH332" t="s">
        <v>15</v>
      </c>
      <c r="AI332" t="s">
        <v>16</v>
      </c>
      <c r="AJ332" t="s">
        <v>17</v>
      </c>
      <c r="AK332" t="s">
        <v>18</v>
      </c>
      <c r="AL332" t="s">
        <v>19</v>
      </c>
      <c r="AM332" t="s">
        <v>316</v>
      </c>
      <c r="AN332" t="s">
        <v>0</v>
      </c>
      <c r="AO332" t="s">
        <v>0</v>
      </c>
      <c r="AP332" t="s">
        <v>0</v>
      </c>
      <c r="AQ332" s="5">
        <v>23</v>
      </c>
      <c r="AR332" t="s">
        <v>11</v>
      </c>
      <c r="AS332" t="s">
        <v>0</v>
      </c>
      <c r="AT332" t="s">
        <v>17</v>
      </c>
      <c r="AU332" s="4">
        <v>0</v>
      </c>
      <c r="AV332" s="4">
        <v>0</v>
      </c>
      <c r="AW332" s="4">
        <v>0</v>
      </c>
      <c r="AX332" s="4">
        <v>0</v>
      </c>
      <c r="AY332" s="5">
        <v>0</v>
      </c>
      <c r="AZ332" s="5">
        <v>0</v>
      </c>
      <c r="BA332" s="5">
        <v>0</v>
      </c>
      <c r="BB332" s="2"/>
      <c r="BC332" t="s">
        <v>0</v>
      </c>
      <c r="BD332" s="5">
        <v>1</v>
      </c>
      <c r="BE332" t="s">
        <v>0</v>
      </c>
      <c r="BF332" t="s">
        <v>331</v>
      </c>
      <c r="BG332" t="s">
        <v>17</v>
      </c>
      <c r="BH332" t="s">
        <v>0</v>
      </c>
      <c r="BI332" t="s">
        <v>11</v>
      </c>
      <c r="BJ332" t="s">
        <v>0</v>
      </c>
      <c r="BK332" t="s">
        <v>0</v>
      </c>
      <c r="BL332" s="5">
        <v>0</v>
      </c>
      <c r="BM332" t="s">
        <v>0</v>
      </c>
      <c r="BN332" t="s">
        <v>0</v>
      </c>
      <c r="BO332" t="s">
        <v>0</v>
      </c>
      <c r="BP332" t="s">
        <v>17</v>
      </c>
      <c r="BQ332" t="s">
        <v>0</v>
      </c>
      <c r="BR332" t="s">
        <v>17</v>
      </c>
      <c r="BS332" t="s">
        <v>17</v>
      </c>
      <c r="BT332" t="s">
        <v>0</v>
      </c>
      <c r="BU332" t="s">
        <v>0</v>
      </c>
      <c r="BV332" t="s">
        <v>0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</row>
    <row r="333" spans="1:80" x14ac:dyDescent="0.25">
      <c r="A333" t="s">
        <v>337</v>
      </c>
      <c r="B333" s="2">
        <v>45612</v>
      </c>
      <c r="C333" s="2">
        <v>45677</v>
      </c>
      <c r="D333" s="2">
        <v>45736</v>
      </c>
      <c r="E333" t="s">
        <v>2</v>
      </c>
      <c r="F333" t="s">
        <v>3</v>
      </c>
      <c r="G333" t="s">
        <v>98</v>
      </c>
      <c r="H333" t="s">
        <v>4</v>
      </c>
      <c r="I333" t="s">
        <v>314</v>
      </c>
      <c r="J333" t="s">
        <v>6</v>
      </c>
      <c r="K333" t="s">
        <v>205</v>
      </c>
      <c r="L333" t="s">
        <v>329</v>
      </c>
      <c r="M333" t="s">
        <v>339</v>
      </c>
      <c r="N333" t="s">
        <v>10</v>
      </c>
      <c r="O333" t="s">
        <v>0</v>
      </c>
      <c r="P333" t="s">
        <v>11</v>
      </c>
      <c r="Q333" s="5">
        <v>23</v>
      </c>
      <c r="R333" s="4">
        <v>54500</v>
      </c>
      <c r="S333" s="5">
        <v>1</v>
      </c>
      <c r="T333" s="4">
        <v>1253500</v>
      </c>
      <c r="U333" s="5">
        <v>0</v>
      </c>
      <c r="V333" s="4">
        <v>0</v>
      </c>
      <c r="W333" s="5">
        <v>0</v>
      </c>
      <c r="X333" s="4">
        <v>0</v>
      </c>
      <c r="Y333" s="4">
        <f t="shared" si="10"/>
        <v>1253500</v>
      </c>
      <c r="Z333" t="s">
        <v>0</v>
      </c>
      <c r="AA333" t="s">
        <v>2</v>
      </c>
      <c r="AB333" t="s">
        <v>12</v>
      </c>
      <c r="AC333">
        <f>_xlfn.XLOOKUP(AB333,'[1]GST Codes'!$A:$A,'[1]GST Codes'!$C:$C,0,0)</f>
        <v>18</v>
      </c>
      <c r="AD333">
        <f t="shared" si="11"/>
        <v>1479130</v>
      </c>
      <c r="AE333" t="s">
        <v>13</v>
      </c>
      <c r="AF333" t="s">
        <v>0</v>
      </c>
      <c r="AG333" t="s">
        <v>14</v>
      </c>
      <c r="AH333" t="s">
        <v>15</v>
      </c>
      <c r="AI333" t="s">
        <v>16</v>
      </c>
      <c r="AJ333" t="s">
        <v>17</v>
      </c>
      <c r="AK333" t="s">
        <v>18</v>
      </c>
      <c r="AL333" t="s">
        <v>19</v>
      </c>
      <c r="AM333" t="s">
        <v>316</v>
      </c>
      <c r="AN333" t="s">
        <v>0</v>
      </c>
      <c r="AO333" t="s">
        <v>0</v>
      </c>
      <c r="AP333" t="s">
        <v>0</v>
      </c>
      <c r="AQ333" s="5">
        <v>23</v>
      </c>
      <c r="AR333" t="s">
        <v>11</v>
      </c>
      <c r="AS333" t="s">
        <v>0</v>
      </c>
      <c r="AT333" t="s">
        <v>17</v>
      </c>
      <c r="AU333" s="4">
        <v>0</v>
      </c>
      <c r="AV333" s="4">
        <v>0</v>
      </c>
      <c r="AW333" s="4">
        <v>0</v>
      </c>
      <c r="AX333" s="4">
        <v>0</v>
      </c>
      <c r="AY333" s="5">
        <v>0</v>
      </c>
      <c r="AZ333" s="5">
        <v>0</v>
      </c>
      <c r="BA333" s="5">
        <v>0</v>
      </c>
      <c r="BB333" s="2"/>
      <c r="BC333" t="s">
        <v>0</v>
      </c>
      <c r="BD333" s="5">
        <v>1</v>
      </c>
      <c r="BE333" t="s">
        <v>0</v>
      </c>
      <c r="BF333" t="s">
        <v>331</v>
      </c>
      <c r="BG333" t="s">
        <v>17</v>
      </c>
      <c r="BH333" t="s">
        <v>0</v>
      </c>
      <c r="BI333" t="s">
        <v>11</v>
      </c>
      <c r="BJ333" t="s">
        <v>0</v>
      </c>
      <c r="BK333" t="s">
        <v>0</v>
      </c>
      <c r="BL333" s="5">
        <v>0</v>
      </c>
      <c r="BM333" t="s">
        <v>0</v>
      </c>
      <c r="BN333" t="s">
        <v>0</v>
      </c>
      <c r="BO333" t="s">
        <v>0</v>
      </c>
      <c r="BP333" t="s">
        <v>17</v>
      </c>
      <c r="BQ333" t="s">
        <v>0</v>
      </c>
      <c r="BR333" t="s">
        <v>17</v>
      </c>
      <c r="BS333" t="s">
        <v>17</v>
      </c>
      <c r="BT333" t="s">
        <v>0</v>
      </c>
      <c r="BU333" t="s">
        <v>0</v>
      </c>
      <c r="BV333" t="s">
        <v>0</v>
      </c>
      <c r="BW333" t="s">
        <v>0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</row>
    <row r="334" spans="1:80" x14ac:dyDescent="0.25">
      <c r="A334" t="s">
        <v>337</v>
      </c>
      <c r="B334" s="2">
        <v>45612</v>
      </c>
      <c r="C334" s="2">
        <v>45677</v>
      </c>
      <c r="D334" s="2">
        <v>45736</v>
      </c>
      <c r="E334" t="s">
        <v>2</v>
      </c>
      <c r="F334" t="s">
        <v>3</v>
      </c>
      <c r="G334" t="s">
        <v>98</v>
      </c>
      <c r="H334" t="s">
        <v>4</v>
      </c>
      <c r="I334" t="s">
        <v>314</v>
      </c>
      <c r="J334" t="s">
        <v>6</v>
      </c>
      <c r="K334" t="s">
        <v>209</v>
      </c>
      <c r="L334" t="s">
        <v>329</v>
      </c>
      <c r="M334" t="s">
        <v>339</v>
      </c>
      <c r="N334" t="s">
        <v>10</v>
      </c>
      <c r="O334" t="s">
        <v>0</v>
      </c>
      <c r="P334" t="s">
        <v>11</v>
      </c>
      <c r="Q334" s="3">
        <v>6.89</v>
      </c>
      <c r="R334" s="4">
        <v>54500</v>
      </c>
      <c r="S334" s="5">
        <v>1</v>
      </c>
      <c r="T334" s="4">
        <v>375505</v>
      </c>
      <c r="U334" s="5">
        <v>0</v>
      </c>
      <c r="V334" s="4">
        <v>0</v>
      </c>
      <c r="W334" s="5">
        <v>0</v>
      </c>
      <c r="X334" s="4">
        <v>0</v>
      </c>
      <c r="Y334" s="4">
        <f t="shared" si="10"/>
        <v>375505</v>
      </c>
      <c r="Z334" t="s">
        <v>0</v>
      </c>
      <c r="AA334" t="s">
        <v>2</v>
      </c>
      <c r="AB334" t="s">
        <v>12</v>
      </c>
      <c r="AC334">
        <f>_xlfn.XLOOKUP(AB334,'[1]GST Codes'!$A:$A,'[1]GST Codes'!$C:$C,0,0)</f>
        <v>18</v>
      </c>
      <c r="AD334">
        <f t="shared" si="11"/>
        <v>443095.9</v>
      </c>
      <c r="AE334" t="s">
        <v>13</v>
      </c>
      <c r="AF334" t="s">
        <v>0</v>
      </c>
      <c r="AG334" t="s">
        <v>14</v>
      </c>
      <c r="AH334" t="s">
        <v>15</v>
      </c>
      <c r="AI334" t="s">
        <v>16</v>
      </c>
      <c r="AJ334" t="s">
        <v>17</v>
      </c>
      <c r="AK334" t="s">
        <v>18</v>
      </c>
      <c r="AL334" t="s">
        <v>19</v>
      </c>
      <c r="AM334" t="s">
        <v>316</v>
      </c>
      <c r="AN334" t="s">
        <v>0</v>
      </c>
      <c r="AO334" t="s">
        <v>0</v>
      </c>
      <c r="AP334" t="s">
        <v>0</v>
      </c>
      <c r="AQ334" s="3">
        <v>6.89</v>
      </c>
      <c r="AR334" t="s">
        <v>11</v>
      </c>
      <c r="AS334" t="s">
        <v>0</v>
      </c>
      <c r="AT334" t="s">
        <v>17</v>
      </c>
      <c r="AU334" s="4">
        <v>0</v>
      </c>
      <c r="AV334" s="4">
        <v>0</v>
      </c>
      <c r="AW334" s="4">
        <v>0</v>
      </c>
      <c r="AX334" s="4">
        <v>0</v>
      </c>
      <c r="AY334" s="5">
        <v>0</v>
      </c>
      <c r="AZ334" s="5">
        <v>0</v>
      </c>
      <c r="BA334" s="5">
        <v>0</v>
      </c>
      <c r="BB334" s="2"/>
      <c r="BC334" t="s">
        <v>0</v>
      </c>
      <c r="BD334" s="5">
        <v>1</v>
      </c>
      <c r="BE334" t="s">
        <v>0</v>
      </c>
      <c r="BF334" t="s">
        <v>331</v>
      </c>
      <c r="BG334" t="s">
        <v>17</v>
      </c>
      <c r="BH334" t="s">
        <v>0</v>
      </c>
      <c r="BI334" t="s">
        <v>11</v>
      </c>
      <c r="BJ334" t="s">
        <v>0</v>
      </c>
      <c r="BK334" t="s">
        <v>0</v>
      </c>
      <c r="BL334" s="5">
        <v>0</v>
      </c>
      <c r="BM334" t="s">
        <v>0</v>
      </c>
      <c r="BN334" t="s">
        <v>0</v>
      </c>
      <c r="BO334" t="s">
        <v>0</v>
      </c>
      <c r="BP334" t="s">
        <v>17</v>
      </c>
      <c r="BQ334" t="s">
        <v>0</v>
      </c>
      <c r="BR334" t="s">
        <v>17</v>
      </c>
      <c r="BS334" t="s">
        <v>17</v>
      </c>
      <c r="BT334" t="s">
        <v>0</v>
      </c>
      <c r="BU334" t="s">
        <v>0</v>
      </c>
      <c r="BV334" t="s">
        <v>0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</row>
    <row r="335" spans="1:80" ht="13.95" customHeight="1" x14ac:dyDescent="0.25">
      <c r="A335" t="s">
        <v>337</v>
      </c>
      <c r="B335" s="2">
        <v>45612</v>
      </c>
      <c r="C335" s="2">
        <v>45677</v>
      </c>
      <c r="D335" s="2">
        <v>45736</v>
      </c>
      <c r="E335" t="s">
        <v>2</v>
      </c>
      <c r="F335" t="s">
        <v>3</v>
      </c>
      <c r="G335" t="s">
        <v>0</v>
      </c>
      <c r="H335" t="s">
        <v>4</v>
      </c>
      <c r="I335" t="s">
        <v>314</v>
      </c>
      <c r="J335" t="s">
        <v>6</v>
      </c>
      <c r="K335" t="s">
        <v>213</v>
      </c>
      <c r="L335" t="s">
        <v>74</v>
      </c>
      <c r="M335" t="s">
        <v>75</v>
      </c>
      <c r="N335" t="s">
        <v>10</v>
      </c>
      <c r="O335" t="s">
        <v>0</v>
      </c>
      <c r="P335" t="s">
        <v>11</v>
      </c>
      <c r="Q335" s="3">
        <v>103.11</v>
      </c>
      <c r="R335" s="4">
        <v>54500</v>
      </c>
      <c r="S335" s="5">
        <v>1</v>
      </c>
      <c r="T335" s="4">
        <v>5619495</v>
      </c>
      <c r="U335" s="3">
        <v>26.425999999999998</v>
      </c>
      <c r="V335" s="4">
        <v>1440217</v>
      </c>
      <c r="W335" s="3">
        <v>26.425999999999998</v>
      </c>
      <c r="X335" s="4">
        <v>1440217</v>
      </c>
      <c r="Y335" s="4">
        <f t="shared" si="10"/>
        <v>4179278</v>
      </c>
      <c r="Z335" s="6" t="s">
        <v>0</v>
      </c>
      <c r="AA335" t="s">
        <v>2</v>
      </c>
      <c r="AB335" t="s">
        <v>12</v>
      </c>
      <c r="AC335">
        <f>_xlfn.XLOOKUP(AB335,'[1]GST Codes'!$A:$A,'[1]GST Codes'!$C:$C,0,0)</f>
        <v>18</v>
      </c>
      <c r="AD335">
        <f t="shared" si="11"/>
        <v>4931548.04</v>
      </c>
      <c r="AE335" t="s">
        <v>13</v>
      </c>
      <c r="AF335" t="s">
        <v>0</v>
      </c>
      <c r="AG335" t="s">
        <v>14</v>
      </c>
      <c r="AH335" t="s">
        <v>15</v>
      </c>
      <c r="AI335" t="s">
        <v>16</v>
      </c>
      <c r="AJ335" t="s">
        <v>17</v>
      </c>
      <c r="AK335" t="s">
        <v>18</v>
      </c>
      <c r="AL335" t="s">
        <v>19</v>
      </c>
      <c r="AM335" t="s">
        <v>316</v>
      </c>
      <c r="AN335" t="s">
        <v>0</v>
      </c>
      <c r="AO335" t="s">
        <v>0</v>
      </c>
      <c r="AP335" t="s">
        <v>0</v>
      </c>
      <c r="AQ335" s="3">
        <v>103.11</v>
      </c>
      <c r="AR335" t="s">
        <v>11</v>
      </c>
      <c r="AS335" t="s">
        <v>0</v>
      </c>
      <c r="AT335" t="s">
        <v>17</v>
      </c>
      <c r="AU335" s="4">
        <v>0</v>
      </c>
      <c r="AV335" s="4">
        <v>0</v>
      </c>
      <c r="AW335" s="4">
        <v>0</v>
      </c>
      <c r="AX335" s="4">
        <v>0</v>
      </c>
      <c r="AY335" s="5">
        <v>0</v>
      </c>
      <c r="AZ335" s="5">
        <v>0</v>
      </c>
      <c r="BA335" s="5">
        <v>0</v>
      </c>
      <c r="BB335" s="2"/>
      <c r="BC335" t="s">
        <v>0</v>
      </c>
      <c r="BD335" s="5">
        <v>1</v>
      </c>
      <c r="BE335" t="s">
        <v>0</v>
      </c>
      <c r="BF335" t="s">
        <v>321</v>
      </c>
      <c r="BG335" t="s">
        <v>17</v>
      </c>
      <c r="BH335" t="s">
        <v>0</v>
      </c>
      <c r="BI335" t="s">
        <v>11</v>
      </c>
      <c r="BJ335" t="s">
        <v>0</v>
      </c>
      <c r="BK335" t="s">
        <v>0</v>
      </c>
      <c r="BL335" s="5">
        <v>0</v>
      </c>
      <c r="BM335" t="s">
        <v>0</v>
      </c>
      <c r="BN335" t="s">
        <v>0</v>
      </c>
      <c r="BO335" t="s">
        <v>0</v>
      </c>
      <c r="BP335" t="s">
        <v>17</v>
      </c>
      <c r="BQ335" t="s">
        <v>0</v>
      </c>
      <c r="BR335" t="s">
        <v>17</v>
      </c>
      <c r="BS335" t="s">
        <v>17</v>
      </c>
      <c r="BT335" t="s">
        <v>0</v>
      </c>
      <c r="BU335" t="s">
        <v>0</v>
      </c>
      <c r="BV335" t="s">
        <v>0</v>
      </c>
      <c r="BW335" t="s">
        <v>0</v>
      </c>
      <c r="BX335" t="s">
        <v>0</v>
      </c>
      <c r="BY335" t="s">
        <v>0</v>
      </c>
      <c r="BZ335" t="s">
        <v>0</v>
      </c>
      <c r="CA335" t="s">
        <v>0</v>
      </c>
      <c r="CB335" t="s">
        <v>0</v>
      </c>
    </row>
    <row r="336" spans="1:80" ht="13.95" customHeight="1" x14ac:dyDescent="0.25">
      <c r="A336" t="s">
        <v>340</v>
      </c>
      <c r="B336" s="2">
        <v>45666</v>
      </c>
      <c r="C336" s="2">
        <v>45677</v>
      </c>
      <c r="D336" s="2">
        <v>45736</v>
      </c>
      <c r="E336" t="s">
        <v>2</v>
      </c>
      <c r="F336" t="s">
        <v>3</v>
      </c>
      <c r="G336" t="s">
        <v>0</v>
      </c>
      <c r="H336" t="s">
        <v>4</v>
      </c>
      <c r="I336" t="s">
        <v>314</v>
      </c>
      <c r="J336" t="s">
        <v>6</v>
      </c>
      <c r="K336" t="s">
        <v>7</v>
      </c>
      <c r="L336" t="s">
        <v>70</v>
      </c>
      <c r="M336" t="s">
        <v>71</v>
      </c>
      <c r="N336" t="s">
        <v>10</v>
      </c>
      <c r="O336" t="s">
        <v>0</v>
      </c>
      <c r="P336" t="s">
        <v>11</v>
      </c>
      <c r="Q336" s="5">
        <v>15</v>
      </c>
      <c r="R336" s="4">
        <v>51400</v>
      </c>
      <c r="S336" s="5">
        <v>1</v>
      </c>
      <c r="T336" s="4">
        <v>771000</v>
      </c>
      <c r="U336" s="5">
        <v>5</v>
      </c>
      <c r="V336" s="4">
        <v>257000</v>
      </c>
      <c r="W336" s="5">
        <v>5</v>
      </c>
      <c r="X336" s="4">
        <v>257000</v>
      </c>
      <c r="Y336" s="4">
        <f t="shared" si="10"/>
        <v>514000</v>
      </c>
      <c r="Z336" s="6" t="s">
        <v>0</v>
      </c>
      <c r="AA336" t="s">
        <v>2</v>
      </c>
      <c r="AB336" t="s">
        <v>12</v>
      </c>
      <c r="AC336">
        <f>_xlfn.XLOOKUP(AB336,'[1]GST Codes'!$A:$A,'[1]GST Codes'!$C:$C,0,0)</f>
        <v>18</v>
      </c>
      <c r="AD336">
        <f t="shared" si="11"/>
        <v>606520</v>
      </c>
      <c r="AE336" t="s">
        <v>13</v>
      </c>
      <c r="AF336" t="s">
        <v>0</v>
      </c>
      <c r="AG336" t="s">
        <v>14</v>
      </c>
      <c r="AH336" t="s">
        <v>15</v>
      </c>
      <c r="AI336" t="s">
        <v>16</v>
      </c>
      <c r="AJ336" t="s">
        <v>17</v>
      </c>
      <c r="AK336" t="s">
        <v>18</v>
      </c>
      <c r="AL336" t="s">
        <v>19</v>
      </c>
      <c r="AM336" t="s">
        <v>316</v>
      </c>
      <c r="AN336" t="s">
        <v>0</v>
      </c>
      <c r="AO336" t="s">
        <v>0</v>
      </c>
      <c r="AP336" t="s">
        <v>0</v>
      </c>
      <c r="AQ336" s="5">
        <v>15</v>
      </c>
      <c r="AR336" t="s">
        <v>11</v>
      </c>
      <c r="AS336" t="s">
        <v>0</v>
      </c>
      <c r="AT336" t="s">
        <v>17</v>
      </c>
      <c r="AU336" s="4">
        <v>0</v>
      </c>
      <c r="AV336" s="4">
        <v>0</v>
      </c>
      <c r="AW336" s="4">
        <v>0</v>
      </c>
      <c r="AX336" s="4">
        <v>0</v>
      </c>
      <c r="AY336" s="5">
        <v>0</v>
      </c>
      <c r="AZ336" s="5">
        <v>0</v>
      </c>
      <c r="BA336" s="5">
        <v>0</v>
      </c>
      <c r="BB336" s="2"/>
      <c r="BC336" t="s">
        <v>0</v>
      </c>
      <c r="BD336" s="5">
        <v>1</v>
      </c>
      <c r="BE336" t="s">
        <v>0</v>
      </c>
      <c r="BF336" t="s">
        <v>317</v>
      </c>
      <c r="BG336" t="s">
        <v>17</v>
      </c>
      <c r="BH336" t="s">
        <v>0</v>
      </c>
      <c r="BI336" t="s">
        <v>11</v>
      </c>
      <c r="BJ336" t="s">
        <v>0</v>
      </c>
      <c r="BK336" t="s">
        <v>0</v>
      </c>
      <c r="BL336" s="5">
        <v>0</v>
      </c>
      <c r="BM336" t="s">
        <v>0</v>
      </c>
      <c r="BN336" t="s">
        <v>0</v>
      </c>
      <c r="BO336" t="s">
        <v>0</v>
      </c>
      <c r="BP336" t="s">
        <v>17</v>
      </c>
      <c r="BQ336" t="s">
        <v>0</v>
      </c>
      <c r="BR336" t="s">
        <v>17</v>
      </c>
      <c r="BS336" t="s">
        <v>17</v>
      </c>
      <c r="BT336" t="s">
        <v>0</v>
      </c>
      <c r="BU336" t="s">
        <v>0</v>
      </c>
      <c r="BV336" t="s">
        <v>0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</row>
    <row r="337" spans="1:80" ht="13.95" customHeight="1" x14ac:dyDescent="0.25">
      <c r="A337" t="s">
        <v>340</v>
      </c>
      <c r="B337" s="2">
        <v>45666</v>
      </c>
      <c r="C337" s="2">
        <v>45677</v>
      </c>
      <c r="D337" s="2">
        <v>45736</v>
      </c>
      <c r="E337" t="s">
        <v>2</v>
      </c>
      <c r="F337" t="s">
        <v>3</v>
      </c>
      <c r="G337" t="s">
        <v>0</v>
      </c>
      <c r="H337" t="s">
        <v>4</v>
      </c>
      <c r="I337" t="s">
        <v>314</v>
      </c>
      <c r="J337" t="s">
        <v>6</v>
      </c>
      <c r="K337" t="s">
        <v>22</v>
      </c>
      <c r="L337" t="s">
        <v>70</v>
      </c>
      <c r="M337" t="s">
        <v>71</v>
      </c>
      <c r="N337" t="s">
        <v>10</v>
      </c>
      <c r="O337" t="s">
        <v>0</v>
      </c>
      <c r="P337" t="s">
        <v>11</v>
      </c>
      <c r="Q337" s="5">
        <v>8</v>
      </c>
      <c r="R337" s="4">
        <v>51400</v>
      </c>
      <c r="S337" s="5">
        <v>1</v>
      </c>
      <c r="T337" s="4">
        <v>411200</v>
      </c>
      <c r="U337" s="5">
        <v>0</v>
      </c>
      <c r="V337" s="4">
        <v>0</v>
      </c>
      <c r="W337" s="5">
        <v>0</v>
      </c>
      <c r="X337" s="4">
        <v>0</v>
      </c>
      <c r="Y337" s="4">
        <f t="shared" si="10"/>
        <v>411200</v>
      </c>
      <c r="Z337" s="6" t="s">
        <v>0</v>
      </c>
      <c r="AA337" t="s">
        <v>2</v>
      </c>
      <c r="AB337" t="s">
        <v>12</v>
      </c>
      <c r="AC337">
        <f>_xlfn.XLOOKUP(AB337,'[1]GST Codes'!$A:$A,'[1]GST Codes'!$C:$C,0,0)</f>
        <v>18</v>
      </c>
      <c r="AD337">
        <f t="shared" si="11"/>
        <v>485216</v>
      </c>
      <c r="AE337" t="s">
        <v>13</v>
      </c>
      <c r="AF337" t="s">
        <v>0</v>
      </c>
      <c r="AG337" t="s">
        <v>14</v>
      </c>
      <c r="AH337" t="s">
        <v>15</v>
      </c>
      <c r="AI337" t="s">
        <v>16</v>
      </c>
      <c r="AJ337" t="s">
        <v>17</v>
      </c>
      <c r="AK337" t="s">
        <v>18</v>
      </c>
      <c r="AL337" t="s">
        <v>19</v>
      </c>
      <c r="AM337" t="s">
        <v>316</v>
      </c>
      <c r="AN337" t="s">
        <v>0</v>
      </c>
      <c r="AO337" t="s">
        <v>0</v>
      </c>
      <c r="AP337" t="s">
        <v>0</v>
      </c>
      <c r="AQ337" s="5">
        <v>8</v>
      </c>
      <c r="AR337" t="s">
        <v>11</v>
      </c>
      <c r="AS337" t="s">
        <v>0</v>
      </c>
      <c r="AT337" t="s">
        <v>17</v>
      </c>
      <c r="AU337" s="4">
        <v>0</v>
      </c>
      <c r="AV337" s="4">
        <v>0</v>
      </c>
      <c r="AW337" s="4">
        <v>0</v>
      </c>
      <c r="AX337" s="4">
        <v>0</v>
      </c>
      <c r="AY337" s="5">
        <v>0</v>
      </c>
      <c r="AZ337" s="5">
        <v>0</v>
      </c>
      <c r="BA337" s="5">
        <v>0</v>
      </c>
      <c r="BB337" s="2"/>
      <c r="BC337" t="s">
        <v>0</v>
      </c>
      <c r="BD337" s="5">
        <v>1</v>
      </c>
      <c r="BE337" t="s">
        <v>0</v>
      </c>
      <c r="BF337" t="s">
        <v>317</v>
      </c>
      <c r="BG337" t="s">
        <v>17</v>
      </c>
      <c r="BH337" t="s">
        <v>0</v>
      </c>
      <c r="BI337" t="s">
        <v>11</v>
      </c>
      <c r="BJ337" t="s">
        <v>0</v>
      </c>
      <c r="BK337" t="s">
        <v>0</v>
      </c>
      <c r="BL337" s="5">
        <v>0</v>
      </c>
      <c r="BM337" t="s">
        <v>0</v>
      </c>
      <c r="BN337" t="s">
        <v>0</v>
      </c>
      <c r="BO337" t="s">
        <v>0</v>
      </c>
      <c r="BP337" t="s">
        <v>17</v>
      </c>
      <c r="BQ337" t="s">
        <v>0</v>
      </c>
      <c r="BR337" t="s">
        <v>17</v>
      </c>
      <c r="BS337" t="s">
        <v>17</v>
      </c>
      <c r="BT337" t="s">
        <v>0</v>
      </c>
      <c r="BU337" t="s">
        <v>0</v>
      </c>
      <c r="BV337" t="s">
        <v>0</v>
      </c>
      <c r="BW337" t="s">
        <v>0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</row>
    <row r="338" spans="1:80" ht="13.95" customHeight="1" x14ac:dyDescent="0.25">
      <c r="A338" t="s">
        <v>340</v>
      </c>
      <c r="B338" s="2">
        <v>45666</v>
      </c>
      <c r="C338" s="2">
        <v>45677</v>
      </c>
      <c r="D338" s="2">
        <v>45736</v>
      </c>
      <c r="E338" t="s">
        <v>2</v>
      </c>
      <c r="F338" t="s">
        <v>3</v>
      </c>
      <c r="G338" t="s">
        <v>0</v>
      </c>
      <c r="H338" t="s">
        <v>4</v>
      </c>
      <c r="I338" t="s">
        <v>314</v>
      </c>
      <c r="J338" t="s">
        <v>6</v>
      </c>
      <c r="K338" t="s">
        <v>26</v>
      </c>
      <c r="L338" t="s">
        <v>70</v>
      </c>
      <c r="M338" t="s">
        <v>71</v>
      </c>
      <c r="N338" t="s">
        <v>10</v>
      </c>
      <c r="O338" t="s">
        <v>0</v>
      </c>
      <c r="P338" t="s">
        <v>11</v>
      </c>
      <c r="Q338" s="5">
        <v>1</v>
      </c>
      <c r="R338" s="4">
        <v>51400</v>
      </c>
      <c r="S338" s="5">
        <v>1</v>
      </c>
      <c r="T338" s="4">
        <v>51400</v>
      </c>
      <c r="U338" s="5">
        <v>0</v>
      </c>
      <c r="V338" s="4">
        <v>0</v>
      </c>
      <c r="W338" s="5">
        <v>0</v>
      </c>
      <c r="X338" s="4">
        <v>0</v>
      </c>
      <c r="Y338" s="4">
        <f t="shared" si="10"/>
        <v>51400</v>
      </c>
      <c r="Z338" s="6" t="s">
        <v>0</v>
      </c>
      <c r="AA338" t="s">
        <v>2</v>
      </c>
      <c r="AB338" t="s">
        <v>12</v>
      </c>
      <c r="AC338">
        <f>_xlfn.XLOOKUP(AB338,'[1]GST Codes'!$A:$A,'[1]GST Codes'!$C:$C,0,0)</f>
        <v>18</v>
      </c>
      <c r="AD338">
        <f t="shared" si="11"/>
        <v>60652</v>
      </c>
      <c r="AE338" t="s">
        <v>13</v>
      </c>
      <c r="AF338" t="s">
        <v>0</v>
      </c>
      <c r="AG338" t="s">
        <v>14</v>
      </c>
      <c r="AH338" t="s">
        <v>15</v>
      </c>
      <c r="AI338" t="s">
        <v>16</v>
      </c>
      <c r="AJ338" t="s">
        <v>17</v>
      </c>
      <c r="AK338" t="s">
        <v>18</v>
      </c>
      <c r="AL338" t="s">
        <v>19</v>
      </c>
      <c r="AM338" t="s">
        <v>316</v>
      </c>
      <c r="AN338" t="s">
        <v>0</v>
      </c>
      <c r="AO338" t="s">
        <v>0</v>
      </c>
      <c r="AP338" t="s">
        <v>0</v>
      </c>
      <c r="AQ338" s="5">
        <v>1</v>
      </c>
      <c r="AR338" t="s">
        <v>11</v>
      </c>
      <c r="AS338" t="s">
        <v>0</v>
      </c>
      <c r="AT338" t="s">
        <v>17</v>
      </c>
      <c r="AU338" s="4">
        <v>0</v>
      </c>
      <c r="AV338" s="4">
        <v>0</v>
      </c>
      <c r="AW338" s="4">
        <v>0</v>
      </c>
      <c r="AX338" s="4">
        <v>0</v>
      </c>
      <c r="AY338" s="5">
        <v>0</v>
      </c>
      <c r="AZ338" s="5">
        <v>0</v>
      </c>
      <c r="BA338" s="5">
        <v>0</v>
      </c>
      <c r="BB338" s="2"/>
      <c r="BC338" t="s">
        <v>0</v>
      </c>
      <c r="BD338" s="5">
        <v>1</v>
      </c>
      <c r="BE338" t="s">
        <v>0</v>
      </c>
      <c r="BF338" t="s">
        <v>317</v>
      </c>
      <c r="BG338" t="s">
        <v>17</v>
      </c>
      <c r="BH338" t="s">
        <v>0</v>
      </c>
      <c r="BI338" t="s">
        <v>11</v>
      </c>
      <c r="BJ338" t="s">
        <v>0</v>
      </c>
      <c r="BK338" t="s">
        <v>0</v>
      </c>
      <c r="BL338" s="5">
        <v>0</v>
      </c>
      <c r="BM338" t="s">
        <v>0</v>
      </c>
      <c r="BN338" t="s">
        <v>0</v>
      </c>
      <c r="BO338" t="s">
        <v>0</v>
      </c>
      <c r="BP338" t="s">
        <v>17</v>
      </c>
      <c r="BQ338" t="s">
        <v>0</v>
      </c>
      <c r="BR338" t="s">
        <v>17</v>
      </c>
      <c r="BS338" t="s">
        <v>17</v>
      </c>
      <c r="BT338" t="s">
        <v>0</v>
      </c>
      <c r="BU338" t="s">
        <v>0</v>
      </c>
      <c r="BV338" t="s">
        <v>0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</row>
    <row r="339" spans="1:80" ht="13.95" customHeight="1" x14ac:dyDescent="0.25">
      <c r="A339" t="s">
        <v>340</v>
      </c>
      <c r="B339" s="2">
        <v>45666</v>
      </c>
      <c r="C339" s="2">
        <v>45677</v>
      </c>
      <c r="D339" s="2">
        <v>45736</v>
      </c>
      <c r="E339" t="s">
        <v>2</v>
      </c>
      <c r="F339" t="s">
        <v>3</v>
      </c>
      <c r="G339" t="s">
        <v>0</v>
      </c>
      <c r="H339" t="s">
        <v>4</v>
      </c>
      <c r="I339" t="s">
        <v>314</v>
      </c>
      <c r="J339" t="s">
        <v>6</v>
      </c>
      <c r="K339" t="s">
        <v>30</v>
      </c>
      <c r="L339" t="s">
        <v>70</v>
      </c>
      <c r="M339" t="s">
        <v>71</v>
      </c>
      <c r="N339" t="s">
        <v>10</v>
      </c>
      <c r="O339" t="s">
        <v>0</v>
      </c>
      <c r="P339" t="s">
        <v>11</v>
      </c>
      <c r="Q339" s="5">
        <v>1</v>
      </c>
      <c r="R339" s="4">
        <v>51400</v>
      </c>
      <c r="S339" s="5">
        <v>1</v>
      </c>
      <c r="T339" s="4">
        <v>51400</v>
      </c>
      <c r="U339" s="5">
        <v>0</v>
      </c>
      <c r="V339" s="4">
        <v>0</v>
      </c>
      <c r="W339" s="5">
        <v>0</v>
      </c>
      <c r="X339" s="4">
        <v>0</v>
      </c>
      <c r="Y339" s="4">
        <f t="shared" si="10"/>
        <v>51400</v>
      </c>
      <c r="Z339" s="6" t="s">
        <v>0</v>
      </c>
      <c r="AA339" t="s">
        <v>2</v>
      </c>
      <c r="AB339" t="s">
        <v>12</v>
      </c>
      <c r="AC339">
        <f>_xlfn.XLOOKUP(AB339,'[1]GST Codes'!$A:$A,'[1]GST Codes'!$C:$C,0,0)</f>
        <v>18</v>
      </c>
      <c r="AD339">
        <f t="shared" si="11"/>
        <v>60652</v>
      </c>
      <c r="AE339" t="s">
        <v>13</v>
      </c>
      <c r="AF339" t="s">
        <v>0</v>
      </c>
      <c r="AG339" t="s">
        <v>14</v>
      </c>
      <c r="AH339" t="s">
        <v>15</v>
      </c>
      <c r="AI339" t="s">
        <v>16</v>
      </c>
      <c r="AJ339" t="s">
        <v>17</v>
      </c>
      <c r="AK339" t="s">
        <v>18</v>
      </c>
      <c r="AL339" t="s">
        <v>19</v>
      </c>
      <c r="AM339" t="s">
        <v>316</v>
      </c>
      <c r="AN339" t="s">
        <v>0</v>
      </c>
      <c r="AO339" t="s">
        <v>0</v>
      </c>
      <c r="AP339" t="s">
        <v>0</v>
      </c>
      <c r="AQ339" s="5">
        <v>1</v>
      </c>
      <c r="AR339" t="s">
        <v>11</v>
      </c>
      <c r="AS339" t="s">
        <v>0</v>
      </c>
      <c r="AT339" t="s">
        <v>17</v>
      </c>
      <c r="AU339" s="4">
        <v>0</v>
      </c>
      <c r="AV339" s="4">
        <v>0</v>
      </c>
      <c r="AW339" s="4">
        <v>0</v>
      </c>
      <c r="AX339" s="4">
        <v>0</v>
      </c>
      <c r="AY339" s="5">
        <v>0</v>
      </c>
      <c r="AZ339" s="5">
        <v>0</v>
      </c>
      <c r="BA339" s="5">
        <v>0</v>
      </c>
      <c r="BB339" s="2"/>
      <c r="BC339" t="s">
        <v>0</v>
      </c>
      <c r="BD339" s="5">
        <v>1</v>
      </c>
      <c r="BE339" t="s">
        <v>0</v>
      </c>
      <c r="BF339" t="s">
        <v>317</v>
      </c>
      <c r="BG339" t="s">
        <v>17</v>
      </c>
      <c r="BH339" t="s">
        <v>0</v>
      </c>
      <c r="BI339" t="s">
        <v>11</v>
      </c>
      <c r="BJ339" t="s">
        <v>0</v>
      </c>
      <c r="BK339" t="s">
        <v>0</v>
      </c>
      <c r="BL339" s="5">
        <v>0</v>
      </c>
      <c r="BM339" t="s">
        <v>0</v>
      </c>
      <c r="BN339" t="s">
        <v>0</v>
      </c>
      <c r="BO339" t="s">
        <v>0</v>
      </c>
      <c r="BP339" t="s">
        <v>17</v>
      </c>
      <c r="BQ339" t="s">
        <v>0</v>
      </c>
      <c r="BR339" t="s">
        <v>17</v>
      </c>
      <c r="BS339" t="s">
        <v>17</v>
      </c>
      <c r="BT339" t="s">
        <v>0</v>
      </c>
      <c r="BU339" t="s">
        <v>0</v>
      </c>
      <c r="BV339" t="s">
        <v>0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</row>
    <row r="340" spans="1:80" ht="13.95" customHeight="1" x14ac:dyDescent="0.25">
      <c r="A340" t="s">
        <v>340</v>
      </c>
      <c r="B340" s="2">
        <v>45666</v>
      </c>
      <c r="C340" s="2">
        <v>45677</v>
      </c>
      <c r="D340" s="2">
        <v>45736</v>
      </c>
      <c r="E340" t="s">
        <v>2</v>
      </c>
      <c r="F340" t="s">
        <v>3</v>
      </c>
      <c r="G340" t="s">
        <v>0</v>
      </c>
      <c r="H340" t="s">
        <v>4</v>
      </c>
      <c r="I340" t="s">
        <v>314</v>
      </c>
      <c r="J340" t="s">
        <v>6</v>
      </c>
      <c r="K340" t="s">
        <v>34</v>
      </c>
      <c r="L340" t="s">
        <v>70</v>
      </c>
      <c r="M340" t="s">
        <v>71</v>
      </c>
      <c r="N340" t="s">
        <v>10</v>
      </c>
      <c r="O340" t="s">
        <v>0</v>
      </c>
      <c r="P340" t="s">
        <v>11</v>
      </c>
      <c r="Q340" s="5">
        <v>25</v>
      </c>
      <c r="R340" s="4">
        <v>51400</v>
      </c>
      <c r="S340" s="5">
        <v>1</v>
      </c>
      <c r="T340" s="4">
        <v>1285000</v>
      </c>
      <c r="U340" s="3">
        <v>5.0529999999999999</v>
      </c>
      <c r="V340" s="4">
        <v>259724.2</v>
      </c>
      <c r="W340" s="3">
        <v>5.0529999999999999</v>
      </c>
      <c r="X340" s="4">
        <v>259724.2</v>
      </c>
      <c r="Y340" s="4">
        <f t="shared" si="10"/>
        <v>1025275.8</v>
      </c>
      <c r="Z340" s="6" t="s">
        <v>0</v>
      </c>
      <c r="AA340" t="s">
        <v>2</v>
      </c>
      <c r="AB340" t="s">
        <v>12</v>
      </c>
      <c r="AC340">
        <f>_xlfn.XLOOKUP(AB340,'[1]GST Codes'!$A:$A,'[1]GST Codes'!$C:$C,0,0)</f>
        <v>18</v>
      </c>
      <c r="AD340">
        <f t="shared" si="11"/>
        <v>1209825.4440000001</v>
      </c>
      <c r="AE340" t="s">
        <v>13</v>
      </c>
      <c r="AF340" t="s">
        <v>0</v>
      </c>
      <c r="AG340" t="s">
        <v>14</v>
      </c>
      <c r="AH340" t="s">
        <v>15</v>
      </c>
      <c r="AI340" t="s">
        <v>16</v>
      </c>
      <c r="AJ340" t="s">
        <v>17</v>
      </c>
      <c r="AK340" t="s">
        <v>18</v>
      </c>
      <c r="AL340" t="s">
        <v>19</v>
      </c>
      <c r="AM340" t="s">
        <v>316</v>
      </c>
      <c r="AN340" t="s">
        <v>0</v>
      </c>
      <c r="AO340" t="s">
        <v>0</v>
      </c>
      <c r="AP340" t="s">
        <v>0</v>
      </c>
      <c r="AQ340" s="5">
        <v>25</v>
      </c>
      <c r="AR340" t="s">
        <v>11</v>
      </c>
      <c r="AS340" t="s">
        <v>0</v>
      </c>
      <c r="AT340" t="s">
        <v>17</v>
      </c>
      <c r="AU340" s="4">
        <v>0</v>
      </c>
      <c r="AV340" s="4">
        <v>0</v>
      </c>
      <c r="AW340" s="4">
        <v>0</v>
      </c>
      <c r="AX340" s="4">
        <v>0</v>
      </c>
      <c r="AY340" s="5">
        <v>0</v>
      </c>
      <c r="AZ340" s="5">
        <v>0</v>
      </c>
      <c r="BA340" s="5">
        <v>0</v>
      </c>
      <c r="BB340" s="2"/>
      <c r="BC340" t="s">
        <v>0</v>
      </c>
      <c r="BD340" s="5">
        <v>1</v>
      </c>
      <c r="BE340" t="s">
        <v>0</v>
      </c>
      <c r="BF340" t="s">
        <v>317</v>
      </c>
      <c r="BG340" t="s">
        <v>17</v>
      </c>
      <c r="BH340" t="s">
        <v>0</v>
      </c>
      <c r="BI340" t="s">
        <v>11</v>
      </c>
      <c r="BJ340" t="s">
        <v>0</v>
      </c>
      <c r="BK340" t="s">
        <v>0</v>
      </c>
      <c r="BL340" s="5">
        <v>0</v>
      </c>
      <c r="BM340" t="s">
        <v>0</v>
      </c>
      <c r="BN340" t="s">
        <v>0</v>
      </c>
      <c r="BO340" t="s">
        <v>0</v>
      </c>
      <c r="BP340" t="s">
        <v>17</v>
      </c>
      <c r="BQ340" t="s">
        <v>0</v>
      </c>
      <c r="BR340" t="s">
        <v>17</v>
      </c>
      <c r="BS340" t="s">
        <v>17</v>
      </c>
      <c r="BT340" t="s">
        <v>0</v>
      </c>
      <c r="BU340" t="s">
        <v>0</v>
      </c>
      <c r="BV340" t="s">
        <v>0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</row>
    <row r="341" spans="1:80" ht="13.95" customHeight="1" x14ac:dyDescent="0.25">
      <c r="A341" t="s">
        <v>340</v>
      </c>
      <c r="B341" s="2">
        <v>45666</v>
      </c>
      <c r="C341" s="2">
        <v>45677</v>
      </c>
      <c r="D341" s="2">
        <v>45736</v>
      </c>
      <c r="E341" t="s">
        <v>2</v>
      </c>
      <c r="F341" t="s">
        <v>3</v>
      </c>
      <c r="G341" t="s">
        <v>0</v>
      </c>
      <c r="H341" t="s">
        <v>4</v>
      </c>
      <c r="I341" t="s">
        <v>314</v>
      </c>
      <c r="J341" t="s">
        <v>6</v>
      </c>
      <c r="K341" t="s">
        <v>38</v>
      </c>
      <c r="L341" t="s">
        <v>35</v>
      </c>
      <c r="M341" t="s">
        <v>36</v>
      </c>
      <c r="N341" t="s">
        <v>10</v>
      </c>
      <c r="O341" t="s">
        <v>0</v>
      </c>
      <c r="P341" t="s">
        <v>11</v>
      </c>
      <c r="Q341" s="5">
        <v>44</v>
      </c>
      <c r="R341" s="4">
        <v>50150</v>
      </c>
      <c r="S341" s="5">
        <v>1</v>
      </c>
      <c r="T341" s="4">
        <v>2206600</v>
      </c>
      <c r="U341" s="5">
        <v>0</v>
      </c>
      <c r="V341" s="4">
        <v>0</v>
      </c>
      <c r="W341" s="5">
        <v>0</v>
      </c>
      <c r="X341" s="4">
        <v>0</v>
      </c>
      <c r="Y341" s="4">
        <f t="shared" si="10"/>
        <v>2206600</v>
      </c>
      <c r="Z341" s="6" t="s">
        <v>0</v>
      </c>
      <c r="AA341" t="s">
        <v>2</v>
      </c>
      <c r="AB341" t="s">
        <v>12</v>
      </c>
      <c r="AC341">
        <f>_xlfn.XLOOKUP(AB341,'[1]GST Codes'!$A:$A,'[1]GST Codes'!$C:$C,0,0)</f>
        <v>18</v>
      </c>
      <c r="AD341">
        <f t="shared" si="11"/>
        <v>2603788</v>
      </c>
      <c r="AE341" t="s">
        <v>13</v>
      </c>
      <c r="AF341" t="s">
        <v>0</v>
      </c>
      <c r="AG341" t="s">
        <v>14</v>
      </c>
      <c r="AH341" t="s">
        <v>15</v>
      </c>
      <c r="AI341" t="s">
        <v>16</v>
      </c>
      <c r="AJ341" t="s">
        <v>17</v>
      </c>
      <c r="AK341" t="s">
        <v>18</v>
      </c>
      <c r="AL341" t="s">
        <v>19</v>
      </c>
      <c r="AM341" t="s">
        <v>316</v>
      </c>
      <c r="AN341" t="s">
        <v>0</v>
      </c>
      <c r="AO341" t="s">
        <v>0</v>
      </c>
      <c r="AP341" t="s">
        <v>0</v>
      </c>
      <c r="AQ341" s="5">
        <v>44</v>
      </c>
      <c r="AR341" t="s">
        <v>11</v>
      </c>
      <c r="AS341" t="s">
        <v>0</v>
      </c>
      <c r="AT341" t="s">
        <v>17</v>
      </c>
      <c r="AU341" s="4">
        <v>0</v>
      </c>
      <c r="AV341" s="4">
        <v>0</v>
      </c>
      <c r="AW341" s="4">
        <v>0</v>
      </c>
      <c r="AX341" s="4">
        <v>0</v>
      </c>
      <c r="AY341" s="5">
        <v>0</v>
      </c>
      <c r="AZ341" s="5">
        <v>0</v>
      </c>
      <c r="BA341" s="5">
        <v>0</v>
      </c>
      <c r="BB341" s="2"/>
      <c r="BC341" t="s">
        <v>0</v>
      </c>
      <c r="BD341" s="5">
        <v>1</v>
      </c>
      <c r="BE341" t="s">
        <v>0</v>
      </c>
      <c r="BF341" t="s">
        <v>319</v>
      </c>
      <c r="BG341" t="s">
        <v>17</v>
      </c>
      <c r="BH341" t="s">
        <v>0</v>
      </c>
      <c r="BI341" t="s">
        <v>11</v>
      </c>
      <c r="BJ341" t="s">
        <v>0</v>
      </c>
      <c r="BK341" t="s">
        <v>0</v>
      </c>
      <c r="BL341" s="5">
        <v>0</v>
      </c>
      <c r="BM341" t="s">
        <v>0</v>
      </c>
      <c r="BN341" t="s">
        <v>0</v>
      </c>
      <c r="BO341" t="s">
        <v>0</v>
      </c>
      <c r="BP341" t="s">
        <v>17</v>
      </c>
      <c r="BQ341" t="s">
        <v>0</v>
      </c>
      <c r="BR341" t="s">
        <v>17</v>
      </c>
      <c r="BS341" t="s">
        <v>17</v>
      </c>
      <c r="BT341" t="s">
        <v>0</v>
      </c>
      <c r="BU341" t="s">
        <v>0</v>
      </c>
      <c r="BV341" t="s">
        <v>0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</row>
    <row r="342" spans="1:80" ht="13.95" customHeight="1" x14ac:dyDescent="0.25">
      <c r="A342" t="s">
        <v>340</v>
      </c>
      <c r="B342" s="2">
        <v>45666</v>
      </c>
      <c r="C342" s="2">
        <v>45677</v>
      </c>
      <c r="D342" s="2">
        <v>45736</v>
      </c>
      <c r="E342" t="s">
        <v>2</v>
      </c>
      <c r="F342" t="s">
        <v>3</v>
      </c>
      <c r="G342" t="s">
        <v>0</v>
      </c>
      <c r="H342" t="s">
        <v>4</v>
      </c>
      <c r="I342" t="s">
        <v>314</v>
      </c>
      <c r="J342" t="s">
        <v>6</v>
      </c>
      <c r="K342" t="s">
        <v>42</v>
      </c>
      <c r="L342" t="s">
        <v>35</v>
      </c>
      <c r="M342" t="s">
        <v>36</v>
      </c>
      <c r="N342" t="s">
        <v>10</v>
      </c>
      <c r="O342" t="s">
        <v>0</v>
      </c>
      <c r="P342" t="s">
        <v>11</v>
      </c>
      <c r="Q342" s="5">
        <v>44</v>
      </c>
      <c r="R342" s="4">
        <v>50150</v>
      </c>
      <c r="S342" s="5">
        <v>1</v>
      </c>
      <c r="T342" s="4">
        <v>2206600</v>
      </c>
      <c r="U342" s="5">
        <v>0</v>
      </c>
      <c r="V342" s="4">
        <v>0</v>
      </c>
      <c r="W342" s="5">
        <v>0</v>
      </c>
      <c r="X342" s="4">
        <v>0</v>
      </c>
      <c r="Y342" s="4">
        <f t="shared" si="10"/>
        <v>2206600</v>
      </c>
      <c r="Z342" s="6" t="s">
        <v>0</v>
      </c>
      <c r="AA342" t="s">
        <v>2</v>
      </c>
      <c r="AB342" t="s">
        <v>12</v>
      </c>
      <c r="AC342">
        <f>_xlfn.XLOOKUP(AB342,'[1]GST Codes'!$A:$A,'[1]GST Codes'!$C:$C,0,0)</f>
        <v>18</v>
      </c>
      <c r="AD342">
        <f t="shared" si="11"/>
        <v>2603788</v>
      </c>
      <c r="AE342" t="s">
        <v>13</v>
      </c>
      <c r="AF342" t="s">
        <v>0</v>
      </c>
      <c r="AG342" t="s">
        <v>14</v>
      </c>
      <c r="AH342" t="s">
        <v>15</v>
      </c>
      <c r="AI342" t="s">
        <v>16</v>
      </c>
      <c r="AJ342" t="s">
        <v>17</v>
      </c>
      <c r="AK342" t="s">
        <v>18</v>
      </c>
      <c r="AL342" t="s">
        <v>19</v>
      </c>
      <c r="AM342" t="s">
        <v>316</v>
      </c>
      <c r="AN342" t="s">
        <v>0</v>
      </c>
      <c r="AO342" t="s">
        <v>0</v>
      </c>
      <c r="AP342" t="s">
        <v>0</v>
      </c>
      <c r="AQ342" s="5">
        <v>44</v>
      </c>
      <c r="AR342" t="s">
        <v>11</v>
      </c>
      <c r="AS342" t="s">
        <v>0</v>
      </c>
      <c r="AT342" t="s">
        <v>17</v>
      </c>
      <c r="AU342" s="4">
        <v>0</v>
      </c>
      <c r="AV342" s="4">
        <v>0</v>
      </c>
      <c r="AW342" s="4">
        <v>0</v>
      </c>
      <c r="AX342" s="4">
        <v>0</v>
      </c>
      <c r="AY342" s="5">
        <v>0</v>
      </c>
      <c r="AZ342" s="5">
        <v>0</v>
      </c>
      <c r="BA342" s="5">
        <v>0</v>
      </c>
      <c r="BB342" s="2"/>
      <c r="BC342" t="s">
        <v>0</v>
      </c>
      <c r="BD342" s="5">
        <v>1</v>
      </c>
      <c r="BE342" t="s">
        <v>0</v>
      </c>
      <c r="BF342" t="s">
        <v>319</v>
      </c>
      <c r="BG342" t="s">
        <v>17</v>
      </c>
      <c r="BH342" t="s">
        <v>0</v>
      </c>
      <c r="BI342" t="s">
        <v>11</v>
      </c>
      <c r="BJ342" t="s">
        <v>0</v>
      </c>
      <c r="BK342" t="s">
        <v>0</v>
      </c>
      <c r="BL342" s="5">
        <v>0</v>
      </c>
      <c r="BM342" t="s">
        <v>0</v>
      </c>
      <c r="BN342" t="s">
        <v>0</v>
      </c>
      <c r="BO342" t="s">
        <v>0</v>
      </c>
      <c r="BP342" t="s">
        <v>17</v>
      </c>
      <c r="BQ342" t="s">
        <v>0</v>
      </c>
      <c r="BR342" t="s">
        <v>17</v>
      </c>
      <c r="BS342" t="s">
        <v>17</v>
      </c>
      <c r="BT342" t="s">
        <v>0</v>
      </c>
      <c r="BU342" t="s">
        <v>0</v>
      </c>
      <c r="BV342" t="s">
        <v>0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</row>
    <row r="343" spans="1:80" ht="13.95" customHeight="1" x14ac:dyDescent="0.25">
      <c r="A343" t="s">
        <v>340</v>
      </c>
      <c r="B343" s="2">
        <v>45666</v>
      </c>
      <c r="C343" s="2">
        <v>45677</v>
      </c>
      <c r="D343" s="2">
        <v>45736</v>
      </c>
      <c r="E343" t="s">
        <v>2</v>
      </c>
      <c r="F343" t="s">
        <v>3</v>
      </c>
      <c r="G343" t="s">
        <v>0</v>
      </c>
      <c r="H343" t="s">
        <v>4</v>
      </c>
      <c r="I343" t="s">
        <v>314</v>
      </c>
      <c r="J343" t="s">
        <v>6</v>
      </c>
      <c r="K343" t="s">
        <v>86</v>
      </c>
      <c r="L343" t="s">
        <v>35</v>
      </c>
      <c r="M343" t="s">
        <v>36</v>
      </c>
      <c r="N343" t="s">
        <v>10</v>
      </c>
      <c r="O343" t="s">
        <v>0</v>
      </c>
      <c r="P343" t="s">
        <v>11</v>
      </c>
      <c r="Q343" s="5">
        <v>30</v>
      </c>
      <c r="R343" s="4">
        <v>50150</v>
      </c>
      <c r="S343" s="5">
        <v>1</v>
      </c>
      <c r="T343" s="4">
        <v>1504500</v>
      </c>
      <c r="U343" s="5">
        <v>0</v>
      </c>
      <c r="V343" s="4">
        <v>0</v>
      </c>
      <c r="W343" s="5">
        <v>0</v>
      </c>
      <c r="X343" s="4">
        <v>0</v>
      </c>
      <c r="Y343" s="4">
        <f t="shared" si="10"/>
        <v>1504500</v>
      </c>
      <c r="Z343" s="6" t="s">
        <v>0</v>
      </c>
      <c r="AA343" t="s">
        <v>2</v>
      </c>
      <c r="AB343" t="s">
        <v>12</v>
      </c>
      <c r="AC343">
        <f>_xlfn.XLOOKUP(AB343,'[1]GST Codes'!$A:$A,'[1]GST Codes'!$C:$C,0,0)</f>
        <v>18</v>
      </c>
      <c r="AD343">
        <f t="shared" si="11"/>
        <v>1775310</v>
      </c>
      <c r="AE343" t="s">
        <v>13</v>
      </c>
      <c r="AF343" t="s">
        <v>0</v>
      </c>
      <c r="AG343" t="s">
        <v>14</v>
      </c>
      <c r="AH343" t="s">
        <v>15</v>
      </c>
      <c r="AI343" t="s">
        <v>16</v>
      </c>
      <c r="AJ343" t="s">
        <v>17</v>
      </c>
      <c r="AK343" t="s">
        <v>18</v>
      </c>
      <c r="AL343" t="s">
        <v>19</v>
      </c>
      <c r="AM343" t="s">
        <v>316</v>
      </c>
      <c r="AN343" t="s">
        <v>0</v>
      </c>
      <c r="AO343" t="s">
        <v>0</v>
      </c>
      <c r="AP343" t="s">
        <v>0</v>
      </c>
      <c r="AQ343" s="5">
        <v>30</v>
      </c>
      <c r="AR343" t="s">
        <v>11</v>
      </c>
      <c r="AS343" t="s">
        <v>0</v>
      </c>
      <c r="AT343" t="s">
        <v>17</v>
      </c>
      <c r="AU343" s="4">
        <v>0</v>
      </c>
      <c r="AV343" s="4">
        <v>0</v>
      </c>
      <c r="AW343" s="4">
        <v>0</v>
      </c>
      <c r="AX343" s="4">
        <v>0</v>
      </c>
      <c r="AY343" s="5">
        <v>0</v>
      </c>
      <c r="AZ343" s="5">
        <v>0</v>
      </c>
      <c r="BA343" s="5">
        <v>0</v>
      </c>
      <c r="BB343" s="2"/>
      <c r="BC343" t="s">
        <v>0</v>
      </c>
      <c r="BD343" s="5">
        <v>1</v>
      </c>
      <c r="BE343" t="s">
        <v>0</v>
      </c>
      <c r="BF343" t="s">
        <v>319</v>
      </c>
      <c r="BG343" t="s">
        <v>17</v>
      </c>
      <c r="BH343" t="s">
        <v>0</v>
      </c>
      <c r="BI343" t="s">
        <v>11</v>
      </c>
      <c r="BJ343" t="s">
        <v>0</v>
      </c>
      <c r="BK343" t="s">
        <v>0</v>
      </c>
      <c r="BL343" s="5">
        <v>0</v>
      </c>
      <c r="BM343" t="s">
        <v>0</v>
      </c>
      <c r="BN343" t="s">
        <v>0</v>
      </c>
      <c r="BO343" t="s">
        <v>0</v>
      </c>
      <c r="BP343" t="s">
        <v>17</v>
      </c>
      <c r="BQ343" t="s">
        <v>0</v>
      </c>
      <c r="BR343" t="s">
        <v>17</v>
      </c>
      <c r="BS343" t="s">
        <v>17</v>
      </c>
      <c r="BT343" t="s">
        <v>0</v>
      </c>
      <c r="BU343" t="s">
        <v>0</v>
      </c>
      <c r="BV343" t="s">
        <v>0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</row>
    <row r="344" spans="1:80" ht="13.95" customHeight="1" x14ac:dyDescent="0.25">
      <c r="A344" t="s">
        <v>340</v>
      </c>
      <c r="B344" s="2">
        <v>45666</v>
      </c>
      <c r="C344" s="2">
        <v>45677</v>
      </c>
      <c r="D344" s="2">
        <v>45736</v>
      </c>
      <c r="E344" t="s">
        <v>2</v>
      </c>
      <c r="F344" t="s">
        <v>3</v>
      </c>
      <c r="G344" t="s">
        <v>0</v>
      </c>
      <c r="H344" t="s">
        <v>4</v>
      </c>
      <c r="I344" t="s">
        <v>314</v>
      </c>
      <c r="J344" t="s">
        <v>6</v>
      </c>
      <c r="K344" t="s">
        <v>87</v>
      </c>
      <c r="L344" t="s">
        <v>35</v>
      </c>
      <c r="M344" t="s">
        <v>36</v>
      </c>
      <c r="N344" t="s">
        <v>10</v>
      </c>
      <c r="O344" t="s">
        <v>0</v>
      </c>
      <c r="P344" t="s">
        <v>11</v>
      </c>
      <c r="Q344" s="5">
        <v>30</v>
      </c>
      <c r="R344" s="4">
        <v>50150</v>
      </c>
      <c r="S344" s="5">
        <v>1</v>
      </c>
      <c r="T344" s="4">
        <v>1504500</v>
      </c>
      <c r="U344" s="5">
        <v>0</v>
      </c>
      <c r="V344" s="4">
        <v>0</v>
      </c>
      <c r="W344" s="5">
        <v>0</v>
      </c>
      <c r="X344" s="4">
        <v>0</v>
      </c>
      <c r="Y344" s="4">
        <f t="shared" si="10"/>
        <v>1504500</v>
      </c>
      <c r="Z344" s="6" t="s">
        <v>0</v>
      </c>
      <c r="AA344" t="s">
        <v>2</v>
      </c>
      <c r="AB344" t="s">
        <v>12</v>
      </c>
      <c r="AC344">
        <f>_xlfn.XLOOKUP(AB344,'[1]GST Codes'!$A:$A,'[1]GST Codes'!$C:$C,0,0)</f>
        <v>18</v>
      </c>
      <c r="AD344">
        <f t="shared" si="11"/>
        <v>1775310</v>
      </c>
      <c r="AE344" t="s">
        <v>13</v>
      </c>
      <c r="AF344" t="s">
        <v>0</v>
      </c>
      <c r="AG344" t="s">
        <v>14</v>
      </c>
      <c r="AH344" t="s">
        <v>15</v>
      </c>
      <c r="AI344" t="s">
        <v>16</v>
      </c>
      <c r="AJ344" t="s">
        <v>17</v>
      </c>
      <c r="AK344" t="s">
        <v>18</v>
      </c>
      <c r="AL344" t="s">
        <v>19</v>
      </c>
      <c r="AM344" t="s">
        <v>316</v>
      </c>
      <c r="AN344" t="s">
        <v>0</v>
      </c>
      <c r="AO344" t="s">
        <v>0</v>
      </c>
      <c r="AP344" t="s">
        <v>0</v>
      </c>
      <c r="AQ344" s="5">
        <v>30</v>
      </c>
      <c r="AR344" t="s">
        <v>11</v>
      </c>
      <c r="AS344" t="s">
        <v>0</v>
      </c>
      <c r="AT344" t="s">
        <v>17</v>
      </c>
      <c r="AU344" s="4">
        <v>0</v>
      </c>
      <c r="AV344" s="4">
        <v>0</v>
      </c>
      <c r="AW344" s="4">
        <v>0</v>
      </c>
      <c r="AX344" s="4">
        <v>0</v>
      </c>
      <c r="AY344" s="5">
        <v>0</v>
      </c>
      <c r="AZ344" s="5">
        <v>0</v>
      </c>
      <c r="BA344" s="5">
        <v>0</v>
      </c>
      <c r="BB344" s="2"/>
      <c r="BC344" t="s">
        <v>0</v>
      </c>
      <c r="BD344" s="5">
        <v>1</v>
      </c>
      <c r="BE344" t="s">
        <v>0</v>
      </c>
      <c r="BF344" t="s">
        <v>319</v>
      </c>
      <c r="BG344" t="s">
        <v>17</v>
      </c>
      <c r="BH344" t="s">
        <v>0</v>
      </c>
      <c r="BI344" t="s">
        <v>11</v>
      </c>
      <c r="BJ344" t="s">
        <v>0</v>
      </c>
      <c r="BK344" t="s">
        <v>0</v>
      </c>
      <c r="BL344" s="5">
        <v>0</v>
      </c>
      <c r="BM344" t="s">
        <v>0</v>
      </c>
      <c r="BN344" t="s">
        <v>0</v>
      </c>
      <c r="BO344" t="s">
        <v>0</v>
      </c>
      <c r="BP344" t="s">
        <v>17</v>
      </c>
      <c r="BQ344" t="s">
        <v>0</v>
      </c>
      <c r="BR344" t="s">
        <v>17</v>
      </c>
      <c r="BS344" t="s">
        <v>17</v>
      </c>
      <c r="BT344" t="s">
        <v>0</v>
      </c>
      <c r="BU344" t="s">
        <v>0</v>
      </c>
      <c r="BV344" t="s">
        <v>0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</row>
    <row r="345" spans="1:80" ht="13.95" customHeight="1" x14ac:dyDescent="0.25">
      <c r="A345" t="s">
        <v>340</v>
      </c>
      <c r="B345" s="2">
        <v>45666</v>
      </c>
      <c r="C345" s="2">
        <v>45677</v>
      </c>
      <c r="D345" s="2">
        <v>45736</v>
      </c>
      <c r="E345" t="s">
        <v>2</v>
      </c>
      <c r="F345" t="s">
        <v>3</v>
      </c>
      <c r="G345" t="s">
        <v>0</v>
      </c>
      <c r="H345" t="s">
        <v>4</v>
      </c>
      <c r="I345" t="s">
        <v>314</v>
      </c>
      <c r="J345" t="s">
        <v>6</v>
      </c>
      <c r="K345" t="s">
        <v>88</v>
      </c>
      <c r="L345" t="s">
        <v>35</v>
      </c>
      <c r="M345" t="s">
        <v>36</v>
      </c>
      <c r="N345" t="s">
        <v>10</v>
      </c>
      <c r="O345" t="s">
        <v>0</v>
      </c>
      <c r="P345" t="s">
        <v>11</v>
      </c>
      <c r="Q345" s="5">
        <v>41</v>
      </c>
      <c r="R345" s="4">
        <v>50150</v>
      </c>
      <c r="S345" s="5">
        <v>1</v>
      </c>
      <c r="T345" s="4">
        <v>2056150</v>
      </c>
      <c r="U345" s="5">
        <v>0</v>
      </c>
      <c r="V345" s="4">
        <v>0</v>
      </c>
      <c r="W345" s="5">
        <v>0</v>
      </c>
      <c r="X345" s="4">
        <v>0</v>
      </c>
      <c r="Y345" s="4">
        <f t="shared" si="10"/>
        <v>2056150</v>
      </c>
      <c r="Z345" s="6" t="s">
        <v>0</v>
      </c>
      <c r="AA345" t="s">
        <v>2</v>
      </c>
      <c r="AB345" t="s">
        <v>12</v>
      </c>
      <c r="AC345">
        <f>_xlfn.XLOOKUP(AB345,'[1]GST Codes'!$A:$A,'[1]GST Codes'!$C:$C,0,0)</f>
        <v>18</v>
      </c>
      <c r="AD345">
        <f t="shared" si="11"/>
        <v>2426257</v>
      </c>
      <c r="AE345" t="s">
        <v>13</v>
      </c>
      <c r="AF345" t="s">
        <v>0</v>
      </c>
      <c r="AG345" t="s">
        <v>14</v>
      </c>
      <c r="AH345" t="s">
        <v>15</v>
      </c>
      <c r="AI345" t="s">
        <v>16</v>
      </c>
      <c r="AJ345" t="s">
        <v>17</v>
      </c>
      <c r="AK345" t="s">
        <v>18</v>
      </c>
      <c r="AL345" t="s">
        <v>19</v>
      </c>
      <c r="AM345" t="s">
        <v>316</v>
      </c>
      <c r="AN345" t="s">
        <v>0</v>
      </c>
      <c r="AO345" t="s">
        <v>0</v>
      </c>
      <c r="AP345" t="s">
        <v>0</v>
      </c>
      <c r="AQ345" s="5">
        <v>41</v>
      </c>
      <c r="AR345" t="s">
        <v>11</v>
      </c>
      <c r="AS345" t="s">
        <v>0</v>
      </c>
      <c r="AT345" t="s">
        <v>17</v>
      </c>
      <c r="AU345" s="4">
        <v>0</v>
      </c>
      <c r="AV345" s="4">
        <v>0</v>
      </c>
      <c r="AW345" s="4">
        <v>0</v>
      </c>
      <c r="AX345" s="4">
        <v>0</v>
      </c>
      <c r="AY345" s="5">
        <v>0</v>
      </c>
      <c r="AZ345" s="5">
        <v>0</v>
      </c>
      <c r="BA345" s="5">
        <v>0</v>
      </c>
      <c r="BB345" s="2"/>
      <c r="BC345" t="s">
        <v>0</v>
      </c>
      <c r="BD345" s="5">
        <v>1</v>
      </c>
      <c r="BE345" t="s">
        <v>0</v>
      </c>
      <c r="BF345" t="s">
        <v>319</v>
      </c>
      <c r="BG345" t="s">
        <v>17</v>
      </c>
      <c r="BH345" t="s">
        <v>0</v>
      </c>
      <c r="BI345" t="s">
        <v>11</v>
      </c>
      <c r="BJ345" t="s">
        <v>0</v>
      </c>
      <c r="BK345" t="s">
        <v>0</v>
      </c>
      <c r="BL345" s="5">
        <v>0</v>
      </c>
      <c r="BM345" t="s">
        <v>0</v>
      </c>
      <c r="BN345" t="s">
        <v>0</v>
      </c>
      <c r="BO345" t="s">
        <v>0</v>
      </c>
      <c r="BP345" t="s">
        <v>17</v>
      </c>
      <c r="BQ345" t="s">
        <v>0</v>
      </c>
      <c r="BR345" t="s">
        <v>17</v>
      </c>
      <c r="BS345" t="s">
        <v>17</v>
      </c>
      <c r="BT345" t="s">
        <v>0</v>
      </c>
      <c r="BU345" t="s">
        <v>0</v>
      </c>
      <c r="BV345" t="s">
        <v>0</v>
      </c>
      <c r="BW345" t="s">
        <v>0</v>
      </c>
      <c r="BX345" t="s">
        <v>0</v>
      </c>
      <c r="BY345" t="s">
        <v>0</v>
      </c>
      <c r="BZ345" t="s">
        <v>0</v>
      </c>
      <c r="CA345" t="s">
        <v>0</v>
      </c>
      <c r="CB345" t="s">
        <v>0</v>
      </c>
    </row>
    <row r="346" spans="1:80" ht="13.95" customHeight="1" x14ac:dyDescent="0.25">
      <c r="A346" t="s">
        <v>341</v>
      </c>
      <c r="B346" s="2">
        <v>45728</v>
      </c>
      <c r="C346" s="2"/>
      <c r="D346" s="2"/>
      <c r="E346" t="s">
        <v>2</v>
      </c>
      <c r="F346" t="s">
        <v>3</v>
      </c>
      <c r="G346" t="s">
        <v>0</v>
      </c>
      <c r="H346" t="s">
        <v>4</v>
      </c>
      <c r="I346" t="s">
        <v>314</v>
      </c>
      <c r="J346" t="s">
        <v>6</v>
      </c>
      <c r="K346" t="s">
        <v>7</v>
      </c>
      <c r="L346" t="s">
        <v>35</v>
      </c>
      <c r="M346" t="s">
        <v>36</v>
      </c>
      <c r="N346" t="s">
        <v>10</v>
      </c>
      <c r="O346" t="s">
        <v>0</v>
      </c>
      <c r="P346" t="s">
        <v>11</v>
      </c>
      <c r="Q346" s="3">
        <v>4.5</v>
      </c>
      <c r="R346" s="4">
        <v>55500</v>
      </c>
      <c r="S346" s="5">
        <v>1</v>
      </c>
      <c r="T346" s="4">
        <v>249750</v>
      </c>
      <c r="U346" s="5">
        <v>0</v>
      </c>
      <c r="V346" s="4">
        <v>0</v>
      </c>
      <c r="W346" s="5">
        <v>0</v>
      </c>
      <c r="X346" s="4">
        <v>0</v>
      </c>
      <c r="Y346" s="4">
        <f t="shared" si="10"/>
        <v>249750</v>
      </c>
      <c r="Z346" s="6" t="s">
        <v>0</v>
      </c>
      <c r="AA346" t="s">
        <v>2</v>
      </c>
      <c r="AB346" t="s">
        <v>12</v>
      </c>
      <c r="AC346">
        <f>_xlfn.XLOOKUP(AB346,'[1]GST Codes'!$A:$A,'[1]GST Codes'!$C:$C,0,0)</f>
        <v>18</v>
      </c>
      <c r="AD346">
        <f t="shared" si="11"/>
        <v>294705</v>
      </c>
      <c r="AE346" t="s">
        <v>13</v>
      </c>
      <c r="AF346" t="s">
        <v>0</v>
      </c>
      <c r="AG346" t="s">
        <v>14</v>
      </c>
      <c r="AH346" t="s">
        <v>15</v>
      </c>
      <c r="AI346" t="s">
        <v>16</v>
      </c>
      <c r="AJ346" t="s">
        <v>17</v>
      </c>
      <c r="AK346" t="s">
        <v>18</v>
      </c>
      <c r="AL346" t="s">
        <v>19</v>
      </c>
      <c r="AM346" t="s">
        <v>316</v>
      </c>
      <c r="AN346" t="s">
        <v>0</v>
      </c>
      <c r="AO346" t="s">
        <v>0</v>
      </c>
      <c r="AP346" t="s">
        <v>0</v>
      </c>
      <c r="AQ346" s="3">
        <v>4.5</v>
      </c>
      <c r="AR346" t="s">
        <v>11</v>
      </c>
      <c r="AS346" t="s">
        <v>0</v>
      </c>
      <c r="AT346" t="s">
        <v>17</v>
      </c>
      <c r="AU346" s="4">
        <v>0</v>
      </c>
      <c r="AV346" s="4">
        <v>0</v>
      </c>
      <c r="AW346" s="4">
        <v>0</v>
      </c>
      <c r="AX346" s="4">
        <v>0</v>
      </c>
      <c r="AY346" s="5">
        <v>0</v>
      </c>
      <c r="AZ346" s="5">
        <v>0</v>
      </c>
      <c r="BA346" s="5">
        <v>0</v>
      </c>
      <c r="BB346" s="2"/>
      <c r="BC346" t="s">
        <v>0</v>
      </c>
      <c r="BD346" s="5">
        <v>1</v>
      </c>
      <c r="BE346" t="s">
        <v>0</v>
      </c>
      <c r="BF346" t="s">
        <v>319</v>
      </c>
      <c r="BG346" t="s">
        <v>17</v>
      </c>
      <c r="BH346" t="s">
        <v>0</v>
      </c>
      <c r="BI346" t="s">
        <v>11</v>
      </c>
      <c r="BJ346" t="s">
        <v>0</v>
      </c>
      <c r="BK346" t="s">
        <v>0</v>
      </c>
      <c r="BL346" s="5">
        <v>0</v>
      </c>
      <c r="BM346" t="s">
        <v>0</v>
      </c>
      <c r="BN346" t="s">
        <v>0</v>
      </c>
      <c r="BO346" t="s">
        <v>0</v>
      </c>
      <c r="BP346" t="s">
        <v>17</v>
      </c>
      <c r="BQ346" t="s">
        <v>0</v>
      </c>
      <c r="BR346" t="s">
        <v>17</v>
      </c>
      <c r="BS346" t="s">
        <v>17</v>
      </c>
      <c r="BT346" t="s">
        <v>0</v>
      </c>
      <c r="BU346" t="s">
        <v>0</v>
      </c>
      <c r="BV346" t="s">
        <v>0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</row>
    <row r="347" spans="1:80" ht="13.95" customHeight="1" x14ac:dyDescent="0.25">
      <c r="A347" t="s">
        <v>341</v>
      </c>
      <c r="B347" s="2">
        <v>45728</v>
      </c>
      <c r="C347" s="2"/>
      <c r="D347" s="2"/>
      <c r="E347" t="s">
        <v>2</v>
      </c>
      <c r="F347" t="s">
        <v>3</v>
      </c>
      <c r="G347" t="s">
        <v>0</v>
      </c>
      <c r="H347" t="s">
        <v>4</v>
      </c>
      <c r="I347" t="s">
        <v>314</v>
      </c>
      <c r="J347" t="s">
        <v>6</v>
      </c>
      <c r="K347" t="s">
        <v>22</v>
      </c>
      <c r="L347" t="s">
        <v>35</v>
      </c>
      <c r="M347" t="s">
        <v>36</v>
      </c>
      <c r="N347" t="s">
        <v>10</v>
      </c>
      <c r="O347" t="s">
        <v>0</v>
      </c>
      <c r="P347" t="s">
        <v>11</v>
      </c>
      <c r="Q347" s="3">
        <v>4.5</v>
      </c>
      <c r="R347" s="4">
        <v>55500</v>
      </c>
      <c r="S347" s="5">
        <v>1</v>
      </c>
      <c r="T347" s="4">
        <v>249750</v>
      </c>
      <c r="U347" s="5">
        <v>0</v>
      </c>
      <c r="V347" s="4">
        <v>0</v>
      </c>
      <c r="W347" s="5">
        <v>0</v>
      </c>
      <c r="X347" s="4">
        <v>0</v>
      </c>
      <c r="Y347" s="4">
        <f t="shared" si="10"/>
        <v>249750</v>
      </c>
      <c r="Z347" s="6" t="s">
        <v>0</v>
      </c>
      <c r="AA347" t="s">
        <v>2</v>
      </c>
      <c r="AB347" t="s">
        <v>12</v>
      </c>
      <c r="AC347">
        <f>_xlfn.XLOOKUP(AB347,'[1]GST Codes'!$A:$A,'[1]GST Codes'!$C:$C,0,0)</f>
        <v>18</v>
      </c>
      <c r="AD347">
        <f t="shared" si="11"/>
        <v>294705</v>
      </c>
      <c r="AE347" t="s">
        <v>13</v>
      </c>
      <c r="AF347" t="s">
        <v>0</v>
      </c>
      <c r="AG347" t="s">
        <v>14</v>
      </c>
      <c r="AH347" t="s">
        <v>15</v>
      </c>
      <c r="AI347" t="s">
        <v>16</v>
      </c>
      <c r="AJ347" t="s">
        <v>17</v>
      </c>
      <c r="AK347" t="s">
        <v>18</v>
      </c>
      <c r="AL347" t="s">
        <v>19</v>
      </c>
      <c r="AM347" t="s">
        <v>316</v>
      </c>
      <c r="AN347" t="s">
        <v>0</v>
      </c>
      <c r="AO347" t="s">
        <v>0</v>
      </c>
      <c r="AP347" t="s">
        <v>0</v>
      </c>
      <c r="AQ347" s="3">
        <v>4.5</v>
      </c>
      <c r="AR347" t="s">
        <v>11</v>
      </c>
      <c r="AS347" t="s">
        <v>0</v>
      </c>
      <c r="AT347" t="s">
        <v>17</v>
      </c>
      <c r="AU347" s="4">
        <v>0</v>
      </c>
      <c r="AV347" s="4">
        <v>0</v>
      </c>
      <c r="AW347" s="4">
        <v>0</v>
      </c>
      <c r="AX347" s="4">
        <v>0</v>
      </c>
      <c r="AY347" s="5">
        <v>0</v>
      </c>
      <c r="AZ347" s="5">
        <v>0</v>
      </c>
      <c r="BA347" s="5">
        <v>0</v>
      </c>
      <c r="BB347" s="2"/>
      <c r="BC347" t="s">
        <v>0</v>
      </c>
      <c r="BD347" s="5">
        <v>1</v>
      </c>
      <c r="BE347" t="s">
        <v>0</v>
      </c>
      <c r="BF347" t="s">
        <v>319</v>
      </c>
      <c r="BG347" t="s">
        <v>17</v>
      </c>
      <c r="BH347" t="s">
        <v>0</v>
      </c>
      <c r="BI347" t="s">
        <v>11</v>
      </c>
      <c r="BJ347" t="s">
        <v>0</v>
      </c>
      <c r="BK347" t="s">
        <v>0</v>
      </c>
      <c r="BL347" s="5">
        <v>0</v>
      </c>
      <c r="BM347" t="s">
        <v>0</v>
      </c>
      <c r="BN347" t="s">
        <v>0</v>
      </c>
      <c r="BO347" t="s">
        <v>0</v>
      </c>
      <c r="BP347" t="s">
        <v>17</v>
      </c>
      <c r="BQ347" t="s">
        <v>0</v>
      </c>
      <c r="BR347" t="s">
        <v>17</v>
      </c>
      <c r="BS347" t="s">
        <v>17</v>
      </c>
      <c r="BT347" t="s">
        <v>0</v>
      </c>
      <c r="BU347" t="s">
        <v>0</v>
      </c>
      <c r="BV347" t="s">
        <v>0</v>
      </c>
      <c r="BW347" t="s">
        <v>0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</row>
    <row r="348" spans="1:80" ht="13.95" customHeight="1" x14ac:dyDescent="0.25">
      <c r="A348" t="s">
        <v>341</v>
      </c>
      <c r="B348" s="2">
        <v>45728</v>
      </c>
      <c r="C348" s="2"/>
      <c r="D348" s="2"/>
      <c r="E348" t="s">
        <v>2</v>
      </c>
      <c r="F348" t="s">
        <v>3</v>
      </c>
      <c r="G348" t="s">
        <v>0</v>
      </c>
      <c r="H348" t="s">
        <v>4</v>
      </c>
      <c r="I348" t="s">
        <v>314</v>
      </c>
      <c r="J348" t="s">
        <v>6</v>
      </c>
      <c r="K348" t="s">
        <v>26</v>
      </c>
      <c r="L348" t="s">
        <v>35</v>
      </c>
      <c r="M348" t="s">
        <v>36</v>
      </c>
      <c r="N348" t="s">
        <v>10</v>
      </c>
      <c r="O348" t="s">
        <v>0</v>
      </c>
      <c r="P348" t="s">
        <v>11</v>
      </c>
      <c r="Q348" s="3">
        <v>4.5</v>
      </c>
      <c r="R348" s="4">
        <v>55500</v>
      </c>
      <c r="S348" s="5">
        <v>1</v>
      </c>
      <c r="T348" s="4">
        <v>249750</v>
      </c>
      <c r="U348" s="5">
        <v>0</v>
      </c>
      <c r="V348" s="4">
        <v>0</v>
      </c>
      <c r="W348" s="5">
        <v>0</v>
      </c>
      <c r="X348" s="4">
        <v>0</v>
      </c>
      <c r="Y348" s="4">
        <f t="shared" si="10"/>
        <v>249750</v>
      </c>
      <c r="Z348" s="6" t="s">
        <v>0</v>
      </c>
      <c r="AA348" t="s">
        <v>2</v>
      </c>
      <c r="AB348" t="s">
        <v>12</v>
      </c>
      <c r="AC348">
        <f>_xlfn.XLOOKUP(AB348,'[1]GST Codes'!$A:$A,'[1]GST Codes'!$C:$C,0,0)</f>
        <v>18</v>
      </c>
      <c r="AD348">
        <f t="shared" si="11"/>
        <v>294705</v>
      </c>
      <c r="AE348" t="s">
        <v>13</v>
      </c>
      <c r="AF348" t="s">
        <v>0</v>
      </c>
      <c r="AG348" t="s">
        <v>14</v>
      </c>
      <c r="AH348" t="s">
        <v>15</v>
      </c>
      <c r="AI348" t="s">
        <v>16</v>
      </c>
      <c r="AJ348" t="s">
        <v>17</v>
      </c>
      <c r="AK348" t="s">
        <v>18</v>
      </c>
      <c r="AL348" t="s">
        <v>19</v>
      </c>
      <c r="AM348" t="s">
        <v>316</v>
      </c>
      <c r="AN348" t="s">
        <v>0</v>
      </c>
      <c r="AO348" t="s">
        <v>0</v>
      </c>
      <c r="AP348" t="s">
        <v>0</v>
      </c>
      <c r="AQ348" s="3">
        <v>4.5</v>
      </c>
      <c r="AR348" t="s">
        <v>11</v>
      </c>
      <c r="AS348" t="s">
        <v>0</v>
      </c>
      <c r="AT348" t="s">
        <v>17</v>
      </c>
      <c r="AU348" s="4">
        <v>0</v>
      </c>
      <c r="AV348" s="4">
        <v>0</v>
      </c>
      <c r="AW348" s="4">
        <v>0</v>
      </c>
      <c r="AX348" s="4">
        <v>0</v>
      </c>
      <c r="AY348" s="5">
        <v>0</v>
      </c>
      <c r="AZ348" s="5">
        <v>0</v>
      </c>
      <c r="BA348" s="5">
        <v>0</v>
      </c>
      <c r="BB348" s="2"/>
      <c r="BC348" t="s">
        <v>0</v>
      </c>
      <c r="BD348" s="5">
        <v>1</v>
      </c>
      <c r="BE348" t="s">
        <v>0</v>
      </c>
      <c r="BF348" t="s">
        <v>319</v>
      </c>
      <c r="BG348" t="s">
        <v>17</v>
      </c>
      <c r="BH348" t="s">
        <v>0</v>
      </c>
      <c r="BI348" t="s">
        <v>11</v>
      </c>
      <c r="BJ348" t="s">
        <v>0</v>
      </c>
      <c r="BK348" t="s">
        <v>0</v>
      </c>
      <c r="BL348" s="5">
        <v>0</v>
      </c>
      <c r="BM348" t="s">
        <v>0</v>
      </c>
      <c r="BN348" t="s">
        <v>0</v>
      </c>
      <c r="BO348" t="s">
        <v>0</v>
      </c>
      <c r="BP348" t="s">
        <v>17</v>
      </c>
      <c r="BQ348" t="s">
        <v>0</v>
      </c>
      <c r="BR348" t="s">
        <v>17</v>
      </c>
      <c r="BS348" t="s">
        <v>17</v>
      </c>
      <c r="BT348" t="s">
        <v>0</v>
      </c>
      <c r="BU348" t="s">
        <v>0</v>
      </c>
      <c r="BV348" t="s">
        <v>0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</row>
    <row r="349" spans="1:80" ht="13.95" customHeight="1" x14ac:dyDescent="0.25">
      <c r="A349" t="s">
        <v>341</v>
      </c>
      <c r="B349" s="2">
        <v>45728</v>
      </c>
      <c r="C349" s="2"/>
      <c r="D349" s="2"/>
      <c r="E349" t="s">
        <v>2</v>
      </c>
      <c r="F349" t="s">
        <v>3</v>
      </c>
      <c r="G349" t="s">
        <v>0</v>
      </c>
      <c r="H349" t="s">
        <v>4</v>
      </c>
      <c r="I349" t="s">
        <v>314</v>
      </c>
      <c r="J349" t="s">
        <v>6</v>
      </c>
      <c r="K349" t="s">
        <v>30</v>
      </c>
      <c r="L349" t="s">
        <v>35</v>
      </c>
      <c r="M349" t="s">
        <v>36</v>
      </c>
      <c r="N349" t="s">
        <v>10</v>
      </c>
      <c r="O349" t="s">
        <v>0</v>
      </c>
      <c r="P349" t="s">
        <v>11</v>
      </c>
      <c r="Q349" s="3">
        <v>4.5</v>
      </c>
      <c r="R349" s="4">
        <v>55500</v>
      </c>
      <c r="S349" s="5">
        <v>1</v>
      </c>
      <c r="T349" s="4">
        <v>249750</v>
      </c>
      <c r="U349" s="5">
        <v>0</v>
      </c>
      <c r="V349" s="4">
        <v>0</v>
      </c>
      <c r="W349" s="5">
        <v>0</v>
      </c>
      <c r="X349" s="4">
        <v>0</v>
      </c>
      <c r="Y349" s="4">
        <f t="shared" si="10"/>
        <v>249750</v>
      </c>
      <c r="Z349" s="6" t="s">
        <v>0</v>
      </c>
      <c r="AA349" t="s">
        <v>2</v>
      </c>
      <c r="AB349" t="s">
        <v>12</v>
      </c>
      <c r="AC349">
        <f>_xlfn.XLOOKUP(AB349,'[1]GST Codes'!$A:$A,'[1]GST Codes'!$C:$C,0,0)</f>
        <v>18</v>
      </c>
      <c r="AD349">
        <f t="shared" si="11"/>
        <v>294705</v>
      </c>
      <c r="AE349" t="s">
        <v>13</v>
      </c>
      <c r="AF349" t="s">
        <v>0</v>
      </c>
      <c r="AG349" t="s">
        <v>14</v>
      </c>
      <c r="AH349" t="s">
        <v>15</v>
      </c>
      <c r="AI349" t="s">
        <v>16</v>
      </c>
      <c r="AJ349" t="s">
        <v>17</v>
      </c>
      <c r="AK349" t="s">
        <v>18</v>
      </c>
      <c r="AL349" t="s">
        <v>19</v>
      </c>
      <c r="AM349" t="s">
        <v>316</v>
      </c>
      <c r="AN349" t="s">
        <v>0</v>
      </c>
      <c r="AO349" t="s">
        <v>0</v>
      </c>
      <c r="AP349" t="s">
        <v>0</v>
      </c>
      <c r="AQ349" s="3">
        <v>4.5</v>
      </c>
      <c r="AR349" t="s">
        <v>11</v>
      </c>
      <c r="AS349" t="s">
        <v>0</v>
      </c>
      <c r="AT349" t="s">
        <v>17</v>
      </c>
      <c r="AU349" s="4">
        <v>0</v>
      </c>
      <c r="AV349" s="4">
        <v>0</v>
      </c>
      <c r="AW349" s="4">
        <v>0</v>
      </c>
      <c r="AX349" s="4">
        <v>0</v>
      </c>
      <c r="AY349" s="5">
        <v>0</v>
      </c>
      <c r="AZ349" s="5">
        <v>0</v>
      </c>
      <c r="BA349" s="5">
        <v>0</v>
      </c>
      <c r="BB349" s="2"/>
      <c r="BC349" t="s">
        <v>0</v>
      </c>
      <c r="BD349" s="5">
        <v>1</v>
      </c>
      <c r="BE349" t="s">
        <v>0</v>
      </c>
      <c r="BF349" t="s">
        <v>319</v>
      </c>
      <c r="BG349" t="s">
        <v>17</v>
      </c>
      <c r="BH349" t="s">
        <v>0</v>
      </c>
      <c r="BI349" t="s">
        <v>11</v>
      </c>
      <c r="BJ349" t="s">
        <v>0</v>
      </c>
      <c r="BK349" t="s">
        <v>0</v>
      </c>
      <c r="BL349" s="5">
        <v>0</v>
      </c>
      <c r="BM349" t="s">
        <v>0</v>
      </c>
      <c r="BN349" t="s">
        <v>0</v>
      </c>
      <c r="BO349" t="s">
        <v>0</v>
      </c>
      <c r="BP349" t="s">
        <v>17</v>
      </c>
      <c r="BQ349" t="s">
        <v>0</v>
      </c>
      <c r="BR349" t="s">
        <v>17</v>
      </c>
      <c r="BS349" t="s">
        <v>17</v>
      </c>
      <c r="BT349" t="s">
        <v>0</v>
      </c>
      <c r="BU349" t="s">
        <v>0</v>
      </c>
      <c r="BV349" t="s">
        <v>0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</row>
    <row r="350" spans="1:80" ht="13.95" customHeight="1" x14ac:dyDescent="0.25">
      <c r="A350" t="s">
        <v>341</v>
      </c>
      <c r="B350" s="2">
        <v>45728</v>
      </c>
      <c r="C350" s="2"/>
      <c r="D350" s="2"/>
      <c r="E350" t="s">
        <v>2</v>
      </c>
      <c r="F350" t="s">
        <v>3</v>
      </c>
      <c r="G350" t="s">
        <v>0</v>
      </c>
      <c r="H350" t="s">
        <v>4</v>
      </c>
      <c r="I350" t="s">
        <v>314</v>
      </c>
      <c r="J350" t="s">
        <v>6</v>
      </c>
      <c r="K350" t="s">
        <v>34</v>
      </c>
      <c r="L350" t="s">
        <v>35</v>
      </c>
      <c r="M350" t="s">
        <v>36</v>
      </c>
      <c r="N350" t="s">
        <v>10</v>
      </c>
      <c r="O350" t="s">
        <v>0</v>
      </c>
      <c r="P350" t="s">
        <v>11</v>
      </c>
      <c r="Q350" s="5">
        <v>6</v>
      </c>
      <c r="R350" s="4">
        <v>55500</v>
      </c>
      <c r="S350" s="5">
        <v>1</v>
      </c>
      <c r="T350" s="4">
        <v>333000</v>
      </c>
      <c r="U350" s="5">
        <v>0</v>
      </c>
      <c r="V350" s="4">
        <v>0</v>
      </c>
      <c r="W350" s="5">
        <v>0</v>
      </c>
      <c r="X350" s="4">
        <v>0</v>
      </c>
      <c r="Y350" s="4">
        <f t="shared" si="10"/>
        <v>333000</v>
      </c>
      <c r="Z350" s="6" t="s">
        <v>0</v>
      </c>
      <c r="AA350" t="s">
        <v>2</v>
      </c>
      <c r="AB350" t="s">
        <v>12</v>
      </c>
      <c r="AC350">
        <f>_xlfn.XLOOKUP(AB350,'[1]GST Codes'!$A:$A,'[1]GST Codes'!$C:$C,0,0)</f>
        <v>18</v>
      </c>
      <c r="AD350">
        <f t="shared" si="11"/>
        <v>392940</v>
      </c>
      <c r="AE350" t="s">
        <v>13</v>
      </c>
      <c r="AF350" t="s">
        <v>0</v>
      </c>
      <c r="AG350" t="s">
        <v>14</v>
      </c>
      <c r="AH350" t="s">
        <v>15</v>
      </c>
      <c r="AI350" t="s">
        <v>16</v>
      </c>
      <c r="AJ350" t="s">
        <v>17</v>
      </c>
      <c r="AK350" t="s">
        <v>18</v>
      </c>
      <c r="AL350" t="s">
        <v>19</v>
      </c>
      <c r="AM350" t="s">
        <v>316</v>
      </c>
      <c r="AN350" t="s">
        <v>0</v>
      </c>
      <c r="AO350" t="s">
        <v>0</v>
      </c>
      <c r="AP350" t="s">
        <v>0</v>
      </c>
      <c r="AQ350" s="5">
        <v>6</v>
      </c>
      <c r="AR350" t="s">
        <v>11</v>
      </c>
      <c r="AS350" t="s">
        <v>0</v>
      </c>
      <c r="AT350" t="s">
        <v>17</v>
      </c>
      <c r="AU350" s="4">
        <v>0</v>
      </c>
      <c r="AV350" s="4">
        <v>0</v>
      </c>
      <c r="AW350" s="4">
        <v>0</v>
      </c>
      <c r="AX350" s="4">
        <v>0</v>
      </c>
      <c r="AY350" s="5">
        <v>0</v>
      </c>
      <c r="AZ350" s="5">
        <v>0</v>
      </c>
      <c r="BA350" s="5">
        <v>0</v>
      </c>
      <c r="BB350" s="2"/>
      <c r="BC350" t="s">
        <v>0</v>
      </c>
      <c r="BD350" s="5">
        <v>1</v>
      </c>
      <c r="BE350" t="s">
        <v>0</v>
      </c>
      <c r="BF350" t="s">
        <v>319</v>
      </c>
      <c r="BG350" t="s">
        <v>17</v>
      </c>
      <c r="BH350" t="s">
        <v>0</v>
      </c>
      <c r="BI350" t="s">
        <v>11</v>
      </c>
      <c r="BJ350" t="s">
        <v>0</v>
      </c>
      <c r="BK350" t="s">
        <v>0</v>
      </c>
      <c r="BL350" s="5">
        <v>0</v>
      </c>
      <c r="BM350" t="s">
        <v>0</v>
      </c>
      <c r="BN350" t="s">
        <v>0</v>
      </c>
      <c r="BO350" t="s">
        <v>0</v>
      </c>
      <c r="BP350" t="s">
        <v>17</v>
      </c>
      <c r="BQ350" t="s">
        <v>0</v>
      </c>
      <c r="BR350" t="s">
        <v>17</v>
      </c>
      <c r="BS350" t="s">
        <v>17</v>
      </c>
      <c r="BT350" t="s">
        <v>0</v>
      </c>
      <c r="BU350" t="s">
        <v>0</v>
      </c>
      <c r="BV350" t="s">
        <v>0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</row>
    <row r="351" spans="1:80" ht="13.95" customHeight="1" x14ac:dyDescent="0.25">
      <c r="A351" t="s">
        <v>341</v>
      </c>
      <c r="B351" s="2">
        <v>45728</v>
      </c>
      <c r="C351" s="2"/>
      <c r="D351" s="2"/>
      <c r="E351" t="s">
        <v>2</v>
      </c>
      <c r="F351" t="s">
        <v>3</v>
      </c>
      <c r="G351" t="s">
        <v>0</v>
      </c>
      <c r="H351" t="s">
        <v>4</v>
      </c>
      <c r="I351" t="s">
        <v>314</v>
      </c>
      <c r="J351" t="s">
        <v>6</v>
      </c>
      <c r="K351" t="s">
        <v>38</v>
      </c>
      <c r="L351" t="s">
        <v>35</v>
      </c>
      <c r="M351" t="s">
        <v>36</v>
      </c>
      <c r="N351" t="s">
        <v>10</v>
      </c>
      <c r="O351" t="s">
        <v>0</v>
      </c>
      <c r="P351" t="s">
        <v>11</v>
      </c>
      <c r="Q351" s="5">
        <v>6</v>
      </c>
      <c r="R351" s="4">
        <v>55500</v>
      </c>
      <c r="S351" s="5">
        <v>1</v>
      </c>
      <c r="T351" s="4">
        <v>333000</v>
      </c>
      <c r="U351" s="3">
        <v>1.01</v>
      </c>
      <c r="V351" s="4">
        <v>56055</v>
      </c>
      <c r="W351" s="3">
        <v>1.01</v>
      </c>
      <c r="X351" s="4">
        <v>56055</v>
      </c>
      <c r="Y351" s="4">
        <f t="shared" si="10"/>
        <v>276945</v>
      </c>
      <c r="Z351" s="6" t="s">
        <v>0</v>
      </c>
      <c r="AA351" t="s">
        <v>2</v>
      </c>
      <c r="AB351" t="s">
        <v>12</v>
      </c>
      <c r="AC351">
        <f>_xlfn.XLOOKUP(AB351,'[1]GST Codes'!$A:$A,'[1]GST Codes'!$C:$C,0,0)</f>
        <v>18</v>
      </c>
      <c r="AD351">
        <f t="shared" si="11"/>
        <v>326795.09999999998</v>
      </c>
      <c r="AE351" t="s">
        <v>13</v>
      </c>
      <c r="AF351" t="s">
        <v>0</v>
      </c>
      <c r="AG351" t="s">
        <v>14</v>
      </c>
      <c r="AH351" t="s">
        <v>15</v>
      </c>
      <c r="AI351" t="s">
        <v>16</v>
      </c>
      <c r="AJ351" t="s">
        <v>17</v>
      </c>
      <c r="AK351" t="s">
        <v>18</v>
      </c>
      <c r="AL351" t="s">
        <v>19</v>
      </c>
      <c r="AM351" t="s">
        <v>316</v>
      </c>
      <c r="AN351" t="s">
        <v>0</v>
      </c>
      <c r="AO351" t="s">
        <v>0</v>
      </c>
      <c r="AP351" t="s">
        <v>0</v>
      </c>
      <c r="AQ351" s="5">
        <v>6</v>
      </c>
      <c r="AR351" t="s">
        <v>11</v>
      </c>
      <c r="AS351" t="s">
        <v>0</v>
      </c>
      <c r="AT351" t="s">
        <v>17</v>
      </c>
      <c r="AU351" s="4">
        <v>0</v>
      </c>
      <c r="AV351" s="4">
        <v>0</v>
      </c>
      <c r="AW351" s="4">
        <v>0</v>
      </c>
      <c r="AX351" s="4">
        <v>0</v>
      </c>
      <c r="AY351" s="5">
        <v>0</v>
      </c>
      <c r="AZ351" s="5">
        <v>0</v>
      </c>
      <c r="BA351" s="5">
        <v>0</v>
      </c>
      <c r="BB351" s="2"/>
      <c r="BC351" t="s">
        <v>0</v>
      </c>
      <c r="BD351" s="5">
        <v>1</v>
      </c>
      <c r="BE351" t="s">
        <v>0</v>
      </c>
      <c r="BF351" t="s">
        <v>319</v>
      </c>
      <c r="BG351" t="s">
        <v>17</v>
      </c>
      <c r="BH351" t="s">
        <v>0</v>
      </c>
      <c r="BI351" t="s">
        <v>11</v>
      </c>
      <c r="BJ351" t="s">
        <v>0</v>
      </c>
      <c r="BK351" t="s">
        <v>0</v>
      </c>
      <c r="BL351" s="5">
        <v>0</v>
      </c>
      <c r="BM351" t="s">
        <v>0</v>
      </c>
      <c r="BN351" t="s">
        <v>0</v>
      </c>
      <c r="BO351" t="s">
        <v>0</v>
      </c>
      <c r="BP351" t="s">
        <v>17</v>
      </c>
      <c r="BQ351" t="s">
        <v>0</v>
      </c>
      <c r="BR351" t="s">
        <v>17</v>
      </c>
      <c r="BS351" t="s">
        <v>17</v>
      </c>
      <c r="BT351" t="s">
        <v>0</v>
      </c>
      <c r="BU351" t="s">
        <v>0</v>
      </c>
      <c r="BV351" t="s">
        <v>0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</row>
    <row r="352" spans="1:80" ht="13.95" customHeight="1" x14ac:dyDescent="0.25">
      <c r="A352" t="s">
        <v>342</v>
      </c>
      <c r="B352" s="2">
        <v>45575</v>
      </c>
      <c r="C352" s="2">
        <v>45677</v>
      </c>
      <c r="D352" s="2">
        <v>45736</v>
      </c>
      <c r="E352" t="s">
        <v>2</v>
      </c>
      <c r="F352" t="s">
        <v>3</v>
      </c>
      <c r="G352" t="s">
        <v>98</v>
      </c>
      <c r="H352" t="s">
        <v>4</v>
      </c>
      <c r="I352" t="s">
        <v>343</v>
      </c>
      <c r="J352" t="s">
        <v>6</v>
      </c>
      <c r="K352" t="s">
        <v>7</v>
      </c>
      <c r="L352" t="s">
        <v>74</v>
      </c>
      <c r="M352" t="s">
        <v>344</v>
      </c>
      <c r="N352" t="s">
        <v>10</v>
      </c>
      <c r="O352" t="s">
        <v>0</v>
      </c>
      <c r="P352" t="s">
        <v>11</v>
      </c>
      <c r="Q352" s="5">
        <v>24</v>
      </c>
      <c r="R352" s="4">
        <v>53500</v>
      </c>
      <c r="S352" s="5">
        <v>1</v>
      </c>
      <c r="T352" s="4">
        <v>1284000</v>
      </c>
      <c r="U352" s="5">
        <v>0</v>
      </c>
      <c r="V352" s="4">
        <v>0</v>
      </c>
      <c r="W352" s="5">
        <v>0</v>
      </c>
      <c r="X352" s="4">
        <v>0</v>
      </c>
      <c r="Y352" s="4">
        <f t="shared" si="10"/>
        <v>1284000</v>
      </c>
      <c r="Z352" s="6" t="s">
        <v>0</v>
      </c>
      <c r="AA352" t="s">
        <v>2</v>
      </c>
      <c r="AB352" t="s">
        <v>103</v>
      </c>
      <c r="AC352">
        <f>_xlfn.XLOOKUP(AB352,'[1]GST Codes'!$A:$A,'[1]GST Codes'!$C:$C,0,0)</f>
        <v>18</v>
      </c>
      <c r="AD352">
        <f t="shared" si="11"/>
        <v>1515120</v>
      </c>
      <c r="AE352" t="s">
        <v>13</v>
      </c>
      <c r="AF352" t="s">
        <v>0</v>
      </c>
      <c r="AG352" t="s">
        <v>14</v>
      </c>
      <c r="AH352" t="s">
        <v>15</v>
      </c>
      <c r="AI352" t="s">
        <v>16</v>
      </c>
      <c r="AJ352" t="s">
        <v>17</v>
      </c>
      <c r="AK352" t="s">
        <v>18</v>
      </c>
      <c r="AL352" t="s">
        <v>19</v>
      </c>
      <c r="AM352" t="s">
        <v>343</v>
      </c>
      <c r="AN352" t="s">
        <v>0</v>
      </c>
      <c r="AO352" t="s">
        <v>20</v>
      </c>
      <c r="AP352" t="s">
        <v>0</v>
      </c>
      <c r="AQ352" s="5">
        <v>24</v>
      </c>
      <c r="AR352" t="s">
        <v>11</v>
      </c>
      <c r="AS352" t="s">
        <v>0</v>
      </c>
      <c r="AT352" t="s">
        <v>17</v>
      </c>
      <c r="AU352" s="4">
        <v>0</v>
      </c>
      <c r="AV352" s="4">
        <v>0</v>
      </c>
      <c r="AW352" s="4">
        <v>0</v>
      </c>
      <c r="AX352" s="4">
        <v>0</v>
      </c>
      <c r="AY352" s="5">
        <v>0</v>
      </c>
      <c r="AZ352" s="5">
        <v>0</v>
      </c>
      <c r="BA352" s="5">
        <v>0</v>
      </c>
      <c r="BB352" s="2"/>
      <c r="BC352" t="s">
        <v>0</v>
      </c>
      <c r="BD352" s="5">
        <v>1</v>
      </c>
      <c r="BE352" t="s">
        <v>0</v>
      </c>
      <c r="BF352" t="s">
        <v>345</v>
      </c>
      <c r="BG352" t="s">
        <v>17</v>
      </c>
      <c r="BH352" t="s">
        <v>0</v>
      </c>
      <c r="BI352" t="s">
        <v>11</v>
      </c>
      <c r="BJ352" t="s">
        <v>0</v>
      </c>
      <c r="BK352" t="s">
        <v>0</v>
      </c>
      <c r="BL352" s="5">
        <v>0</v>
      </c>
      <c r="BM352" t="s">
        <v>0</v>
      </c>
      <c r="BN352" t="s">
        <v>0</v>
      </c>
      <c r="BO352" t="s">
        <v>0</v>
      </c>
      <c r="BP352" t="s">
        <v>17</v>
      </c>
      <c r="BQ352" t="s">
        <v>0</v>
      </c>
      <c r="BR352" t="s">
        <v>17</v>
      </c>
      <c r="BS352" t="s">
        <v>17</v>
      </c>
      <c r="BT352" t="s">
        <v>0</v>
      </c>
      <c r="BU352" t="s">
        <v>0</v>
      </c>
      <c r="BV352" t="s">
        <v>0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</row>
    <row r="353" spans="1:80" ht="13.95" customHeight="1" x14ac:dyDescent="0.25">
      <c r="A353" t="s">
        <v>342</v>
      </c>
      <c r="B353" s="2">
        <v>45575</v>
      </c>
      <c r="C353" s="2">
        <v>45677</v>
      </c>
      <c r="D353" s="2">
        <v>45736</v>
      </c>
      <c r="E353" t="s">
        <v>2</v>
      </c>
      <c r="F353" t="s">
        <v>3</v>
      </c>
      <c r="G353" t="s">
        <v>98</v>
      </c>
      <c r="H353" t="s">
        <v>4</v>
      </c>
      <c r="I353" t="s">
        <v>343</v>
      </c>
      <c r="J353" t="s">
        <v>6</v>
      </c>
      <c r="K353" t="s">
        <v>22</v>
      </c>
      <c r="L353" t="s">
        <v>74</v>
      </c>
      <c r="M353" t="s">
        <v>344</v>
      </c>
      <c r="N353" t="s">
        <v>10</v>
      </c>
      <c r="O353" t="s">
        <v>0</v>
      </c>
      <c r="P353" t="s">
        <v>11</v>
      </c>
      <c r="Q353" s="5">
        <v>24</v>
      </c>
      <c r="R353" s="4">
        <v>53500</v>
      </c>
      <c r="S353" s="5">
        <v>1</v>
      </c>
      <c r="T353" s="4">
        <v>1284000</v>
      </c>
      <c r="U353" s="5">
        <v>0</v>
      </c>
      <c r="V353" s="4">
        <v>0</v>
      </c>
      <c r="W353" s="5">
        <v>0</v>
      </c>
      <c r="X353" s="4">
        <v>0</v>
      </c>
      <c r="Y353" s="4">
        <f t="shared" si="10"/>
        <v>1284000</v>
      </c>
      <c r="Z353" s="6" t="s">
        <v>0</v>
      </c>
      <c r="AA353" t="s">
        <v>2</v>
      </c>
      <c r="AB353" t="s">
        <v>103</v>
      </c>
      <c r="AC353">
        <f>_xlfn.XLOOKUP(AB353,'[1]GST Codes'!$A:$A,'[1]GST Codes'!$C:$C,0,0)</f>
        <v>18</v>
      </c>
      <c r="AD353">
        <f t="shared" si="11"/>
        <v>1515120</v>
      </c>
      <c r="AE353" t="s">
        <v>13</v>
      </c>
      <c r="AF353" t="s">
        <v>0</v>
      </c>
      <c r="AG353" t="s">
        <v>14</v>
      </c>
      <c r="AH353" t="s">
        <v>15</v>
      </c>
      <c r="AI353" t="s">
        <v>16</v>
      </c>
      <c r="AJ353" t="s">
        <v>17</v>
      </c>
      <c r="AK353" t="s">
        <v>18</v>
      </c>
      <c r="AL353" t="s">
        <v>19</v>
      </c>
      <c r="AM353" t="s">
        <v>343</v>
      </c>
      <c r="AN353" t="s">
        <v>0</v>
      </c>
      <c r="AO353" t="s">
        <v>20</v>
      </c>
      <c r="AP353" t="s">
        <v>0</v>
      </c>
      <c r="AQ353" s="5">
        <v>24</v>
      </c>
      <c r="AR353" t="s">
        <v>11</v>
      </c>
      <c r="AS353" t="s">
        <v>0</v>
      </c>
      <c r="AT353" t="s">
        <v>17</v>
      </c>
      <c r="AU353" s="4">
        <v>0</v>
      </c>
      <c r="AV353" s="4">
        <v>0</v>
      </c>
      <c r="AW353" s="4">
        <v>0</v>
      </c>
      <c r="AX353" s="4">
        <v>0</v>
      </c>
      <c r="AY353" s="5">
        <v>0</v>
      </c>
      <c r="AZ353" s="5">
        <v>0</v>
      </c>
      <c r="BA353" s="5">
        <v>0</v>
      </c>
      <c r="BB353" s="2"/>
      <c r="BC353" t="s">
        <v>0</v>
      </c>
      <c r="BD353" s="5">
        <v>1</v>
      </c>
      <c r="BE353" t="s">
        <v>0</v>
      </c>
      <c r="BF353" t="s">
        <v>345</v>
      </c>
      <c r="BG353" t="s">
        <v>17</v>
      </c>
      <c r="BH353" t="s">
        <v>0</v>
      </c>
      <c r="BI353" t="s">
        <v>11</v>
      </c>
      <c r="BJ353" t="s">
        <v>0</v>
      </c>
      <c r="BK353" t="s">
        <v>0</v>
      </c>
      <c r="BL353" s="5">
        <v>0</v>
      </c>
      <c r="BM353" t="s">
        <v>0</v>
      </c>
      <c r="BN353" t="s">
        <v>0</v>
      </c>
      <c r="BO353" t="s">
        <v>0</v>
      </c>
      <c r="BP353" t="s">
        <v>17</v>
      </c>
      <c r="BQ353" t="s">
        <v>0</v>
      </c>
      <c r="BR353" t="s">
        <v>17</v>
      </c>
      <c r="BS353" t="s">
        <v>17</v>
      </c>
      <c r="BT353" t="s">
        <v>0</v>
      </c>
      <c r="BU353" t="s">
        <v>0</v>
      </c>
      <c r="BV353" t="s">
        <v>0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</row>
    <row r="354" spans="1:80" ht="13.95" customHeight="1" x14ac:dyDescent="0.25">
      <c r="A354" t="s">
        <v>342</v>
      </c>
      <c r="B354" s="2">
        <v>45575</v>
      </c>
      <c r="C354" s="2">
        <v>45677</v>
      </c>
      <c r="D354" s="2">
        <v>45736</v>
      </c>
      <c r="E354" t="s">
        <v>2</v>
      </c>
      <c r="F354" t="s">
        <v>3</v>
      </c>
      <c r="G354" t="s">
        <v>98</v>
      </c>
      <c r="H354" t="s">
        <v>4</v>
      </c>
      <c r="I354" t="s">
        <v>343</v>
      </c>
      <c r="J354" t="s">
        <v>6</v>
      </c>
      <c r="K354" t="s">
        <v>26</v>
      </c>
      <c r="L354" t="s">
        <v>74</v>
      </c>
      <c r="M354" t="s">
        <v>344</v>
      </c>
      <c r="N354" t="s">
        <v>10</v>
      </c>
      <c r="O354" t="s">
        <v>0</v>
      </c>
      <c r="P354" t="s">
        <v>11</v>
      </c>
      <c r="Q354" s="5">
        <v>8</v>
      </c>
      <c r="R354" s="4">
        <v>53500</v>
      </c>
      <c r="S354" s="5">
        <v>1</v>
      </c>
      <c r="T354" s="4">
        <v>428000</v>
      </c>
      <c r="U354" s="5">
        <v>0</v>
      </c>
      <c r="V354" s="4">
        <v>0</v>
      </c>
      <c r="W354" s="5">
        <v>0</v>
      </c>
      <c r="X354" s="4">
        <v>0</v>
      </c>
      <c r="Y354" s="4">
        <f t="shared" si="10"/>
        <v>428000</v>
      </c>
      <c r="Z354" s="6" t="s">
        <v>0</v>
      </c>
      <c r="AA354" t="s">
        <v>2</v>
      </c>
      <c r="AB354" t="s">
        <v>103</v>
      </c>
      <c r="AC354">
        <f>_xlfn.XLOOKUP(AB354,'[1]GST Codes'!$A:$A,'[1]GST Codes'!$C:$C,0,0)</f>
        <v>18</v>
      </c>
      <c r="AD354">
        <f t="shared" si="11"/>
        <v>505040</v>
      </c>
      <c r="AE354" t="s">
        <v>13</v>
      </c>
      <c r="AF354" t="s">
        <v>0</v>
      </c>
      <c r="AG354" t="s">
        <v>14</v>
      </c>
      <c r="AH354" t="s">
        <v>15</v>
      </c>
      <c r="AI354" t="s">
        <v>16</v>
      </c>
      <c r="AJ354" t="s">
        <v>17</v>
      </c>
      <c r="AK354" t="s">
        <v>18</v>
      </c>
      <c r="AL354" t="s">
        <v>19</v>
      </c>
      <c r="AM354" t="s">
        <v>343</v>
      </c>
      <c r="AN354" t="s">
        <v>0</v>
      </c>
      <c r="AO354" t="s">
        <v>20</v>
      </c>
      <c r="AP354" t="s">
        <v>0</v>
      </c>
      <c r="AQ354" s="5">
        <v>8</v>
      </c>
      <c r="AR354" t="s">
        <v>11</v>
      </c>
      <c r="AS354" t="s">
        <v>0</v>
      </c>
      <c r="AT354" t="s">
        <v>17</v>
      </c>
      <c r="AU354" s="4">
        <v>0</v>
      </c>
      <c r="AV354" s="4">
        <v>0</v>
      </c>
      <c r="AW354" s="4">
        <v>0</v>
      </c>
      <c r="AX354" s="4">
        <v>0</v>
      </c>
      <c r="AY354" s="5">
        <v>0</v>
      </c>
      <c r="AZ354" s="5">
        <v>0</v>
      </c>
      <c r="BA354" s="5">
        <v>0</v>
      </c>
      <c r="BB354" s="2"/>
      <c r="BC354" t="s">
        <v>0</v>
      </c>
      <c r="BD354" s="5">
        <v>1</v>
      </c>
      <c r="BE354" t="s">
        <v>0</v>
      </c>
      <c r="BF354" t="s">
        <v>345</v>
      </c>
      <c r="BG354" t="s">
        <v>17</v>
      </c>
      <c r="BH354" t="s">
        <v>0</v>
      </c>
      <c r="BI354" t="s">
        <v>11</v>
      </c>
      <c r="BJ354" t="s">
        <v>0</v>
      </c>
      <c r="BK354" t="s">
        <v>0</v>
      </c>
      <c r="BL354" s="5">
        <v>0</v>
      </c>
      <c r="BM354" t="s">
        <v>0</v>
      </c>
      <c r="BN354" t="s">
        <v>0</v>
      </c>
      <c r="BO354" t="s">
        <v>0</v>
      </c>
      <c r="BP354" t="s">
        <v>17</v>
      </c>
      <c r="BQ354" t="s">
        <v>0</v>
      </c>
      <c r="BR354" t="s">
        <v>17</v>
      </c>
      <c r="BS354" t="s">
        <v>17</v>
      </c>
      <c r="BT354" t="s">
        <v>0</v>
      </c>
      <c r="BU354" t="s">
        <v>0</v>
      </c>
      <c r="BV354" t="s">
        <v>0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</row>
    <row r="355" spans="1:80" ht="13.95" customHeight="1" x14ac:dyDescent="0.25">
      <c r="A355" t="s">
        <v>342</v>
      </c>
      <c r="B355" s="2">
        <v>45575</v>
      </c>
      <c r="C355" s="2">
        <v>45677</v>
      </c>
      <c r="D355" s="2">
        <v>45736</v>
      </c>
      <c r="E355" t="s">
        <v>2</v>
      </c>
      <c r="F355" t="s">
        <v>3</v>
      </c>
      <c r="G355" t="s">
        <v>98</v>
      </c>
      <c r="H355" t="s">
        <v>4</v>
      </c>
      <c r="I355" t="s">
        <v>343</v>
      </c>
      <c r="J355" t="s">
        <v>6</v>
      </c>
      <c r="K355" t="s">
        <v>30</v>
      </c>
      <c r="L355" t="s">
        <v>39</v>
      </c>
      <c r="M355" t="s">
        <v>346</v>
      </c>
      <c r="N355" t="s">
        <v>10</v>
      </c>
      <c r="O355" t="s">
        <v>0</v>
      </c>
      <c r="P355" t="s">
        <v>11</v>
      </c>
      <c r="Q355" s="5">
        <v>11</v>
      </c>
      <c r="R355" s="4">
        <v>53500</v>
      </c>
      <c r="S355" s="5">
        <v>1</v>
      </c>
      <c r="T355" s="4">
        <v>588500</v>
      </c>
      <c r="U355" s="5">
        <v>0</v>
      </c>
      <c r="V355" s="4">
        <v>0</v>
      </c>
      <c r="W355" s="5">
        <v>0</v>
      </c>
      <c r="X355" s="4">
        <v>0</v>
      </c>
      <c r="Y355" s="4">
        <f t="shared" si="10"/>
        <v>588500</v>
      </c>
      <c r="Z355" s="6" t="s">
        <v>0</v>
      </c>
      <c r="AA355" t="s">
        <v>2</v>
      </c>
      <c r="AB355" t="s">
        <v>103</v>
      </c>
      <c r="AC355">
        <f>_xlfn.XLOOKUP(AB355,'[1]GST Codes'!$A:$A,'[1]GST Codes'!$C:$C,0,0)</f>
        <v>18</v>
      </c>
      <c r="AD355">
        <f t="shared" si="11"/>
        <v>694430</v>
      </c>
      <c r="AE355" t="s">
        <v>13</v>
      </c>
      <c r="AF355" t="s">
        <v>0</v>
      </c>
      <c r="AG355" t="s">
        <v>14</v>
      </c>
      <c r="AH355" t="s">
        <v>15</v>
      </c>
      <c r="AI355" t="s">
        <v>16</v>
      </c>
      <c r="AJ355" t="s">
        <v>17</v>
      </c>
      <c r="AK355" t="s">
        <v>18</v>
      </c>
      <c r="AL355" t="s">
        <v>19</v>
      </c>
      <c r="AM355" t="s">
        <v>343</v>
      </c>
      <c r="AN355" t="s">
        <v>0</v>
      </c>
      <c r="AO355" t="s">
        <v>20</v>
      </c>
      <c r="AP355" t="s">
        <v>0</v>
      </c>
      <c r="AQ355" s="5">
        <v>11</v>
      </c>
      <c r="AR355" t="s">
        <v>11</v>
      </c>
      <c r="AS355" t="s">
        <v>0</v>
      </c>
      <c r="AT355" t="s">
        <v>17</v>
      </c>
      <c r="AU355" s="4">
        <v>0</v>
      </c>
      <c r="AV355" s="4">
        <v>0</v>
      </c>
      <c r="AW355" s="4">
        <v>0</v>
      </c>
      <c r="AX355" s="4">
        <v>0</v>
      </c>
      <c r="AY355" s="5">
        <v>0</v>
      </c>
      <c r="AZ355" s="5">
        <v>0</v>
      </c>
      <c r="BA355" s="5">
        <v>0</v>
      </c>
      <c r="BB355" s="2"/>
      <c r="BC355" t="s">
        <v>0</v>
      </c>
      <c r="BD355" s="5">
        <v>1</v>
      </c>
      <c r="BE355" t="s">
        <v>0</v>
      </c>
      <c r="BF355" t="s">
        <v>347</v>
      </c>
      <c r="BG355" t="s">
        <v>17</v>
      </c>
      <c r="BH355" t="s">
        <v>0</v>
      </c>
      <c r="BI355" t="s">
        <v>11</v>
      </c>
      <c r="BJ355" t="s">
        <v>0</v>
      </c>
      <c r="BK355" t="s">
        <v>0</v>
      </c>
      <c r="BL355" s="5">
        <v>0</v>
      </c>
      <c r="BM355" t="s">
        <v>0</v>
      </c>
      <c r="BN355" t="s">
        <v>0</v>
      </c>
      <c r="BO355" t="s">
        <v>0</v>
      </c>
      <c r="BP355" t="s">
        <v>17</v>
      </c>
      <c r="BQ355" t="s">
        <v>0</v>
      </c>
      <c r="BR355" t="s">
        <v>17</v>
      </c>
      <c r="BS355" t="s">
        <v>17</v>
      </c>
      <c r="BT355" t="s">
        <v>0</v>
      </c>
      <c r="BU355" t="s">
        <v>0</v>
      </c>
      <c r="BV355" t="s">
        <v>0</v>
      </c>
      <c r="BW355" t="s">
        <v>0</v>
      </c>
      <c r="BX355" t="s">
        <v>0</v>
      </c>
      <c r="BY355" t="s">
        <v>0</v>
      </c>
      <c r="BZ355" t="s">
        <v>0</v>
      </c>
      <c r="CA355" t="s">
        <v>0</v>
      </c>
      <c r="CB355" t="s">
        <v>0</v>
      </c>
    </row>
    <row r="356" spans="1:80" ht="13.95" customHeight="1" x14ac:dyDescent="0.25">
      <c r="A356" t="s">
        <v>342</v>
      </c>
      <c r="B356" s="2">
        <v>45575</v>
      </c>
      <c r="C356" s="2">
        <v>45677</v>
      </c>
      <c r="D356" s="2">
        <v>45736</v>
      </c>
      <c r="E356" t="s">
        <v>2</v>
      </c>
      <c r="F356" t="s">
        <v>3</v>
      </c>
      <c r="G356" t="s">
        <v>0</v>
      </c>
      <c r="H356" t="s">
        <v>4</v>
      </c>
      <c r="I356" t="s">
        <v>343</v>
      </c>
      <c r="J356" t="s">
        <v>6</v>
      </c>
      <c r="K356" t="s">
        <v>34</v>
      </c>
      <c r="L356" t="s">
        <v>39</v>
      </c>
      <c r="M356" t="s">
        <v>346</v>
      </c>
      <c r="N356" t="s">
        <v>10</v>
      </c>
      <c r="O356" t="s">
        <v>0</v>
      </c>
      <c r="P356" t="s">
        <v>11</v>
      </c>
      <c r="Q356" s="3">
        <v>4.2</v>
      </c>
      <c r="R356" s="4">
        <v>53500</v>
      </c>
      <c r="S356" s="5">
        <v>1</v>
      </c>
      <c r="T356" s="4">
        <v>224700</v>
      </c>
      <c r="U356" s="5">
        <v>0</v>
      </c>
      <c r="V356" s="4">
        <v>0</v>
      </c>
      <c r="W356" s="5">
        <v>0</v>
      </c>
      <c r="X356" s="4">
        <v>0</v>
      </c>
      <c r="Y356" s="4">
        <f t="shared" si="10"/>
        <v>224700</v>
      </c>
      <c r="Z356" s="6" t="s">
        <v>0</v>
      </c>
      <c r="AA356" t="s">
        <v>2</v>
      </c>
      <c r="AB356" t="s">
        <v>103</v>
      </c>
      <c r="AC356">
        <f>_xlfn.XLOOKUP(AB356,'[1]GST Codes'!$A:$A,'[1]GST Codes'!$C:$C,0,0)</f>
        <v>18</v>
      </c>
      <c r="AD356">
        <f t="shared" si="11"/>
        <v>265146</v>
      </c>
      <c r="AE356" t="s">
        <v>13</v>
      </c>
      <c r="AF356" t="s">
        <v>0</v>
      </c>
      <c r="AG356" t="s">
        <v>14</v>
      </c>
      <c r="AH356" t="s">
        <v>15</v>
      </c>
      <c r="AI356" t="s">
        <v>16</v>
      </c>
      <c r="AJ356" t="s">
        <v>17</v>
      </c>
      <c r="AK356" t="s">
        <v>18</v>
      </c>
      <c r="AL356" t="s">
        <v>19</v>
      </c>
      <c r="AM356" t="s">
        <v>343</v>
      </c>
      <c r="AN356" t="s">
        <v>0</v>
      </c>
      <c r="AO356" t="s">
        <v>20</v>
      </c>
      <c r="AP356" t="s">
        <v>0</v>
      </c>
      <c r="AQ356" s="3">
        <v>4.2</v>
      </c>
      <c r="AR356" t="s">
        <v>11</v>
      </c>
      <c r="AS356" t="s">
        <v>0</v>
      </c>
      <c r="AT356" t="s">
        <v>17</v>
      </c>
      <c r="AU356" s="4">
        <v>0</v>
      </c>
      <c r="AV356" s="4">
        <v>0</v>
      </c>
      <c r="AW356" s="4">
        <v>0</v>
      </c>
      <c r="AX356" s="4">
        <v>0</v>
      </c>
      <c r="AY356" s="5">
        <v>0</v>
      </c>
      <c r="AZ356" s="5">
        <v>0</v>
      </c>
      <c r="BA356" s="5">
        <v>0</v>
      </c>
      <c r="BB356" s="2"/>
      <c r="BC356" t="s">
        <v>0</v>
      </c>
      <c r="BD356" s="5">
        <v>1</v>
      </c>
      <c r="BE356" t="s">
        <v>0</v>
      </c>
      <c r="BF356" t="s">
        <v>347</v>
      </c>
      <c r="BG356" t="s">
        <v>17</v>
      </c>
      <c r="BH356" t="s">
        <v>0</v>
      </c>
      <c r="BI356" t="s">
        <v>11</v>
      </c>
      <c r="BJ356" t="s">
        <v>0</v>
      </c>
      <c r="BK356" t="s">
        <v>0</v>
      </c>
      <c r="BL356" s="5">
        <v>0</v>
      </c>
      <c r="BM356" t="s">
        <v>0</v>
      </c>
      <c r="BN356" t="s">
        <v>0</v>
      </c>
      <c r="BO356" t="s">
        <v>0</v>
      </c>
      <c r="BP356" t="s">
        <v>17</v>
      </c>
      <c r="BQ356" t="s">
        <v>0</v>
      </c>
      <c r="BR356" t="s">
        <v>17</v>
      </c>
      <c r="BS356" t="s">
        <v>17</v>
      </c>
      <c r="BT356" t="s">
        <v>0</v>
      </c>
      <c r="BU356" t="s">
        <v>0</v>
      </c>
      <c r="BV356" t="s">
        <v>0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</row>
    <row r="357" spans="1:80" ht="13.95" customHeight="1" x14ac:dyDescent="0.25">
      <c r="A357" t="s">
        <v>342</v>
      </c>
      <c r="B357" s="2">
        <v>45575</v>
      </c>
      <c r="C357" s="2">
        <v>45677</v>
      </c>
      <c r="D357" s="2">
        <v>45736</v>
      </c>
      <c r="E357" t="s">
        <v>2</v>
      </c>
      <c r="F357" t="s">
        <v>3</v>
      </c>
      <c r="G357" t="s">
        <v>0</v>
      </c>
      <c r="H357" t="s">
        <v>4</v>
      </c>
      <c r="I357" t="s">
        <v>343</v>
      </c>
      <c r="J357" t="s">
        <v>6</v>
      </c>
      <c r="K357" t="s">
        <v>38</v>
      </c>
      <c r="L357" t="s">
        <v>39</v>
      </c>
      <c r="M357" t="s">
        <v>346</v>
      </c>
      <c r="N357" t="s">
        <v>10</v>
      </c>
      <c r="O357" t="s">
        <v>0</v>
      </c>
      <c r="P357" t="s">
        <v>11</v>
      </c>
      <c r="Q357" s="5">
        <v>20</v>
      </c>
      <c r="R357" s="4">
        <v>53500</v>
      </c>
      <c r="S357" s="5">
        <v>1</v>
      </c>
      <c r="T357" s="4">
        <v>1070000</v>
      </c>
      <c r="U357" s="5">
        <v>0</v>
      </c>
      <c r="V357" s="4">
        <v>0</v>
      </c>
      <c r="W357" s="5">
        <v>0</v>
      </c>
      <c r="X357" s="4">
        <v>0</v>
      </c>
      <c r="Y357" s="4">
        <f t="shared" si="10"/>
        <v>1070000</v>
      </c>
      <c r="Z357" s="6" t="s">
        <v>0</v>
      </c>
      <c r="AA357" t="s">
        <v>2</v>
      </c>
      <c r="AB357" t="s">
        <v>103</v>
      </c>
      <c r="AC357">
        <f>_xlfn.XLOOKUP(AB357,'[1]GST Codes'!$A:$A,'[1]GST Codes'!$C:$C,0,0)</f>
        <v>18</v>
      </c>
      <c r="AD357">
        <f t="shared" si="11"/>
        <v>1262600</v>
      </c>
      <c r="AE357" t="s">
        <v>13</v>
      </c>
      <c r="AF357" t="s">
        <v>0</v>
      </c>
      <c r="AG357" t="s">
        <v>14</v>
      </c>
      <c r="AH357" t="s">
        <v>15</v>
      </c>
      <c r="AI357" t="s">
        <v>16</v>
      </c>
      <c r="AJ357" t="s">
        <v>17</v>
      </c>
      <c r="AK357" t="s">
        <v>18</v>
      </c>
      <c r="AL357" t="s">
        <v>19</v>
      </c>
      <c r="AM357" t="s">
        <v>343</v>
      </c>
      <c r="AN357" t="s">
        <v>0</v>
      </c>
      <c r="AO357" t="s">
        <v>20</v>
      </c>
      <c r="AP357" t="s">
        <v>0</v>
      </c>
      <c r="AQ357" s="5">
        <v>20</v>
      </c>
      <c r="AR357" t="s">
        <v>11</v>
      </c>
      <c r="AS357" t="s">
        <v>0</v>
      </c>
      <c r="AT357" t="s">
        <v>17</v>
      </c>
      <c r="AU357" s="4">
        <v>0</v>
      </c>
      <c r="AV357" s="4">
        <v>0</v>
      </c>
      <c r="AW357" s="4">
        <v>0</v>
      </c>
      <c r="AX357" s="4">
        <v>0</v>
      </c>
      <c r="AY357" s="5">
        <v>0</v>
      </c>
      <c r="AZ357" s="5">
        <v>0</v>
      </c>
      <c r="BA357" s="5">
        <v>0</v>
      </c>
      <c r="BB357" s="2"/>
      <c r="BC357" t="s">
        <v>0</v>
      </c>
      <c r="BD357" s="5">
        <v>1</v>
      </c>
      <c r="BE357" t="s">
        <v>0</v>
      </c>
      <c r="BF357" t="s">
        <v>347</v>
      </c>
      <c r="BG357" t="s">
        <v>17</v>
      </c>
      <c r="BH357" t="s">
        <v>0</v>
      </c>
      <c r="BI357" t="s">
        <v>11</v>
      </c>
      <c r="BJ357" t="s">
        <v>0</v>
      </c>
      <c r="BK357" t="s">
        <v>0</v>
      </c>
      <c r="BL357" s="5">
        <v>0</v>
      </c>
      <c r="BM357" t="s">
        <v>0</v>
      </c>
      <c r="BN357" t="s">
        <v>0</v>
      </c>
      <c r="BO357" t="s">
        <v>0</v>
      </c>
      <c r="BP357" t="s">
        <v>17</v>
      </c>
      <c r="BQ357" t="s">
        <v>0</v>
      </c>
      <c r="BR357" t="s">
        <v>17</v>
      </c>
      <c r="BS357" t="s">
        <v>17</v>
      </c>
      <c r="BT357" t="s">
        <v>0</v>
      </c>
      <c r="BU357" t="s">
        <v>0</v>
      </c>
      <c r="BV357" t="s">
        <v>0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</row>
    <row r="358" spans="1:80" ht="13.95" customHeight="1" x14ac:dyDescent="0.25">
      <c r="A358" t="s">
        <v>342</v>
      </c>
      <c r="B358" s="2">
        <v>45575</v>
      </c>
      <c r="C358" s="2">
        <v>45677</v>
      </c>
      <c r="D358" s="2">
        <v>45736</v>
      </c>
      <c r="E358" t="s">
        <v>2</v>
      </c>
      <c r="F358" t="s">
        <v>3</v>
      </c>
      <c r="G358" t="s">
        <v>98</v>
      </c>
      <c r="H358" t="s">
        <v>4</v>
      </c>
      <c r="I358" t="s">
        <v>343</v>
      </c>
      <c r="J358" t="s">
        <v>6</v>
      </c>
      <c r="K358" t="s">
        <v>42</v>
      </c>
      <c r="L358" t="s">
        <v>43</v>
      </c>
      <c r="M358" t="s">
        <v>348</v>
      </c>
      <c r="N358" t="s">
        <v>10</v>
      </c>
      <c r="O358" t="s">
        <v>0</v>
      </c>
      <c r="P358" t="s">
        <v>11</v>
      </c>
      <c r="Q358" s="3">
        <v>41.25</v>
      </c>
      <c r="R358" s="4">
        <v>53500</v>
      </c>
      <c r="S358" s="5">
        <v>1</v>
      </c>
      <c r="T358" s="4">
        <v>2206875</v>
      </c>
      <c r="U358" s="5">
        <v>0</v>
      </c>
      <c r="V358" s="4">
        <v>0</v>
      </c>
      <c r="W358" s="5">
        <v>0</v>
      </c>
      <c r="X358" s="4">
        <v>0</v>
      </c>
      <c r="Y358" s="4">
        <f t="shared" si="10"/>
        <v>2206875</v>
      </c>
      <c r="Z358" s="6" t="s">
        <v>0</v>
      </c>
      <c r="AA358" t="s">
        <v>2</v>
      </c>
      <c r="AB358" t="s">
        <v>103</v>
      </c>
      <c r="AC358">
        <f>_xlfn.XLOOKUP(AB358,'[1]GST Codes'!$A:$A,'[1]GST Codes'!$C:$C,0,0)</f>
        <v>18</v>
      </c>
      <c r="AD358">
        <f t="shared" si="11"/>
        <v>2604112.5</v>
      </c>
      <c r="AE358" t="s">
        <v>13</v>
      </c>
      <c r="AF358" t="s">
        <v>0</v>
      </c>
      <c r="AG358" t="s">
        <v>14</v>
      </c>
      <c r="AH358" t="s">
        <v>15</v>
      </c>
      <c r="AI358" t="s">
        <v>16</v>
      </c>
      <c r="AJ358" t="s">
        <v>17</v>
      </c>
      <c r="AK358" t="s">
        <v>18</v>
      </c>
      <c r="AL358" t="s">
        <v>19</v>
      </c>
      <c r="AM358" t="s">
        <v>343</v>
      </c>
      <c r="AN358" t="s">
        <v>0</v>
      </c>
      <c r="AO358" t="s">
        <v>20</v>
      </c>
      <c r="AP358" t="s">
        <v>0</v>
      </c>
      <c r="AQ358" s="3">
        <v>41.25</v>
      </c>
      <c r="AR358" t="s">
        <v>11</v>
      </c>
      <c r="AS358" t="s">
        <v>0</v>
      </c>
      <c r="AT358" t="s">
        <v>17</v>
      </c>
      <c r="AU358" s="4">
        <v>0</v>
      </c>
      <c r="AV358" s="4">
        <v>0</v>
      </c>
      <c r="AW358" s="4">
        <v>0</v>
      </c>
      <c r="AX358" s="4">
        <v>0</v>
      </c>
      <c r="AY358" s="5">
        <v>0</v>
      </c>
      <c r="AZ358" s="5">
        <v>0</v>
      </c>
      <c r="BA358" s="5">
        <v>0</v>
      </c>
      <c r="BB358" s="2"/>
      <c r="BC358" t="s">
        <v>0</v>
      </c>
      <c r="BD358" s="5">
        <v>1</v>
      </c>
      <c r="BE358" t="s">
        <v>0</v>
      </c>
      <c r="BF358" t="s">
        <v>349</v>
      </c>
      <c r="BG358" t="s">
        <v>17</v>
      </c>
      <c r="BH358" t="s">
        <v>0</v>
      </c>
      <c r="BI358" t="s">
        <v>11</v>
      </c>
      <c r="BJ358" t="s">
        <v>0</v>
      </c>
      <c r="BK358" t="s">
        <v>0</v>
      </c>
      <c r="BL358" s="5">
        <v>0</v>
      </c>
      <c r="BM358" t="s">
        <v>0</v>
      </c>
      <c r="BN358" t="s">
        <v>0</v>
      </c>
      <c r="BO358" t="s">
        <v>0</v>
      </c>
      <c r="BP358" t="s">
        <v>17</v>
      </c>
      <c r="BQ358" t="s">
        <v>0</v>
      </c>
      <c r="BR358" t="s">
        <v>17</v>
      </c>
      <c r="BS358" t="s">
        <v>17</v>
      </c>
      <c r="BT358" t="s">
        <v>0</v>
      </c>
      <c r="BU358" t="s">
        <v>0</v>
      </c>
      <c r="BV358" t="s">
        <v>0</v>
      </c>
      <c r="BW358" t="s">
        <v>0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</row>
    <row r="359" spans="1:80" ht="13.95" customHeight="1" x14ac:dyDescent="0.25">
      <c r="A359" t="s">
        <v>342</v>
      </c>
      <c r="B359" s="2">
        <v>45575</v>
      </c>
      <c r="C359" s="2">
        <v>45677</v>
      </c>
      <c r="D359" s="2">
        <v>45736</v>
      </c>
      <c r="E359" t="s">
        <v>2</v>
      </c>
      <c r="F359" t="s">
        <v>3</v>
      </c>
      <c r="G359" t="s">
        <v>98</v>
      </c>
      <c r="H359" t="s">
        <v>4</v>
      </c>
      <c r="I359" t="s">
        <v>343</v>
      </c>
      <c r="J359" t="s">
        <v>6</v>
      </c>
      <c r="K359" t="s">
        <v>86</v>
      </c>
      <c r="L359" t="s">
        <v>43</v>
      </c>
      <c r="M359" t="s">
        <v>348</v>
      </c>
      <c r="N359" t="s">
        <v>10</v>
      </c>
      <c r="O359" t="s">
        <v>0</v>
      </c>
      <c r="P359" t="s">
        <v>11</v>
      </c>
      <c r="Q359" s="3">
        <v>41.25</v>
      </c>
      <c r="R359" s="4">
        <v>53500</v>
      </c>
      <c r="S359" s="5">
        <v>1</v>
      </c>
      <c r="T359" s="4">
        <v>2206875</v>
      </c>
      <c r="U359" s="5">
        <v>0</v>
      </c>
      <c r="V359" s="4">
        <v>0</v>
      </c>
      <c r="W359" s="5">
        <v>0</v>
      </c>
      <c r="X359" s="4">
        <v>0</v>
      </c>
      <c r="Y359" s="4">
        <f t="shared" si="10"/>
        <v>2206875</v>
      </c>
      <c r="Z359" s="6" t="s">
        <v>0</v>
      </c>
      <c r="AA359" t="s">
        <v>2</v>
      </c>
      <c r="AB359" t="s">
        <v>103</v>
      </c>
      <c r="AC359">
        <f>_xlfn.XLOOKUP(AB359,'[1]GST Codes'!$A:$A,'[1]GST Codes'!$C:$C,0,0)</f>
        <v>18</v>
      </c>
      <c r="AD359">
        <f t="shared" si="11"/>
        <v>2604112.5</v>
      </c>
      <c r="AE359" t="s">
        <v>13</v>
      </c>
      <c r="AF359" t="s">
        <v>0</v>
      </c>
      <c r="AG359" t="s">
        <v>14</v>
      </c>
      <c r="AH359" t="s">
        <v>15</v>
      </c>
      <c r="AI359" t="s">
        <v>16</v>
      </c>
      <c r="AJ359" t="s">
        <v>17</v>
      </c>
      <c r="AK359" t="s">
        <v>18</v>
      </c>
      <c r="AL359" t="s">
        <v>19</v>
      </c>
      <c r="AM359" t="s">
        <v>343</v>
      </c>
      <c r="AN359" t="s">
        <v>0</v>
      </c>
      <c r="AO359" t="s">
        <v>20</v>
      </c>
      <c r="AP359" t="s">
        <v>0</v>
      </c>
      <c r="AQ359" s="3">
        <v>41.25</v>
      </c>
      <c r="AR359" t="s">
        <v>11</v>
      </c>
      <c r="AS359" t="s">
        <v>0</v>
      </c>
      <c r="AT359" t="s">
        <v>17</v>
      </c>
      <c r="AU359" s="4">
        <v>0</v>
      </c>
      <c r="AV359" s="4">
        <v>0</v>
      </c>
      <c r="AW359" s="4">
        <v>0</v>
      </c>
      <c r="AX359" s="4">
        <v>0</v>
      </c>
      <c r="AY359" s="5">
        <v>0</v>
      </c>
      <c r="AZ359" s="5">
        <v>0</v>
      </c>
      <c r="BA359" s="5">
        <v>0</v>
      </c>
      <c r="BB359" s="2"/>
      <c r="BC359" t="s">
        <v>0</v>
      </c>
      <c r="BD359" s="5">
        <v>1</v>
      </c>
      <c r="BE359" t="s">
        <v>0</v>
      </c>
      <c r="BF359" t="s">
        <v>349</v>
      </c>
      <c r="BG359" t="s">
        <v>17</v>
      </c>
      <c r="BH359" t="s">
        <v>0</v>
      </c>
      <c r="BI359" t="s">
        <v>11</v>
      </c>
      <c r="BJ359" t="s">
        <v>0</v>
      </c>
      <c r="BK359" t="s">
        <v>0</v>
      </c>
      <c r="BL359" s="5">
        <v>0</v>
      </c>
      <c r="BM359" t="s">
        <v>0</v>
      </c>
      <c r="BN359" t="s">
        <v>0</v>
      </c>
      <c r="BO359" t="s">
        <v>0</v>
      </c>
      <c r="BP359" t="s">
        <v>17</v>
      </c>
      <c r="BQ359" t="s">
        <v>0</v>
      </c>
      <c r="BR359" t="s">
        <v>17</v>
      </c>
      <c r="BS359" t="s">
        <v>17</v>
      </c>
      <c r="BT359" t="s">
        <v>0</v>
      </c>
      <c r="BU359" t="s">
        <v>0</v>
      </c>
      <c r="BV359" t="s">
        <v>0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</row>
    <row r="360" spans="1:80" ht="13.95" customHeight="1" x14ac:dyDescent="0.25">
      <c r="A360" t="s">
        <v>342</v>
      </c>
      <c r="B360" s="2">
        <v>45575</v>
      </c>
      <c r="C360" s="2">
        <v>45677</v>
      </c>
      <c r="D360" s="2">
        <v>45736</v>
      </c>
      <c r="E360" t="s">
        <v>2</v>
      </c>
      <c r="F360" t="s">
        <v>3</v>
      </c>
      <c r="G360" t="s">
        <v>98</v>
      </c>
      <c r="H360" t="s">
        <v>4</v>
      </c>
      <c r="I360" t="s">
        <v>343</v>
      </c>
      <c r="J360" t="s">
        <v>6</v>
      </c>
      <c r="K360" t="s">
        <v>87</v>
      </c>
      <c r="L360" t="s">
        <v>43</v>
      </c>
      <c r="M360" t="s">
        <v>348</v>
      </c>
      <c r="N360" t="s">
        <v>10</v>
      </c>
      <c r="O360" t="s">
        <v>0</v>
      </c>
      <c r="P360" t="s">
        <v>11</v>
      </c>
      <c r="Q360" s="3">
        <v>47.5</v>
      </c>
      <c r="R360" s="4">
        <v>53500</v>
      </c>
      <c r="S360" s="5">
        <v>1</v>
      </c>
      <c r="T360" s="4">
        <v>2541250</v>
      </c>
      <c r="U360" s="5">
        <v>0</v>
      </c>
      <c r="V360" s="4">
        <v>0</v>
      </c>
      <c r="W360" s="5">
        <v>0</v>
      </c>
      <c r="X360" s="4">
        <v>0</v>
      </c>
      <c r="Y360" s="4">
        <f t="shared" si="10"/>
        <v>2541250</v>
      </c>
      <c r="Z360" s="6" t="s">
        <v>0</v>
      </c>
      <c r="AA360" t="s">
        <v>2</v>
      </c>
      <c r="AB360" t="s">
        <v>103</v>
      </c>
      <c r="AC360">
        <f>_xlfn.XLOOKUP(AB360,'[1]GST Codes'!$A:$A,'[1]GST Codes'!$C:$C,0,0)</f>
        <v>18</v>
      </c>
      <c r="AD360">
        <f t="shared" si="11"/>
        <v>2998675</v>
      </c>
      <c r="AE360" t="s">
        <v>13</v>
      </c>
      <c r="AF360" t="s">
        <v>0</v>
      </c>
      <c r="AG360" t="s">
        <v>14</v>
      </c>
      <c r="AH360" t="s">
        <v>15</v>
      </c>
      <c r="AI360" t="s">
        <v>16</v>
      </c>
      <c r="AJ360" t="s">
        <v>17</v>
      </c>
      <c r="AK360" t="s">
        <v>18</v>
      </c>
      <c r="AL360" t="s">
        <v>19</v>
      </c>
      <c r="AM360" t="s">
        <v>343</v>
      </c>
      <c r="AN360" t="s">
        <v>0</v>
      </c>
      <c r="AO360" t="s">
        <v>20</v>
      </c>
      <c r="AP360" t="s">
        <v>0</v>
      </c>
      <c r="AQ360" s="3">
        <v>47.5</v>
      </c>
      <c r="AR360" t="s">
        <v>11</v>
      </c>
      <c r="AS360" t="s">
        <v>0</v>
      </c>
      <c r="AT360" t="s">
        <v>17</v>
      </c>
      <c r="AU360" s="4">
        <v>0</v>
      </c>
      <c r="AV360" s="4">
        <v>0</v>
      </c>
      <c r="AW360" s="4">
        <v>0</v>
      </c>
      <c r="AX360" s="4">
        <v>0</v>
      </c>
      <c r="AY360" s="5">
        <v>0</v>
      </c>
      <c r="AZ360" s="5">
        <v>0</v>
      </c>
      <c r="BA360" s="5">
        <v>0</v>
      </c>
      <c r="BB360" s="2"/>
      <c r="BC360" t="s">
        <v>0</v>
      </c>
      <c r="BD360" s="5">
        <v>1</v>
      </c>
      <c r="BE360" t="s">
        <v>0</v>
      </c>
      <c r="BF360" t="s">
        <v>349</v>
      </c>
      <c r="BG360" t="s">
        <v>17</v>
      </c>
      <c r="BH360" t="s">
        <v>0</v>
      </c>
      <c r="BI360" t="s">
        <v>11</v>
      </c>
      <c r="BJ360" t="s">
        <v>0</v>
      </c>
      <c r="BK360" t="s">
        <v>0</v>
      </c>
      <c r="BL360" s="5">
        <v>0</v>
      </c>
      <c r="BM360" t="s">
        <v>0</v>
      </c>
      <c r="BN360" t="s">
        <v>0</v>
      </c>
      <c r="BO360" t="s">
        <v>0</v>
      </c>
      <c r="BP360" t="s">
        <v>17</v>
      </c>
      <c r="BQ360" t="s">
        <v>0</v>
      </c>
      <c r="BR360" t="s">
        <v>17</v>
      </c>
      <c r="BS360" t="s">
        <v>17</v>
      </c>
      <c r="BT360" t="s">
        <v>0</v>
      </c>
      <c r="BU360" t="s">
        <v>0</v>
      </c>
      <c r="BV360" t="s">
        <v>0</v>
      </c>
      <c r="BW360" t="s">
        <v>0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</row>
    <row r="361" spans="1:80" ht="13.95" customHeight="1" x14ac:dyDescent="0.25">
      <c r="A361" t="s">
        <v>342</v>
      </c>
      <c r="B361" s="2">
        <v>45575</v>
      </c>
      <c r="C361" s="2">
        <v>45677</v>
      </c>
      <c r="D361" s="2">
        <v>45736</v>
      </c>
      <c r="E361" t="s">
        <v>2</v>
      </c>
      <c r="F361" t="s">
        <v>3</v>
      </c>
      <c r="G361" t="s">
        <v>98</v>
      </c>
      <c r="H361" t="s">
        <v>4</v>
      </c>
      <c r="I361" t="s">
        <v>343</v>
      </c>
      <c r="J361" t="s">
        <v>6</v>
      </c>
      <c r="K361" t="s">
        <v>88</v>
      </c>
      <c r="L361" t="s">
        <v>43</v>
      </c>
      <c r="M361" t="s">
        <v>350</v>
      </c>
      <c r="N361" t="s">
        <v>10</v>
      </c>
      <c r="O361" t="s">
        <v>0</v>
      </c>
      <c r="P361" t="s">
        <v>11</v>
      </c>
      <c r="Q361" s="3">
        <v>99.25</v>
      </c>
      <c r="R361" s="4">
        <v>53500</v>
      </c>
      <c r="S361" s="5">
        <v>1</v>
      </c>
      <c r="T361" s="4">
        <v>5309875</v>
      </c>
      <c r="U361" s="5">
        <v>0</v>
      </c>
      <c r="V361" s="4">
        <v>0</v>
      </c>
      <c r="W361" s="5">
        <v>0</v>
      </c>
      <c r="X361" s="4">
        <v>0</v>
      </c>
      <c r="Y361" s="4">
        <f t="shared" si="10"/>
        <v>5309875</v>
      </c>
      <c r="Z361" s="6" t="s">
        <v>0</v>
      </c>
      <c r="AA361" t="s">
        <v>2</v>
      </c>
      <c r="AB361" t="s">
        <v>103</v>
      </c>
      <c r="AC361">
        <f>_xlfn.XLOOKUP(AB361,'[1]GST Codes'!$A:$A,'[1]GST Codes'!$C:$C,0,0)</f>
        <v>18</v>
      </c>
      <c r="AD361">
        <f t="shared" si="11"/>
        <v>6265652.5</v>
      </c>
      <c r="AE361" t="s">
        <v>13</v>
      </c>
      <c r="AF361" t="s">
        <v>0</v>
      </c>
      <c r="AG361" t="s">
        <v>14</v>
      </c>
      <c r="AH361" t="s">
        <v>15</v>
      </c>
      <c r="AI361" t="s">
        <v>16</v>
      </c>
      <c r="AJ361" t="s">
        <v>17</v>
      </c>
      <c r="AK361" t="s">
        <v>18</v>
      </c>
      <c r="AL361" t="s">
        <v>19</v>
      </c>
      <c r="AM361" t="s">
        <v>343</v>
      </c>
      <c r="AN361" t="s">
        <v>0</v>
      </c>
      <c r="AO361" t="s">
        <v>20</v>
      </c>
      <c r="AP361" t="s">
        <v>0</v>
      </c>
      <c r="AQ361" s="3">
        <v>99.25</v>
      </c>
      <c r="AR361" t="s">
        <v>11</v>
      </c>
      <c r="AS361" t="s">
        <v>0</v>
      </c>
      <c r="AT361" t="s">
        <v>17</v>
      </c>
      <c r="AU361" s="4">
        <v>0</v>
      </c>
      <c r="AV361" s="4">
        <v>0</v>
      </c>
      <c r="AW361" s="4">
        <v>0</v>
      </c>
      <c r="AX361" s="4">
        <v>0</v>
      </c>
      <c r="AY361" s="5">
        <v>0</v>
      </c>
      <c r="AZ361" s="5">
        <v>0</v>
      </c>
      <c r="BA361" s="5">
        <v>0</v>
      </c>
      <c r="BB361" s="2"/>
      <c r="BC361" t="s">
        <v>0</v>
      </c>
      <c r="BD361" s="5">
        <v>1</v>
      </c>
      <c r="BE361" t="s">
        <v>0</v>
      </c>
      <c r="BF361" t="s">
        <v>349</v>
      </c>
      <c r="BG361" t="s">
        <v>17</v>
      </c>
      <c r="BH361" t="s">
        <v>0</v>
      </c>
      <c r="BI361" t="s">
        <v>11</v>
      </c>
      <c r="BJ361" t="s">
        <v>0</v>
      </c>
      <c r="BK361" t="s">
        <v>0</v>
      </c>
      <c r="BL361" s="5">
        <v>0</v>
      </c>
      <c r="BM361" t="s">
        <v>0</v>
      </c>
      <c r="BN361" t="s">
        <v>0</v>
      </c>
      <c r="BO361" t="s">
        <v>0</v>
      </c>
      <c r="BP361" t="s">
        <v>17</v>
      </c>
      <c r="BQ361" t="s">
        <v>0</v>
      </c>
      <c r="BR361" t="s">
        <v>17</v>
      </c>
      <c r="BS361" t="s">
        <v>17</v>
      </c>
      <c r="BT361" t="s">
        <v>0</v>
      </c>
      <c r="BU361" t="s">
        <v>0</v>
      </c>
      <c r="BV361" t="s">
        <v>0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</row>
    <row r="362" spans="1:80" ht="13.95" customHeight="1" x14ac:dyDescent="0.25">
      <c r="A362" t="s">
        <v>342</v>
      </c>
      <c r="B362" s="2">
        <v>45575</v>
      </c>
      <c r="C362" s="2">
        <v>45677</v>
      </c>
      <c r="D362" s="2">
        <v>45736</v>
      </c>
      <c r="E362" t="s">
        <v>2</v>
      </c>
      <c r="F362" t="s">
        <v>3</v>
      </c>
      <c r="G362" t="s">
        <v>98</v>
      </c>
      <c r="H362" t="s">
        <v>4</v>
      </c>
      <c r="I362" t="s">
        <v>343</v>
      </c>
      <c r="J362" t="s">
        <v>6</v>
      </c>
      <c r="K362" t="s">
        <v>89</v>
      </c>
      <c r="L362" t="s">
        <v>43</v>
      </c>
      <c r="M362" t="s">
        <v>350</v>
      </c>
      <c r="N362" t="s">
        <v>10</v>
      </c>
      <c r="O362" t="s">
        <v>0</v>
      </c>
      <c r="P362" t="s">
        <v>11</v>
      </c>
      <c r="Q362" s="3">
        <v>99.25</v>
      </c>
      <c r="R362" s="4">
        <v>53500</v>
      </c>
      <c r="S362" s="5">
        <v>1</v>
      </c>
      <c r="T362" s="4">
        <v>5309875</v>
      </c>
      <c r="U362" s="5">
        <v>0</v>
      </c>
      <c r="V362" s="4">
        <v>0</v>
      </c>
      <c r="W362" s="5">
        <v>0</v>
      </c>
      <c r="X362" s="4">
        <v>0</v>
      </c>
      <c r="Y362" s="4">
        <f t="shared" si="10"/>
        <v>5309875</v>
      </c>
      <c r="Z362" s="6" t="s">
        <v>0</v>
      </c>
      <c r="AA362" t="s">
        <v>2</v>
      </c>
      <c r="AB362" t="s">
        <v>103</v>
      </c>
      <c r="AC362">
        <f>_xlfn.XLOOKUP(AB362,'[1]GST Codes'!$A:$A,'[1]GST Codes'!$C:$C,0,0)</f>
        <v>18</v>
      </c>
      <c r="AD362">
        <f t="shared" si="11"/>
        <v>6265652.5</v>
      </c>
      <c r="AE362" t="s">
        <v>13</v>
      </c>
      <c r="AF362" t="s">
        <v>0</v>
      </c>
      <c r="AG362" t="s">
        <v>14</v>
      </c>
      <c r="AH362" t="s">
        <v>15</v>
      </c>
      <c r="AI362" t="s">
        <v>16</v>
      </c>
      <c r="AJ362" t="s">
        <v>17</v>
      </c>
      <c r="AK362" t="s">
        <v>18</v>
      </c>
      <c r="AL362" t="s">
        <v>19</v>
      </c>
      <c r="AM362" t="s">
        <v>343</v>
      </c>
      <c r="AN362" t="s">
        <v>0</v>
      </c>
      <c r="AO362" t="s">
        <v>20</v>
      </c>
      <c r="AP362" t="s">
        <v>0</v>
      </c>
      <c r="AQ362" s="3">
        <v>99.25</v>
      </c>
      <c r="AR362" t="s">
        <v>11</v>
      </c>
      <c r="AS362" t="s">
        <v>0</v>
      </c>
      <c r="AT362" t="s">
        <v>17</v>
      </c>
      <c r="AU362" s="4">
        <v>0</v>
      </c>
      <c r="AV362" s="4">
        <v>0</v>
      </c>
      <c r="AW362" s="4">
        <v>0</v>
      </c>
      <c r="AX362" s="4">
        <v>0</v>
      </c>
      <c r="AY362" s="5">
        <v>0</v>
      </c>
      <c r="AZ362" s="5">
        <v>0</v>
      </c>
      <c r="BA362" s="5">
        <v>0</v>
      </c>
      <c r="BB362" s="2"/>
      <c r="BC362" t="s">
        <v>0</v>
      </c>
      <c r="BD362" s="5">
        <v>1</v>
      </c>
      <c r="BE362" t="s">
        <v>0</v>
      </c>
      <c r="BF362" t="s">
        <v>349</v>
      </c>
      <c r="BG362" t="s">
        <v>17</v>
      </c>
      <c r="BH362" t="s">
        <v>0</v>
      </c>
      <c r="BI362" t="s">
        <v>11</v>
      </c>
      <c r="BJ362" t="s">
        <v>0</v>
      </c>
      <c r="BK362" t="s">
        <v>0</v>
      </c>
      <c r="BL362" s="5">
        <v>0</v>
      </c>
      <c r="BM362" t="s">
        <v>0</v>
      </c>
      <c r="BN362" t="s">
        <v>0</v>
      </c>
      <c r="BO362" t="s">
        <v>0</v>
      </c>
      <c r="BP362" t="s">
        <v>17</v>
      </c>
      <c r="BQ362" t="s">
        <v>0</v>
      </c>
      <c r="BR362" t="s">
        <v>17</v>
      </c>
      <c r="BS362" t="s">
        <v>17</v>
      </c>
      <c r="BT362" t="s">
        <v>0</v>
      </c>
      <c r="BU362" t="s">
        <v>0</v>
      </c>
      <c r="BV362" t="s">
        <v>0</v>
      </c>
      <c r="BW362" t="s">
        <v>0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</row>
    <row r="363" spans="1:80" ht="13.95" customHeight="1" x14ac:dyDescent="0.25">
      <c r="A363" t="s">
        <v>342</v>
      </c>
      <c r="B363" s="2">
        <v>45575</v>
      </c>
      <c r="C363" s="2">
        <v>45677</v>
      </c>
      <c r="D363" s="2">
        <v>45736</v>
      </c>
      <c r="E363" t="s">
        <v>2</v>
      </c>
      <c r="F363" t="s">
        <v>3</v>
      </c>
      <c r="G363" t="s">
        <v>98</v>
      </c>
      <c r="H363" t="s">
        <v>4</v>
      </c>
      <c r="I363" t="s">
        <v>343</v>
      </c>
      <c r="J363" t="s">
        <v>6</v>
      </c>
      <c r="K363" t="s">
        <v>90</v>
      </c>
      <c r="L363" t="s">
        <v>43</v>
      </c>
      <c r="M363" t="s">
        <v>350</v>
      </c>
      <c r="N363" t="s">
        <v>10</v>
      </c>
      <c r="O363" t="s">
        <v>0</v>
      </c>
      <c r="P363" t="s">
        <v>11</v>
      </c>
      <c r="Q363" s="3">
        <v>12.5</v>
      </c>
      <c r="R363" s="4">
        <v>53500</v>
      </c>
      <c r="S363" s="5">
        <v>1</v>
      </c>
      <c r="T363" s="4">
        <v>668750</v>
      </c>
      <c r="U363" s="5">
        <v>0</v>
      </c>
      <c r="V363" s="4">
        <v>0</v>
      </c>
      <c r="W363" s="5">
        <v>0</v>
      </c>
      <c r="X363" s="4">
        <v>0</v>
      </c>
      <c r="Y363" s="4">
        <f t="shared" si="10"/>
        <v>668750</v>
      </c>
      <c r="Z363" s="6" t="s">
        <v>0</v>
      </c>
      <c r="AA363" t="s">
        <v>2</v>
      </c>
      <c r="AB363" t="s">
        <v>103</v>
      </c>
      <c r="AC363">
        <f>_xlfn.XLOOKUP(AB363,'[1]GST Codes'!$A:$A,'[1]GST Codes'!$C:$C,0,0)</f>
        <v>18</v>
      </c>
      <c r="AD363">
        <f t="shared" si="11"/>
        <v>789125</v>
      </c>
      <c r="AE363" t="s">
        <v>13</v>
      </c>
      <c r="AF363" t="s">
        <v>0</v>
      </c>
      <c r="AG363" t="s">
        <v>14</v>
      </c>
      <c r="AH363" t="s">
        <v>15</v>
      </c>
      <c r="AI363" t="s">
        <v>16</v>
      </c>
      <c r="AJ363" t="s">
        <v>17</v>
      </c>
      <c r="AK363" t="s">
        <v>18</v>
      </c>
      <c r="AL363" t="s">
        <v>19</v>
      </c>
      <c r="AM363" t="s">
        <v>343</v>
      </c>
      <c r="AN363" t="s">
        <v>0</v>
      </c>
      <c r="AO363" t="s">
        <v>20</v>
      </c>
      <c r="AP363" t="s">
        <v>0</v>
      </c>
      <c r="AQ363" s="3">
        <v>12.5</v>
      </c>
      <c r="AR363" t="s">
        <v>11</v>
      </c>
      <c r="AS363" t="s">
        <v>0</v>
      </c>
      <c r="AT363" t="s">
        <v>17</v>
      </c>
      <c r="AU363" s="4">
        <v>0</v>
      </c>
      <c r="AV363" s="4">
        <v>0</v>
      </c>
      <c r="AW363" s="4">
        <v>0</v>
      </c>
      <c r="AX363" s="4">
        <v>0</v>
      </c>
      <c r="AY363" s="5">
        <v>0</v>
      </c>
      <c r="AZ363" s="5">
        <v>0</v>
      </c>
      <c r="BA363" s="5">
        <v>0</v>
      </c>
      <c r="BB363" s="2"/>
      <c r="BC363" t="s">
        <v>0</v>
      </c>
      <c r="BD363" s="5">
        <v>1</v>
      </c>
      <c r="BE363" t="s">
        <v>0</v>
      </c>
      <c r="BF363" t="s">
        <v>349</v>
      </c>
      <c r="BG363" t="s">
        <v>17</v>
      </c>
      <c r="BH363" t="s">
        <v>0</v>
      </c>
      <c r="BI363" t="s">
        <v>11</v>
      </c>
      <c r="BJ363" t="s">
        <v>0</v>
      </c>
      <c r="BK363" t="s">
        <v>0</v>
      </c>
      <c r="BL363" s="5">
        <v>0</v>
      </c>
      <c r="BM363" t="s">
        <v>0</v>
      </c>
      <c r="BN363" t="s">
        <v>0</v>
      </c>
      <c r="BO363" t="s">
        <v>0</v>
      </c>
      <c r="BP363" t="s">
        <v>17</v>
      </c>
      <c r="BQ363" t="s">
        <v>0</v>
      </c>
      <c r="BR363" t="s">
        <v>17</v>
      </c>
      <c r="BS363" t="s">
        <v>17</v>
      </c>
      <c r="BT363" t="s">
        <v>0</v>
      </c>
      <c r="BU363" t="s">
        <v>0</v>
      </c>
      <c r="BV363" t="s">
        <v>0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</row>
    <row r="364" spans="1:80" ht="13.95" customHeight="1" x14ac:dyDescent="0.25">
      <c r="A364" t="s">
        <v>342</v>
      </c>
      <c r="B364" s="2">
        <v>45575</v>
      </c>
      <c r="C364" s="2">
        <v>45677</v>
      </c>
      <c r="D364" s="2">
        <v>45736</v>
      </c>
      <c r="E364" t="s">
        <v>2</v>
      </c>
      <c r="F364" t="s">
        <v>3</v>
      </c>
      <c r="G364" t="s">
        <v>0</v>
      </c>
      <c r="H364" t="s">
        <v>4</v>
      </c>
      <c r="I364" t="s">
        <v>343</v>
      </c>
      <c r="J364" t="s">
        <v>6</v>
      </c>
      <c r="K364" t="s">
        <v>177</v>
      </c>
      <c r="L364" t="s">
        <v>329</v>
      </c>
      <c r="M364" t="s">
        <v>351</v>
      </c>
      <c r="N364" t="s">
        <v>10</v>
      </c>
      <c r="O364" t="s">
        <v>0</v>
      </c>
      <c r="P364" t="s">
        <v>11</v>
      </c>
      <c r="Q364" s="3">
        <v>16.100000000000001</v>
      </c>
      <c r="R364" s="4">
        <v>53500</v>
      </c>
      <c r="S364" s="5">
        <v>1</v>
      </c>
      <c r="T364" s="4">
        <v>861350</v>
      </c>
      <c r="U364" s="5">
        <v>0</v>
      </c>
      <c r="V364" s="4">
        <v>0</v>
      </c>
      <c r="W364" s="5">
        <v>0</v>
      </c>
      <c r="X364" s="4">
        <v>0</v>
      </c>
      <c r="Y364" s="4">
        <f t="shared" si="10"/>
        <v>861350</v>
      </c>
      <c r="Z364" s="6" t="s">
        <v>0</v>
      </c>
      <c r="AA364" t="s">
        <v>2</v>
      </c>
      <c r="AB364" t="s">
        <v>103</v>
      </c>
      <c r="AC364">
        <f>_xlfn.XLOOKUP(AB364,'[1]GST Codes'!$A:$A,'[1]GST Codes'!$C:$C,0,0)</f>
        <v>18</v>
      </c>
      <c r="AD364">
        <f t="shared" si="11"/>
        <v>1016393</v>
      </c>
      <c r="AE364" t="s">
        <v>13</v>
      </c>
      <c r="AF364" t="s">
        <v>0</v>
      </c>
      <c r="AG364" t="s">
        <v>14</v>
      </c>
      <c r="AH364" t="s">
        <v>15</v>
      </c>
      <c r="AI364" t="s">
        <v>16</v>
      </c>
      <c r="AJ364" t="s">
        <v>17</v>
      </c>
      <c r="AK364" t="s">
        <v>18</v>
      </c>
      <c r="AL364" t="s">
        <v>19</v>
      </c>
      <c r="AM364" t="s">
        <v>343</v>
      </c>
      <c r="AN364" t="s">
        <v>0</v>
      </c>
      <c r="AO364" t="s">
        <v>20</v>
      </c>
      <c r="AP364" t="s">
        <v>0</v>
      </c>
      <c r="AQ364" s="3">
        <v>16.100000000000001</v>
      </c>
      <c r="AR364" t="s">
        <v>11</v>
      </c>
      <c r="AS364" t="s">
        <v>0</v>
      </c>
      <c r="AT364" t="s">
        <v>17</v>
      </c>
      <c r="AU364" s="4">
        <v>0</v>
      </c>
      <c r="AV364" s="4">
        <v>0</v>
      </c>
      <c r="AW364" s="4">
        <v>0</v>
      </c>
      <c r="AX364" s="4">
        <v>0</v>
      </c>
      <c r="AY364" s="5">
        <v>0</v>
      </c>
      <c r="AZ364" s="5">
        <v>0</v>
      </c>
      <c r="BA364" s="5">
        <v>0</v>
      </c>
      <c r="BB364" s="2"/>
      <c r="BC364" t="s">
        <v>0</v>
      </c>
      <c r="BD364" s="5">
        <v>1</v>
      </c>
      <c r="BE364" t="s">
        <v>0</v>
      </c>
      <c r="BF364" t="s">
        <v>352</v>
      </c>
      <c r="BG364" t="s">
        <v>17</v>
      </c>
      <c r="BH364" t="s">
        <v>0</v>
      </c>
      <c r="BI364" t="s">
        <v>11</v>
      </c>
      <c r="BJ364" t="s">
        <v>0</v>
      </c>
      <c r="BK364" t="s">
        <v>0</v>
      </c>
      <c r="BL364" s="5">
        <v>0</v>
      </c>
      <c r="BM364" t="s">
        <v>0</v>
      </c>
      <c r="BN364" t="s">
        <v>0</v>
      </c>
      <c r="BO364" t="s">
        <v>0</v>
      </c>
      <c r="BP364" t="s">
        <v>17</v>
      </c>
      <c r="BQ364" t="s">
        <v>0</v>
      </c>
      <c r="BR364" t="s">
        <v>17</v>
      </c>
      <c r="BS364" t="s">
        <v>17</v>
      </c>
      <c r="BT364" t="s">
        <v>0</v>
      </c>
      <c r="BU364" t="s">
        <v>0</v>
      </c>
      <c r="BV364" t="s">
        <v>0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</row>
    <row r="365" spans="1:80" ht="13.95" customHeight="1" x14ac:dyDescent="0.25">
      <c r="A365" t="s">
        <v>342</v>
      </c>
      <c r="B365" s="2">
        <v>45575</v>
      </c>
      <c r="C365" s="2">
        <v>45677</v>
      </c>
      <c r="D365" s="2">
        <v>45736</v>
      </c>
      <c r="E365" t="s">
        <v>2</v>
      </c>
      <c r="F365" t="s">
        <v>3</v>
      </c>
      <c r="G365" t="s">
        <v>0</v>
      </c>
      <c r="H365" t="s">
        <v>4</v>
      </c>
      <c r="I365" t="s">
        <v>343</v>
      </c>
      <c r="J365" t="s">
        <v>6</v>
      </c>
      <c r="K365" t="s">
        <v>181</v>
      </c>
      <c r="L365" t="s">
        <v>329</v>
      </c>
      <c r="M365" t="s">
        <v>351</v>
      </c>
      <c r="N365" t="s">
        <v>10</v>
      </c>
      <c r="O365" t="s">
        <v>0</v>
      </c>
      <c r="P365" t="s">
        <v>11</v>
      </c>
      <c r="Q365" s="3">
        <v>38.659999999999997</v>
      </c>
      <c r="R365" s="4">
        <v>53500</v>
      </c>
      <c r="S365" s="5">
        <v>1</v>
      </c>
      <c r="T365" s="4">
        <v>2068310</v>
      </c>
      <c r="U365" s="5">
        <v>0</v>
      </c>
      <c r="V365" s="4">
        <v>0</v>
      </c>
      <c r="W365" s="5">
        <v>0</v>
      </c>
      <c r="X365" s="4">
        <v>0</v>
      </c>
      <c r="Y365" s="4">
        <f t="shared" si="10"/>
        <v>2068310</v>
      </c>
      <c r="Z365" s="6" t="s">
        <v>0</v>
      </c>
      <c r="AA365" t="s">
        <v>2</v>
      </c>
      <c r="AB365" t="s">
        <v>103</v>
      </c>
      <c r="AC365">
        <f>_xlfn.XLOOKUP(AB365,'[1]GST Codes'!$A:$A,'[1]GST Codes'!$C:$C,0,0)</f>
        <v>18</v>
      </c>
      <c r="AD365">
        <f t="shared" si="11"/>
        <v>2440605.7999999998</v>
      </c>
      <c r="AE365" t="s">
        <v>13</v>
      </c>
      <c r="AF365" t="s">
        <v>0</v>
      </c>
      <c r="AG365" t="s">
        <v>14</v>
      </c>
      <c r="AH365" t="s">
        <v>15</v>
      </c>
      <c r="AI365" t="s">
        <v>16</v>
      </c>
      <c r="AJ365" t="s">
        <v>17</v>
      </c>
      <c r="AK365" t="s">
        <v>18</v>
      </c>
      <c r="AL365" t="s">
        <v>19</v>
      </c>
      <c r="AM365" t="s">
        <v>343</v>
      </c>
      <c r="AN365" t="s">
        <v>0</v>
      </c>
      <c r="AO365" t="s">
        <v>20</v>
      </c>
      <c r="AP365" t="s">
        <v>0</v>
      </c>
      <c r="AQ365" s="3">
        <v>38.659999999999997</v>
      </c>
      <c r="AR365" t="s">
        <v>11</v>
      </c>
      <c r="AS365" t="s">
        <v>0</v>
      </c>
      <c r="AT365" t="s">
        <v>17</v>
      </c>
      <c r="AU365" s="4">
        <v>0</v>
      </c>
      <c r="AV365" s="4">
        <v>0</v>
      </c>
      <c r="AW365" s="4">
        <v>0</v>
      </c>
      <c r="AX365" s="4">
        <v>0</v>
      </c>
      <c r="AY365" s="5">
        <v>0</v>
      </c>
      <c r="AZ365" s="5">
        <v>0</v>
      </c>
      <c r="BA365" s="5">
        <v>0</v>
      </c>
      <c r="BB365" s="2"/>
      <c r="BC365" t="s">
        <v>0</v>
      </c>
      <c r="BD365" s="5">
        <v>1</v>
      </c>
      <c r="BE365" t="s">
        <v>0</v>
      </c>
      <c r="BF365" t="s">
        <v>352</v>
      </c>
      <c r="BG365" t="s">
        <v>17</v>
      </c>
      <c r="BH365" t="s">
        <v>0</v>
      </c>
      <c r="BI365" t="s">
        <v>11</v>
      </c>
      <c r="BJ365" t="s">
        <v>0</v>
      </c>
      <c r="BK365" t="s">
        <v>0</v>
      </c>
      <c r="BL365" s="5">
        <v>0</v>
      </c>
      <c r="BM365" t="s">
        <v>0</v>
      </c>
      <c r="BN365" t="s">
        <v>0</v>
      </c>
      <c r="BO365" t="s">
        <v>0</v>
      </c>
      <c r="BP365" t="s">
        <v>17</v>
      </c>
      <c r="BQ365" t="s">
        <v>0</v>
      </c>
      <c r="BR365" t="s">
        <v>17</v>
      </c>
      <c r="BS365" t="s">
        <v>17</v>
      </c>
      <c r="BT365" t="s">
        <v>0</v>
      </c>
      <c r="BU365" t="s">
        <v>0</v>
      </c>
      <c r="BV365" t="s">
        <v>0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</row>
    <row r="366" spans="1:80" ht="13.95" customHeight="1" x14ac:dyDescent="0.25">
      <c r="A366" t="s">
        <v>353</v>
      </c>
      <c r="B366" s="2">
        <v>45764</v>
      </c>
      <c r="C366" s="2"/>
      <c r="D366" s="2"/>
      <c r="E366" t="s">
        <v>2</v>
      </c>
      <c r="F366" t="s">
        <v>82</v>
      </c>
      <c r="G366" t="s">
        <v>98</v>
      </c>
      <c r="H366" t="s">
        <v>4</v>
      </c>
      <c r="I366" t="s">
        <v>343</v>
      </c>
      <c r="J366" t="s">
        <v>6</v>
      </c>
      <c r="K366" t="s">
        <v>7</v>
      </c>
      <c r="L366" t="s">
        <v>74</v>
      </c>
      <c r="M366" t="s">
        <v>75</v>
      </c>
      <c r="N366" t="s">
        <v>10</v>
      </c>
      <c r="O366" t="s">
        <v>0</v>
      </c>
      <c r="P366" t="s">
        <v>11</v>
      </c>
      <c r="Q366" s="5">
        <v>40</v>
      </c>
      <c r="R366" s="4">
        <v>57750</v>
      </c>
      <c r="S366" s="5">
        <v>1</v>
      </c>
      <c r="T366" s="4">
        <v>2310000</v>
      </c>
      <c r="U366" s="5">
        <v>0</v>
      </c>
      <c r="V366" s="4">
        <v>0</v>
      </c>
      <c r="W366" s="5">
        <v>0</v>
      </c>
      <c r="X366" s="4">
        <v>0</v>
      </c>
      <c r="Y366" s="4">
        <f t="shared" si="10"/>
        <v>2310000</v>
      </c>
      <c r="Z366" s="6" t="s">
        <v>0</v>
      </c>
      <c r="AA366" t="s">
        <v>2</v>
      </c>
      <c r="AB366" t="s">
        <v>103</v>
      </c>
      <c r="AC366">
        <f>_xlfn.XLOOKUP(AB366,'[1]GST Codes'!$A:$A,'[1]GST Codes'!$C:$C,0,0)</f>
        <v>18</v>
      </c>
      <c r="AD366">
        <f t="shared" si="11"/>
        <v>2725800</v>
      </c>
      <c r="AE366" t="s">
        <v>13</v>
      </c>
      <c r="AF366" t="s">
        <v>0</v>
      </c>
      <c r="AG366" t="s">
        <v>14</v>
      </c>
      <c r="AH366" t="s">
        <v>15</v>
      </c>
      <c r="AI366" t="s">
        <v>16</v>
      </c>
      <c r="AJ366" t="s">
        <v>17</v>
      </c>
      <c r="AK366" t="s">
        <v>18</v>
      </c>
      <c r="AL366" t="s">
        <v>19</v>
      </c>
      <c r="AM366" t="s">
        <v>343</v>
      </c>
      <c r="AN366" t="s">
        <v>0</v>
      </c>
      <c r="AO366" t="s">
        <v>0</v>
      </c>
      <c r="AP366" t="s">
        <v>0</v>
      </c>
      <c r="AQ366" s="5">
        <v>40</v>
      </c>
      <c r="AR366" t="s">
        <v>11</v>
      </c>
      <c r="AS366" t="s">
        <v>0</v>
      </c>
      <c r="AT366" t="s">
        <v>17</v>
      </c>
      <c r="AU366" s="4">
        <v>0</v>
      </c>
      <c r="AV366" s="4">
        <v>0</v>
      </c>
      <c r="AW366" s="4">
        <v>0</v>
      </c>
      <c r="AX366" s="4">
        <v>0</v>
      </c>
      <c r="AY366" s="5">
        <v>0</v>
      </c>
      <c r="AZ366" s="5">
        <v>0</v>
      </c>
      <c r="BA366" s="5">
        <v>0</v>
      </c>
      <c r="BB366" s="2"/>
      <c r="BC366" t="s">
        <v>0</v>
      </c>
      <c r="BD366" s="5">
        <v>1</v>
      </c>
      <c r="BE366" t="s">
        <v>0</v>
      </c>
      <c r="BF366" t="s">
        <v>345</v>
      </c>
      <c r="BG366" t="s">
        <v>17</v>
      </c>
      <c r="BH366" t="s">
        <v>0</v>
      </c>
      <c r="BI366" t="s">
        <v>11</v>
      </c>
      <c r="BJ366" t="s">
        <v>0</v>
      </c>
      <c r="BK366" t="s">
        <v>0</v>
      </c>
      <c r="BL366" s="5">
        <v>0</v>
      </c>
      <c r="BM366" t="s">
        <v>0</v>
      </c>
      <c r="BN366" t="s">
        <v>0</v>
      </c>
      <c r="BO366" t="s">
        <v>0</v>
      </c>
      <c r="BP366" t="s">
        <v>17</v>
      </c>
      <c r="BQ366" t="s">
        <v>0</v>
      </c>
      <c r="BR366" t="s">
        <v>17</v>
      </c>
      <c r="BS366" t="s">
        <v>17</v>
      </c>
      <c r="BT366" t="s">
        <v>0</v>
      </c>
      <c r="BU366" t="s">
        <v>0</v>
      </c>
      <c r="BV366" t="s">
        <v>0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</row>
    <row r="367" spans="1:80" ht="13.95" customHeight="1" x14ac:dyDescent="0.25">
      <c r="A367" t="s">
        <v>353</v>
      </c>
      <c r="B367" s="2">
        <v>45764</v>
      </c>
      <c r="C367" s="2"/>
      <c r="D367" s="2"/>
      <c r="E367" t="s">
        <v>2</v>
      </c>
      <c r="F367" t="s">
        <v>82</v>
      </c>
      <c r="G367" t="s">
        <v>98</v>
      </c>
      <c r="H367" t="s">
        <v>4</v>
      </c>
      <c r="I367" t="s">
        <v>343</v>
      </c>
      <c r="J367" t="s">
        <v>6</v>
      </c>
      <c r="K367" t="s">
        <v>22</v>
      </c>
      <c r="L367" t="s">
        <v>74</v>
      </c>
      <c r="M367" t="s">
        <v>75</v>
      </c>
      <c r="N367" t="s">
        <v>10</v>
      </c>
      <c r="O367" t="s">
        <v>0</v>
      </c>
      <c r="P367" t="s">
        <v>11</v>
      </c>
      <c r="Q367" s="5">
        <v>10</v>
      </c>
      <c r="R367" s="4">
        <v>57750</v>
      </c>
      <c r="S367" s="5">
        <v>1</v>
      </c>
      <c r="T367" s="4">
        <v>577500</v>
      </c>
      <c r="U367" s="5">
        <v>0</v>
      </c>
      <c r="V367" s="4">
        <v>0</v>
      </c>
      <c r="W367" s="5">
        <v>0</v>
      </c>
      <c r="X367" s="4">
        <v>0</v>
      </c>
      <c r="Y367" s="4">
        <f t="shared" si="10"/>
        <v>577500</v>
      </c>
      <c r="Z367" s="6" t="s">
        <v>0</v>
      </c>
      <c r="AA367" t="s">
        <v>2</v>
      </c>
      <c r="AB367" t="s">
        <v>103</v>
      </c>
      <c r="AC367">
        <f>_xlfn.XLOOKUP(AB367,'[1]GST Codes'!$A:$A,'[1]GST Codes'!$C:$C,0,0)</f>
        <v>18</v>
      </c>
      <c r="AD367">
        <f t="shared" si="11"/>
        <v>681450</v>
      </c>
      <c r="AE367" t="s">
        <v>13</v>
      </c>
      <c r="AF367" t="s">
        <v>0</v>
      </c>
      <c r="AG367" t="s">
        <v>14</v>
      </c>
      <c r="AH367" t="s">
        <v>15</v>
      </c>
      <c r="AI367" t="s">
        <v>16</v>
      </c>
      <c r="AJ367" t="s">
        <v>17</v>
      </c>
      <c r="AK367" t="s">
        <v>18</v>
      </c>
      <c r="AL367" t="s">
        <v>19</v>
      </c>
      <c r="AM367" t="s">
        <v>343</v>
      </c>
      <c r="AN367" t="s">
        <v>0</v>
      </c>
      <c r="AO367" t="s">
        <v>0</v>
      </c>
      <c r="AP367" t="s">
        <v>0</v>
      </c>
      <c r="AQ367" s="5">
        <v>10</v>
      </c>
      <c r="AR367" t="s">
        <v>11</v>
      </c>
      <c r="AS367" t="s">
        <v>0</v>
      </c>
      <c r="AT367" t="s">
        <v>17</v>
      </c>
      <c r="AU367" s="4">
        <v>0</v>
      </c>
      <c r="AV367" s="4">
        <v>0</v>
      </c>
      <c r="AW367" s="4">
        <v>0</v>
      </c>
      <c r="AX367" s="4">
        <v>0</v>
      </c>
      <c r="AY367" s="5">
        <v>0</v>
      </c>
      <c r="AZ367" s="5">
        <v>0</v>
      </c>
      <c r="BA367" s="5">
        <v>0</v>
      </c>
      <c r="BB367" s="2"/>
      <c r="BC367" t="s">
        <v>0</v>
      </c>
      <c r="BD367" s="5">
        <v>1</v>
      </c>
      <c r="BE367" t="s">
        <v>0</v>
      </c>
      <c r="BF367" t="s">
        <v>345</v>
      </c>
      <c r="BG367" t="s">
        <v>17</v>
      </c>
      <c r="BH367" t="s">
        <v>0</v>
      </c>
      <c r="BI367" t="s">
        <v>11</v>
      </c>
      <c r="BJ367" t="s">
        <v>0</v>
      </c>
      <c r="BK367" t="s">
        <v>0</v>
      </c>
      <c r="BL367" s="5">
        <v>0</v>
      </c>
      <c r="BM367" t="s">
        <v>0</v>
      </c>
      <c r="BN367" t="s">
        <v>0</v>
      </c>
      <c r="BO367" t="s">
        <v>0</v>
      </c>
      <c r="BP367" t="s">
        <v>17</v>
      </c>
      <c r="BQ367" t="s">
        <v>0</v>
      </c>
      <c r="BR367" t="s">
        <v>17</v>
      </c>
      <c r="BS367" t="s">
        <v>17</v>
      </c>
      <c r="BT367" t="s">
        <v>0</v>
      </c>
      <c r="BU367" t="s">
        <v>0</v>
      </c>
      <c r="BV367" t="s">
        <v>0</v>
      </c>
      <c r="BW367" t="s">
        <v>0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</row>
    <row r="368" spans="1:80" ht="13.95" customHeight="1" x14ac:dyDescent="0.25">
      <c r="A368" t="s">
        <v>353</v>
      </c>
      <c r="B368" s="2">
        <v>45764</v>
      </c>
      <c r="C368" s="2"/>
      <c r="D368" s="2"/>
      <c r="E368" t="s">
        <v>2</v>
      </c>
      <c r="F368" t="s">
        <v>82</v>
      </c>
      <c r="G368" t="s">
        <v>98</v>
      </c>
      <c r="H368" t="s">
        <v>4</v>
      </c>
      <c r="I368" t="s">
        <v>343</v>
      </c>
      <c r="J368" t="s">
        <v>6</v>
      </c>
      <c r="K368" t="s">
        <v>26</v>
      </c>
      <c r="L368" t="s">
        <v>74</v>
      </c>
      <c r="M368" t="s">
        <v>75</v>
      </c>
      <c r="N368" t="s">
        <v>10</v>
      </c>
      <c r="O368" t="s">
        <v>0</v>
      </c>
      <c r="P368" t="s">
        <v>11</v>
      </c>
      <c r="Q368" s="5">
        <v>10</v>
      </c>
      <c r="R368" s="4">
        <v>57750</v>
      </c>
      <c r="S368" s="5">
        <v>1</v>
      </c>
      <c r="T368" s="4">
        <v>577500</v>
      </c>
      <c r="U368" s="5">
        <v>0</v>
      </c>
      <c r="V368" s="4">
        <v>0</v>
      </c>
      <c r="W368" s="5">
        <v>0</v>
      </c>
      <c r="X368" s="4">
        <v>0</v>
      </c>
      <c r="Y368" s="4">
        <f t="shared" si="10"/>
        <v>577500</v>
      </c>
      <c r="Z368" s="6" t="s">
        <v>0</v>
      </c>
      <c r="AA368" t="s">
        <v>2</v>
      </c>
      <c r="AB368" t="s">
        <v>103</v>
      </c>
      <c r="AC368">
        <f>_xlfn.XLOOKUP(AB368,'[1]GST Codes'!$A:$A,'[1]GST Codes'!$C:$C,0,0)</f>
        <v>18</v>
      </c>
      <c r="AD368">
        <f t="shared" si="11"/>
        <v>681450</v>
      </c>
      <c r="AE368" t="s">
        <v>13</v>
      </c>
      <c r="AF368" t="s">
        <v>0</v>
      </c>
      <c r="AG368" t="s">
        <v>14</v>
      </c>
      <c r="AH368" t="s">
        <v>15</v>
      </c>
      <c r="AI368" t="s">
        <v>16</v>
      </c>
      <c r="AJ368" t="s">
        <v>17</v>
      </c>
      <c r="AK368" t="s">
        <v>18</v>
      </c>
      <c r="AL368" t="s">
        <v>19</v>
      </c>
      <c r="AM368" t="s">
        <v>343</v>
      </c>
      <c r="AN368" t="s">
        <v>0</v>
      </c>
      <c r="AO368" t="s">
        <v>0</v>
      </c>
      <c r="AP368" t="s">
        <v>0</v>
      </c>
      <c r="AQ368" s="5">
        <v>10</v>
      </c>
      <c r="AR368" t="s">
        <v>11</v>
      </c>
      <c r="AS368" t="s">
        <v>0</v>
      </c>
      <c r="AT368" t="s">
        <v>17</v>
      </c>
      <c r="AU368" s="4">
        <v>0</v>
      </c>
      <c r="AV368" s="4">
        <v>0</v>
      </c>
      <c r="AW368" s="4">
        <v>0</v>
      </c>
      <c r="AX368" s="4">
        <v>0</v>
      </c>
      <c r="AY368" s="5">
        <v>0</v>
      </c>
      <c r="AZ368" s="5">
        <v>0</v>
      </c>
      <c r="BA368" s="5">
        <v>0</v>
      </c>
      <c r="BB368" s="2"/>
      <c r="BC368" t="s">
        <v>0</v>
      </c>
      <c r="BD368" s="5">
        <v>1</v>
      </c>
      <c r="BE368" t="s">
        <v>0</v>
      </c>
      <c r="BF368" t="s">
        <v>345</v>
      </c>
      <c r="BG368" t="s">
        <v>17</v>
      </c>
      <c r="BH368" t="s">
        <v>0</v>
      </c>
      <c r="BI368" t="s">
        <v>11</v>
      </c>
      <c r="BJ368" t="s">
        <v>0</v>
      </c>
      <c r="BK368" t="s">
        <v>0</v>
      </c>
      <c r="BL368" s="5">
        <v>0</v>
      </c>
      <c r="BM368" t="s">
        <v>0</v>
      </c>
      <c r="BN368" t="s">
        <v>0</v>
      </c>
      <c r="BO368" t="s">
        <v>0</v>
      </c>
      <c r="BP368" t="s">
        <v>17</v>
      </c>
      <c r="BQ368" t="s">
        <v>0</v>
      </c>
      <c r="BR368" t="s">
        <v>17</v>
      </c>
      <c r="BS368" t="s">
        <v>17</v>
      </c>
      <c r="BT368" t="s">
        <v>0</v>
      </c>
      <c r="BU368" t="s">
        <v>0</v>
      </c>
      <c r="BV368" t="s">
        <v>0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</row>
    <row r="369" spans="1:80" ht="13.95" customHeight="1" x14ac:dyDescent="0.25">
      <c r="A369" t="s">
        <v>353</v>
      </c>
      <c r="B369" s="2">
        <v>45764</v>
      </c>
      <c r="C369" s="2"/>
      <c r="D369" s="2"/>
      <c r="E369" t="s">
        <v>2</v>
      </c>
      <c r="F369" t="s">
        <v>82</v>
      </c>
      <c r="G369" t="s">
        <v>98</v>
      </c>
      <c r="H369" t="s">
        <v>4</v>
      </c>
      <c r="I369" t="s">
        <v>343</v>
      </c>
      <c r="J369" t="s">
        <v>6</v>
      </c>
      <c r="K369" t="s">
        <v>30</v>
      </c>
      <c r="L369" t="s">
        <v>74</v>
      </c>
      <c r="M369" t="s">
        <v>75</v>
      </c>
      <c r="N369" t="s">
        <v>10</v>
      </c>
      <c r="O369" t="s">
        <v>0</v>
      </c>
      <c r="P369" t="s">
        <v>11</v>
      </c>
      <c r="Q369" s="5">
        <v>10</v>
      </c>
      <c r="R369" s="4">
        <v>57750</v>
      </c>
      <c r="S369" s="5">
        <v>1</v>
      </c>
      <c r="T369" s="4">
        <v>577500</v>
      </c>
      <c r="U369" s="5">
        <v>0</v>
      </c>
      <c r="V369" s="4">
        <v>0</v>
      </c>
      <c r="W369" s="5">
        <v>0</v>
      </c>
      <c r="X369" s="4">
        <v>0</v>
      </c>
      <c r="Y369" s="4">
        <f t="shared" si="10"/>
        <v>577500</v>
      </c>
      <c r="Z369" s="6" t="s">
        <v>0</v>
      </c>
      <c r="AA369" t="s">
        <v>2</v>
      </c>
      <c r="AB369" t="s">
        <v>103</v>
      </c>
      <c r="AC369">
        <f>_xlfn.XLOOKUP(AB369,'[1]GST Codes'!$A:$A,'[1]GST Codes'!$C:$C,0,0)</f>
        <v>18</v>
      </c>
      <c r="AD369">
        <f t="shared" si="11"/>
        <v>681450</v>
      </c>
      <c r="AE369" t="s">
        <v>13</v>
      </c>
      <c r="AF369" t="s">
        <v>0</v>
      </c>
      <c r="AG369" t="s">
        <v>14</v>
      </c>
      <c r="AH369" t="s">
        <v>15</v>
      </c>
      <c r="AI369" t="s">
        <v>16</v>
      </c>
      <c r="AJ369" t="s">
        <v>17</v>
      </c>
      <c r="AK369" t="s">
        <v>18</v>
      </c>
      <c r="AL369" t="s">
        <v>19</v>
      </c>
      <c r="AM369" t="s">
        <v>343</v>
      </c>
      <c r="AN369" t="s">
        <v>0</v>
      </c>
      <c r="AO369" t="s">
        <v>0</v>
      </c>
      <c r="AP369" t="s">
        <v>0</v>
      </c>
      <c r="AQ369" s="5">
        <v>10</v>
      </c>
      <c r="AR369" t="s">
        <v>11</v>
      </c>
      <c r="AS369" t="s">
        <v>0</v>
      </c>
      <c r="AT369" t="s">
        <v>17</v>
      </c>
      <c r="AU369" s="4">
        <v>0</v>
      </c>
      <c r="AV369" s="4">
        <v>0</v>
      </c>
      <c r="AW369" s="4">
        <v>0</v>
      </c>
      <c r="AX369" s="4">
        <v>0</v>
      </c>
      <c r="AY369" s="5">
        <v>0</v>
      </c>
      <c r="AZ369" s="5">
        <v>0</v>
      </c>
      <c r="BA369" s="5">
        <v>0</v>
      </c>
      <c r="BB369" s="2"/>
      <c r="BC369" t="s">
        <v>0</v>
      </c>
      <c r="BD369" s="5">
        <v>1</v>
      </c>
      <c r="BE369" t="s">
        <v>0</v>
      </c>
      <c r="BF369" t="s">
        <v>345</v>
      </c>
      <c r="BG369" t="s">
        <v>17</v>
      </c>
      <c r="BH369" t="s">
        <v>0</v>
      </c>
      <c r="BI369" t="s">
        <v>11</v>
      </c>
      <c r="BJ369" t="s">
        <v>0</v>
      </c>
      <c r="BK369" t="s">
        <v>0</v>
      </c>
      <c r="BL369" s="5">
        <v>0</v>
      </c>
      <c r="BM369" t="s">
        <v>0</v>
      </c>
      <c r="BN369" t="s">
        <v>0</v>
      </c>
      <c r="BO369" t="s">
        <v>0</v>
      </c>
      <c r="BP369" t="s">
        <v>17</v>
      </c>
      <c r="BQ369" t="s">
        <v>0</v>
      </c>
      <c r="BR369" t="s">
        <v>17</v>
      </c>
      <c r="BS369" t="s">
        <v>17</v>
      </c>
      <c r="BT369" t="s">
        <v>0</v>
      </c>
      <c r="BU369" t="s">
        <v>0</v>
      </c>
      <c r="BV369" t="s">
        <v>0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</row>
    <row r="370" spans="1:80" ht="13.95" customHeight="1" x14ac:dyDescent="0.25">
      <c r="A370" t="s">
        <v>353</v>
      </c>
      <c r="B370" s="2">
        <v>45764</v>
      </c>
      <c r="C370" s="2"/>
      <c r="D370" s="2"/>
      <c r="E370" t="s">
        <v>2</v>
      </c>
      <c r="F370" t="s">
        <v>82</v>
      </c>
      <c r="G370" t="s">
        <v>98</v>
      </c>
      <c r="H370" t="s">
        <v>4</v>
      </c>
      <c r="I370" t="s">
        <v>343</v>
      </c>
      <c r="J370" t="s">
        <v>6</v>
      </c>
      <c r="K370" t="s">
        <v>34</v>
      </c>
      <c r="L370" t="s">
        <v>74</v>
      </c>
      <c r="M370" t="s">
        <v>75</v>
      </c>
      <c r="N370" t="s">
        <v>10</v>
      </c>
      <c r="O370" t="s">
        <v>0</v>
      </c>
      <c r="P370" t="s">
        <v>11</v>
      </c>
      <c r="Q370" s="5">
        <v>10</v>
      </c>
      <c r="R370" s="4">
        <v>57750</v>
      </c>
      <c r="S370" s="5">
        <v>1</v>
      </c>
      <c r="T370" s="4">
        <v>577500</v>
      </c>
      <c r="U370" s="5">
        <v>0</v>
      </c>
      <c r="V370" s="4">
        <v>0</v>
      </c>
      <c r="W370" s="5">
        <v>0</v>
      </c>
      <c r="X370" s="4">
        <v>0</v>
      </c>
      <c r="Y370" s="4">
        <f t="shared" si="10"/>
        <v>577500</v>
      </c>
      <c r="Z370" s="6" t="s">
        <v>0</v>
      </c>
      <c r="AA370" t="s">
        <v>2</v>
      </c>
      <c r="AB370" t="s">
        <v>103</v>
      </c>
      <c r="AC370">
        <f>_xlfn.XLOOKUP(AB370,'[1]GST Codes'!$A:$A,'[1]GST Codes'!$C:$C,0,0)</f>
        <v>18</v>
      </c>
      <c r="AD370">
        <f t="shared" si="11"/>
        <v>681450</v>
      </c>
      <c r="AE370" t="s">
        <v>13</v>
      </c>
      <c r="AF370" t="s">
        <v>0</v>
      </c>
      <c r="AG370" t="s">
        <v>14</v>
      </c>
      <c r="AH370" t="s">
        <v>15</v>
      </c>
      <c r="AI370" t="s">
        <v>16</v>
      </c>
      <c r="AJ370" t="s">
        <v>17</v>
      </c>
      <c r="AK370" t="s">
        <v>18</v>
      </c>
      <c r="AL370" t="s">
        <v>19</v>
      </c>
      <c r="AM370" t="s">
        <v>343</v>
      </c>
      <c r="AN370" t="s">
        <v>0</v>
      </c>
      <c r="AO370" t="s">
        <v>0</v>
      </c>
      <c r="AP370" t="s">
        <v>0</v>
      </c>
      <c r="AQ370" s="5">
        <v>10</v>
      </c>
      <c r="AR370" t="s">
        <v>11</v>
      </c>
      <c r="AS370" t="s">
        <v>0</v>
      </c>
      <c r="AT370" t="s">
        <v>17</v>
      </c>
      <c r="AU370" s="4">
        <v>0</v>
      </c>
      <c r="AV370" s="4">
        <v>0</v>
      </c>
      <c r="AW370" s="4">
        <v>0</v>
      </c>
      <c r="AX370" s="4">
        <v>0</v>
      </c>
      <c r="AY370" s="5">
        <v>0</v>
      </c>
      <c r="AZ370" s="5">
        <v>0</v>
      </c>
      <c r="BA370" s="5">
        <v>0</v>
      </c>
      <c r="BB370" s="2"/>
      <c r="BC370" t="s">
        <v>0</v>
      </c>
      <c r="BD370" s="5">
        <v>1</v>
      </c>
      <c r="BE370" t="s">
        <v>0</v>
      </c>
      <c r="BF370" t="s">
        <v>345</v>
      </c>
      <c r="BG370" t="s">
        <v>17</v>
      </c>
      <c r="BH370" t="s">
        <v>0</v>
      </c>
      <c r="BI370" t="s">
        <v>11</v>
      </c>
      <c r="BJ370" t="s">
        <v>0</v>
      </c>
      <c r="BK370" t="s">
        <v>0</v>
      </c>
      <c r="BL370" s="5">
        <v>0</v>
      </c>
      <c r="BM370" t="s">
        <v>0</v>
      </c>
      <c r="BN370" t="s">
        <v>0</v>
      </c>
      <c r="BO370" t="s">
        <v>0</v>
      </c>
      <c r="BP370" t="s">
        <v>17</v>
      </c>
      <c r="BQ370" t="s">
        <v>0</v>
      </c>
      <c r="BR370" t="s">
        <v>17</v>
      </c>
      <c r="BS370" t="s">
        <v>17</v>
      </c>
      <c r="BT370" t="s">
        <v>0</v>
      </c>
      <c r="BU370" t="s">
        <v>0</v>
      </c>
      <c r="BV370" t="s">
        <v>0</v>
      </c>
      <c r="BW370" t="s">
        <v>0</v>
      </c>
      <c r="BX370" t="s">
        <v>0</v>
      </c>
      <c r="BY370" t="s">
        <v>0</v>
      </c>
      <c r="BZ370" t="s">
        <v>0</v>
      </c>
      <c r="CA370" t="s">
        <v>0</v>
      </c>
      <c r="CB370" t="s">
        <v>0</v>
      </c>
    </row>
    <row r="371" spans="1:80" ht="13.95" customHeight="1" x14ac:dyDescent="0.25">
      <c r="A371" t="s">
        <v>353</v>
      </c>
      <c r="B371" s="2">
        <v>45764</v>
      </c>
      <c r="C371" s="2"/>
      <c r="D371" s="2"/>
      <c r="E371" t="s">
        <v>2</v>
      </c>
      <c r="F371" t="s">
        <v>82</v>
      </c>
      <c r="G371" t="s">
        <v>98</v>
      </c>
      <c r="H371" t="s">
        <v>4</v>
      </c>
      <c r="I371" t="s">
        <v>343</v>
      </c>
      <c r="J371" t="s">
        <v>6</v>
      </c>
      <c r="K371" t="s">
        <v>38</v>
      </c>
      <c r="L371" t="s">
        <v>74</v>
      </c>
      <c r="M371" t="s">
        <v>75</v>
      </c>
      <c r="N371" t="s">
        <v>10</v>
      </c>
      <c r="O371" t="s">
        <v>0</v>
      </c>
      <c r="P371" t="s">
        <v>11</v>
      </c>
      <c r="Q371" s="5">
        <v>10</v>
      </c>
      <c r="R371" s="4">
        <v>57750</v>
      </c>
      <c r="S371" s="5">
        <v>1</v>
      </c>
      <c r="T371" s="4">
        <v>577500</v>
      </c>
      <c r="U371" s="5">
        <v>0</v>
      </c>
      <c r="V371" s="4">
        <v>0</v>
      </c>
      <c r="W371" s="5">
        <v>0</v>
      </c>
      <c r="X371" s="4">
        <v>0</v>
      </c>
      <c r="Y371" s="4">
        <f t="shared" si="10"/>
        <v>577500</v>
      </c>
      <c r="Z371" s="6" t="s">
        <v>0</v>
      </c>
      <c r="AA371" t="s">
        <v>2</v>
      </c>
      <c r="AB371" t="s">
        <v>103</v>
      </c>
      <c r="AC371">
        <f>_xlfn.XLOOKUP(AB371,'[1]GST Codes'!$A:$A,'[1]GST Codes'!$C:$C,0,0)</f>
        <v>18</v>
      </c>
      <c r="AD371">
        <f t="shared" si="11"/>
        <v>681450</v>
      </c>
      <c r="AE371" t="s">
        <v>13</v>
      </c>
      <c r="AF371" t="s">
        <v>0</v>
      </c>
      <c r="AG371" t="s">
        <v>14</v>
      </c>
      <c r="AH371" t="s">
        <v>15</v>
      </c>
      <c r="AI371" t="s">
        <v>16</v>
      </c>
      <c r="AJ371" t="s">
        <v>17</v>
      </c>
      <c r="AK371" t="s">
        <v>18</v>
      </c>
      <c r="AL371" t="s">
        <v>19</v>
      </c>
      <c r="AM371" t="s">
        <v>343</v>
      </c>
      <c r="AN371" t="s">
        <v>0</v>
      </c>
      <c r="AO371" t="s">
        <v>0</v>
      </c>
      <c r="AP371" t="s">
        <v>0</v>
      </c>
      <c r="AQ371" s="5">
        <v>10</v>
      </c>
      <c r="AR371" t="s">
        <v>11</v>
      </c>
      <c r="AS371" t="s">
        <v>0</v>
      </c>
      <c r="AT371" t="s">
        <v>17</v>
      </c>
      <c r="AU371" s="4">
        <v>0</v>
      </c>
      <c r="AV371" s="4">
        <v>0</v>
      </c>
      <c r="AW371" s="4">
        <v>0</v>
      </c>
      <c r="AX371" s="4">
        <v>0</v>
      </c>
      <c r="AY371" s="5">
        <v>0</v>
      </c>
      <c r="AZ371" s="5">
        <v>0</v>
      </c>
      <c r="BA371" s="5">
        <v>0</v>
      </c>
      <c r="BB371" s="2"/>
      <c r="BC371" t="s">
        <v>0</v>
      </c>
      <c r="BD371" s="5">
        <v>1</v>
      </c>
      <c r="BE371" t="s">
        <v>0</v>
      </c>
      <c r="BF371" t="s">
        <v>345</v>
      </c>
      <c r="BG371" t="s">
        <v>17</v>
      </c>
      <c r="BH371" t="s">
        <v>0</v>
      </c>
      <c r="BI371" t="s">
        <v>11</v>
      </c>
      <c r="BJ371" t="s">
        <v>0</v>
      </c>
      <c r="BK371" t="s">
        <v>0</v>
      </c>
      <c r="BL371" s="5">
        <v>0</v>
      </c>
      <c r="BM371" t="s">
        <v>0</v>
      </c>
      <c r="BN371" t="s">
        <v>0</v>
      </c>
      <c r="BO371" t="s">
        <v>0</v>
      </c>
      <c r="BP371" t="s">
        <v>17</v>
      </c>
      <c r="BQ371" t="s">
        <v>0</v>
      </c>
      <c r="BR371" t="s">
        <v>17</v>
      </c>
      <c r="BS371" t="s">
        <v>17</v>
      </c>
      <c r="BT371" t="s">
        <v>0</v>
      </c>
      <c r="BU371" t="s">
        <v>0</v>
      </c>
      <c r="BV371" t="s">
        <v>0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</row>
    <row r="372" spans="1:80" ht="13.95" customHeight="1" x14ac:dyDescent="0.25">
      <c r="A372" t="s">
        <v>353</v>
      </c>
      <c r="B372" s="2">
        <v>45764</v>
      </c>
      <c r="C372" s="2"/>
      <c r="D372" s="2"/>
      <c r="E372" t="s">
        <v>2</v>
      </c>
      <c r="F372" t="s">
        <v>82</v>
      </c>
      <c r="G372" t="s">
        <v>98</v>
      </c>
      <c r="H372" t="s">
        <v>4</v>
      </c>
      <c r="I372" t="s">
        <v>343</v>
      </c>
      <c r="J372" t="s">
        <v>6</v>
      </c>
      <c r="K372" t="s">
        <v>42</v>
      </c>
      <c r="L372" t="s">
        <v>74</v>
      </c>
      <c r="M372" t="s">
        <v>75</v>
      </c>
      <c r="N372" t="s">
        <v>10</v>
      </c>
      <c r="O372" t="s">
        <v>0</v>
      </c>
      <c r="P372" t="s">
        <v>11</v>
      </c>
      <c r="Q372" s="5">
        <v>10</v>
      </c>
      <c r="R372" s="4">
        <v>57750</v>
      </c>
      <c r="S372" s="5">
        <v>1</v>
      </c>
      <c r="T372" s="4">
        <v>577500</v>
      </c>
      <c r="U372" s="5">
        <v>0</v>
      </c>
      <c r="V372" s="4">
        <v>0</v>
      </c>
      <c r="W372" s="5">
        <v>0</v>
      </c>
      <c r="X372" s="4">
        <v>0</v>
      </c>
      <c r="Y372" s="4">
        <f t="shared" si="10"/>
        <v>577500</v>
      </c>
      <c r="Z372" s="6" t="s">
        <v>0</v>
      </c>
      <c r="AA372" t="s">
        <v>2</v>
      </c>
      <c r="AB372" t="s">
        <v>103</v>
      </c>
      <c r="AC372">
        <f>_xlfn.XLOOKUP(AB372,'[1]GST Codes'!$A:$A,'[1]GST Codes'!$C:$C,0,0)</f>
        <v>18</v>
      </c>
      <c r="AD372">
        <f t="shared" si="11"/>
        <v>681450</v>
      </c>
      <c r="AE372" t="s">
        <v>13</v>
      </c>
      <c r="AF372" t="s">
        <v>0</v>
      </c>
      <c r="AG372" t="s">
        <v>14</v>
      </c>
      <c r="AH372" t="s">
        <v>15</v>
      </c>
      <c r="AI372" t="s">
        <v>16</v>
      </c>
      <c r="AJ372" t="s">
        <v>17</v>
      </c>
      <c r="AK372" t="s">
        <v>18</v>
      </c>
      <c r="AL372" t="s">
        <v>19</v>
      </c>
      <c r="AM372" t="s">
        <v>343</v>
      </c>
      <c r="AN372" t="s">
        <v>0</v>
      </c>
      <c r="AO372" t="s">
        <v>0</v>
      </c>
      <c r="AP372" t="s">
        <v>0</v>
      </c>
      <c r="AQ372" s="5">
        <v>10</v>
      </c>
      <c r="AR372" t="s">
        <v>11</v>
      </c>
      <c r="AS372" t="s">
        <v>0</v>
      </c>
      <c r="AT372" t="s">
        <v>17</v>
      </c>
      <c r="AU372" s="4">
        <v>0</v>
      </c>
      <c r="AV372" s="4">
        <v>0</v>
      </c>
      <c r="AW372" s="4">
        <v>0</v>
      </c>
      <c r="AX372" s="4">
        <v>0</v>
      </c>
      <c r="AY372" s="5">
        <v>0</v>
      </c>
      <c r="AZ372" s="5">
        <v>0</v>
      </c>
      <c r="BA372" s="5">
        <v>0</v>
      </c>
      <c r="BB372" s="2"/>
      <c r="BC372" t="s">
        <v>0</v>
      </c>
      <c r="BD372" s="5">
        <v>1</v>
      </c>
      <c r="BE372" t="s">
        <v>0</v>
      </c>
      <c r="BF372" t="s">
        <v>345</v>
      </c>
      <c r="BG372" t="s">
        <v>17</v>
      </c>
      <c r="BH372" t="s">
        <v>0</v>
      </c>
      <c r="BI372" t="s">
        <v>11</v>
      </c>
      <c r="BJ372" t="s">
        <v>0</v>
      </c>
      <c r="BK372" t="s">
        <v>0</v>
      </c>
      <c r="BL372" s="5">
        <v>0</v>
      </c>
      <c r="BM372" t="s">
        <v>0</v>
      </c>
      <c r="BN372" t="s">
        <v>0</v>
      </c>
      <c r="BO372" t="s">
        <v>0</v>
      </c>
      <c r="BP372" t="s">
        <v>17</v>
      </c>
      <c r="BQ372" t="s">
        <v>0</v>
      </c>
      <c r="BR372" t="s">
        <v>17</v>
      </c>
      <c r="BS372" t="s">
        <v>17</v>
      </c>
      <c r="BT372" t="s">
        <v>0</v>
      </c>
      <c r="BU372" t="s">
        <v>0</v>
      </c>
      <c r="BV372" t="s">
        <v>0</v>
      </c>
      <c r="BW372" t="s">
        <v>0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</row>
    <row r="373" spans="1:80" x14ac:dyDescent="0.25">
      <c r="A373" t="s">
        <v>353</v>
      </c>
      <c r="B373" s="2">
        <v>45764</v>
      </c>
      <c r="C373" s="2"/>
      <c r="D373" s="2"/>
      <c r="E373" t="s">
        <v>2</v>
      </c>
      <c r="F373" t="s">
        <v>82</v>
      </c>
      <c r="G373" t="s">
        <v>98</v>
      </c>
      <c r="H373" t="s">
        <v>4</v>
      </c>
      <c r="I373" t="s">
        <v>343</v>
      </c>
      <c r="J373" t="s">
        <v>6</v>
      </c>
      <c r="K373" t="s">
        <v>86</v>
      </c>
      <c r="L373" t="s">
        <v>39</v>
      </c>
      <c r="M373" t="s">
        <v>40</v>
      </c>
      <c r="N373" t="s">
        <v>10</v>
      </c>
      <c r="O373" t="s">
        <v>0</v>
      </c>
      <c r="P373" t="s">
        <v>11</v>
      </c>
      <c r="Q373" s="5">
        <v>40</v>
      </c>
      <c r="R373" s="4">
        <v>57750</v>
      </c>
      <c r="S373" s="5">
        <v>1</v>
      </c>
      <c r="T373" s="4">
        <v>2310000</v>
      </c>
      <c r="U373" s="5">
        <v>0</v>
      </c>
      <c r="V373" s="4">
        <v>0</v>
      </c>
      <c r="W373" s="5">
        <v>0</v>
      </c>
      <c r="X373" s="4">
        <v>0</v>
      </c>
      <c r="Y373" s="4">
        <f t="shared" si="10"/>
        <v>2310000</v>
      </c>
      <c r="Z373" t="s">
        <v>0</v>
      </c>
      <c r="AA373" t="s">
        <v>2</v>
      </c>
      <c r="AB373" t="s">
        <v>103</v>
      </c>
      <c r="AC373">
        <f>_xlfn.XLOOKUP(AB373,'[1]GST Codes'!$A:$A,'[1]GST Codes'!$C:$C,0,0)</f>
        <v>18</v>
      </c>
      <c r="AD373">
        <f t="shared" si="11"/>
        <v>2725800</v>
      </c>
      <c r="AE373" t="s">
        <v>13</v>
      </c>
      <c r="AF373" t="s">
        <v>0</v>
      </c>
      <c r="AG373" t="s">
        <v>14</v>
      </c>
      <c r="AH373" t="s">
        <v>15</v>
      </c>
      <c r="AI373" t="s">
        <v>16</v>
      </c>
      <c r="AJ373" t="s">
        <v>17</v>
      </c>
      <c r="AK373" t="s">
        <v>18</v>
      </c>
      <c r="AL373" t="s">
        <v>19</v>
      </c>
      <c r="AM373" t="s">
        <v>343</v>
      </c>
      <c r="AN373" t="s">
        <v>0</v>
      </c>
      <c r="AO373" t="s">
        <v>0</v>
      </c>
      <c r="AP373" t="s">
        <v>0</v>
      </c>
      <c r="AQ373" s="5">
        <v>40</v>
      </c>
      <c r="AR373" t="s">
        <v>11</v>
      </c>
      <c r="AS373" t="s">
        <v>0</v>
      </c>
      <c r="AT373" t="s">
        <v>17</v>
      </c>
      <c r="AU373" s="4">
        <v>0</v>
      </c>
      <c r="AV373" s="4">
        <v>0</v>
      </c>
      <c r="AW373" s="4">
        <v>0</v>
      </c>
      <c r="AX373" s="4">
        <v>0</v>
      </c>
      <c r="AY373" s="5">
        <v>0</v>
      </c>
      <c r="AZ373" s="5">
        <v>0</v>
      </c>
      <c r="BA373" s="5">
        <v>0</v>
      </c>
      <c r="BB373" s="2"/>
      <c r="BC373" t="s">
        <v>0</v>
      </c>
      <c r="BD373" s="5">
        <v>1</v>
      </c>
      <c r="BE373" t="s">
        <v>0</v>
      </c>
      <c r="BF373" t="s">
        <v>347</v>
      </c>
      <c r="BG373" t="s">
        <v>17</v>
      </c>
      <c r="BH373" t="s">
        <v>0</v>
      </c>
      <c r="BI373" t="s">
        <v>11</v>
      </c>
      <c r="BJ373" t="s">
        <v>0</v>
      </c>
      <c r="BK373" t="s">
        <v>0</v>
      </c>
      <c r="BL373" s="5">
        <v>0</v>
      </c>
      <c r="BM373" t="s">
        <v>0</v>
      </c>
      <c r="BN373" t="s">
        <v>0</v>
      </c>
      <c r="BO373" t="s">
        <v>0</v>
      </c>
      <c r="BP373" t="s">
        <v>17</v>
      </c>
      <c r="BQ373" t="s">
        <v>0</v>
      </c>
      <c r="BR373" t="s">
        <v>17</v>
      </c>
      <c r="BS373" t="s">
        <v>17</v>
      </c>
      <c r="BT373" t="s">
        <v>0</v>
      </c>
      <c r="BU373" t="s">
        <v>0</v>
      </c>
      <c r="BV373" t="s">
        <v>0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</row>
    <row r="374" spans="1:80" x14ac:dyDescent="0.25">
      <c r="A374" t="s">
        <v>353</v>
      </c>
      <c r="B374" s="2">
        <v>45764</v>
      </c>
      <c r="C374" s="2"/>
      <c r="D374" s="2"/>
      <c r="E374" t="s">
        <v>2</v>
      </c>
      <c r="F374" t="s">
        <v>82</v>
      </c>
      <c r="G374" t="s">
        <v>98</v>
      </c>
      <c r="H374" t="s">
        <v>4</v>
      </c>
      <c r="I374" t="s">
        <v>343</v>
      </c>
      <c r="J374" t="s">
        <v>6</v>
      </c>
      <c r="K374" t="s">
        <v>87</v>
      </c>
      <c r="L374" t="s">
        <v>39</v>
      </c>
      <c r="M374" t="s">
        <v>40</v>
      </c>
      <c r="N374" t="s">
        <v>10</v>
      </c>
      <c r="O374" t="s">
        <v>0</v>
      </c>
      <c r="P374" t="s">
        <v>11</v>
      </c>
      <c r="Q374" s="5">
        <v>15</v>
      </c>
      <c r="R374" s="4">
        <v>57750</v>
      </c>
      <c r="S374" s="5">
        <v>1</v>
      </c>
      <c r="T374" s="4">
        <v>866250</v>
      </c>
      <c r="U374" s="5">
        <v>0</v>
      </c>
      <c r="V374" s="4">
        <v>0</v>
      </c>
      <c r="W374" s="5">
        <v>0</v>
      </c>
      <c r="X374" s="4">
        <v>0</v>
      </c>
      <c r="Y374" s="4">
        <f t="shared" si="10"/>
        <v>866250</v>
      </c>
      <c r="Z374" t="s">
        <v>0</v>
      </c>
      <c r="AA374" t="s">
        <v>2</v>
      </c>
      <c r="AB374" t="s">
        <v>103</v>
      </c>
      <c r="AC374">
        <f>_xlfn.XLOOKUP(AB374,'[1]GST Codes'!$A:$A,'[1]GST Codes'!$C:$C,0,0)</f>
        <v>18</v>
      </c>
      <c r="AD374">
        <f t="shared" si="11"/>
        <v>1022175</v>
      </c>
      <c r="AE374" t="s">
        <v>13</v>
      </c>
      <c r="AF374" t="s">
        <v>0</v>
      </c>
      <c r="AG374" t="s">
        <v>14</v>
      </c>
      <c r="AH374" t="s">
        <v>15</v>
      </c>
      <c r="AI374" t="s">
        <v>16</v>
      </c>
      <c r="AJ374" t="s">
        <v>17</v>
      </c>
      <c r="AK374" t="s">
        <v>18</v>
      </c>
      <c r="AL374" t="s">
        <v>19</v>
      </c>
      <c r="AM374" t="s">
        <v>343</v>
      </c>
      <c r="AN374" t="s">
        <v>0</v>
      </c>
      <c r="AO374" t="s">
        <v>0</v>
      </c>
      <c r="AP374" t="s">
        <v>0</v>
      </c>
      <c r="AQ374" s="5">
        <v>15</v>
      </c>
      <c r="AR374" t="s">
        <v>11</v>
      </c>
      <c r="AS374" t="s">
        <v>0</v>
      </c>
      <c r="AT374" t="s">
        <v>17</v>
      </c>
      <c r="AU374" s="4">
        <v>0</v>
      </c>
      <c r="AV374" s="4">
        <v>0</v>
      </c>
      <c r="AW374" s="4">
        <v>0</v>
      </c>
      <c r="AX374" s="4">
        <v>0</v>
      </c>
      <c r="AY374" s="5">
        <v>0</v>
      </c>
      <c r="AZ374" s="5">
        <v>0</v>
      </c>
      <c r="BA374" s="5">
        <v>0</v>
      </c>
      <c r="BB374" s="2"/>
      <c r="BC374" t="s">
        <v>0</v>
      </c>
      <c r="BD374" s="5">
        <v>1</v>
      </c>
      <c r="BE374" t="s">
        <v>0</v>
      </c>
      <c r="BF374" t="s">
        <v>347</v>
      </c>
      <c r="BG374" t="s">
        <v>17</v>
      </c>
      <c r="BH374" t="s">
        <v>0</v>
      </c>
      <c r="BI374" t="s">
        <v>11</v>
      </c>
      <c r="BJ374" t="s">
        <v>0</v>
      </c>
      <c r="BK374" t="s">
        <v>0</v>
      </c>
      <c r="BL374" s="5">
        <v>0</v>
      </c>
      <c r="BM374" t="s">
        <v>0</v>
      </c>
      <c r="BN374" t="s">
        <v>0</v>
      </c>
      <c r="BO374" t="s">
        <v>0</v>
      </c>
      <c r="BP374" t="s">
        <v>17</v>
      </c>
      <c r="BQ374" t="s">
        <v>0</v>
      </c>
      <c r="BR374" t="s">
        <v>17</v>
      </c>
      <c r="BS374" t="s">
        <v>17</v>
      </c>
      <c r="BT374" t="s">
        <v>0</v>
      </c>
      <c r="BU374" t="s">
        <v>0</v>
      </c>
      <c r="BV374" t="s">
        <v>0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</row>
    <row r="375" spans="1:80" x14ac:dyDescent="0.25">
      <c r="A375" t="s">
        <v>353</v>
      </c>
      <c r="B375" s="2">
        <v>45764</v>
      </c>
      <c r="C375" s="2"/>
      <c r="D375" s="2"/>
      <c r="E375" t="s">
        <v>2</v>
      </c>
      <c r="F375" t="s">
        <v>82</v>
      </c>
      <c r="G375" t="s">
        <v>98</v>
      </c>
      <c r="H375" t="s">
        <v>4</v>
      </c>
      <c r="I375" t="s">
        <v>343</v>
      </c>
      <c r="J375" t="s">
        <v>6</v>
      </c>
      <c r="K375" t="s">
        <v>88</v>
      </c>
      <c r="L375" t="s">
        <v>39</v>
      </c>
      <c r="M375" t="s">
        <v>40</v>
      </c>
      <c r="N375" t="s">
        <v>10</v>
      </c>
      <c r="O375" t="s">
        <v>0</v>
      </c>
      <c r="P375" t="s">
        <v>11</v>
      </c>
      <c r="Q375" s="5">
        <v>15</v>
      </c>
      <c r="R375" s="4">
        <v>57750</v>
      </c>
      <c r="S375" s="5">
        <v>1</v>
      </c>
      <c r="T375" s="4">
        <v>866250</v>
      </c>
      <c r="U375" s="5">
        <v>0</v>
      </c>
      <c r="V375" s="4">
        <v>0</v>
      </c>
      <c r="W375" s="5">
        <v>0</v>
      </c>
      <c r="X375" s="4">
        <v>0</v>
      </c>
      <c r="Y375" s="4">
        <f t="shared" si="10"/>
        <v>866250</v>
      </c>
      <c r="Z375" t="s">
        <v>0</v>
      </c>
      <c r="AA375" t="s">
        <v>2</v>
      </c>
      <c r="AB375" t="s">
        <v>103</v>
      </c>
      <c r="AC375">
        <f>_xlfn.XLOOKUP(AB375,'[1]GST Codes'!$A:$A,'[1]GST Codes'!$C:$C,0,0)</f>
        <v>18</v>
      </c>
      <c r="AD375">
        <f t="shared" si="11"/>
        <v>1022175</v>
      </c>
      <c r="AE375" t="s">
        <v>13</v>
      </c>
      <c r="AF375" t="s">
        <v>0</v>
      </c>
      <c r="AG375" t="s">
        <v>14</v>
      </c>
      <c r="AH375" t="s">
        <v>15</v>
      </c>
      <c r="AI375" t="s">
        <v>16</v>
      </c>
      <c r="AJ375" t="s">
        <v>17</v>
      </c>
      <c r="AK375" t="s">
        <v>18</v>
      </c>
      <c r="AL375" t="s">
        <v>19</v>
      </c>
      <c r="AM375" t="s">
        <v>343</v>
      </c>
      <c r="AN375" t="s">
        <v>0</v>
      </c>
      <c r="AO375" t="s">
        <v>0</v>
      </c>
      <c r="AP375" t="s">
        <v>0</v>
      </c>
      <c r="AQ375" s="5">
        <v>15</v>
      </c>
      <c r="AR375" t="s">
        <v>11</v>
      </c>
      <c r="AS375" t="s">
        <v>0</v>
      </c>
      <c r="AT375" t="s">
        <v>17</v>
      </c>
      <c r="AU375" s="4">
        <v>0</v>
      </c>
      <c r="AV375" s="4">
        <v>0</v>
      </c>
      <c r="AW375" s="4">
        <v>0</v>
      </c>
      <c r="AX375" s="4">
        <v>0</v>
      </c>
      <c r="AY375" s="5">
        <v>0</v>
      </c>
      <c r="AZ375" s="5">
        <v>0</v>
      </c>
      <c r="BA375" s="5">
        <v>0</v>
      </c>
      <c r="BB375" s="2"/>
      <c r="BC375" t="s">
        <v>0</v>
      </c>
      <c r="BD375" s="5">
        <v>1</v>
      </c>
      <c r="BE375" t="s">
        <v>0</v>
      </c>
      <c r="BF375" t="s">
        <v>347</v>
      </c>
      <c r="BG375" t="s">
        <v>17</v>
      </c>
      <c r="BH375" t="s">
        <v>0</v>
      </c>
      <c r="BI375" t="s">
        <v>11</v>
      </c>
      <c r="BJ375" t="s">
        <v>0</v>
      </c>
      <c r="BK375" t="s">
        <v>0</v>
      </c>
      <c r="BL375" s="5">
        <v>0</v>
      </c>
      <c r="BM375" t="s">
        <v>0</v>
      </c>
      <c r="BN375" t="s">
        <v>0</v>
      </c>
      <c r="BO375" t="s">
        <v>0</v>
      </c>
      <c r="BP375" t="s">
        <v>17</v>
      </c>
      <c r="BQ375" t="s">
        <v>0</v>
      </c>
      <c r="BR375" t="s">
        <v>17</v>
      </c>
      <c r="BS375" t="s">
        <v>17</v>
      </c>
      <c r="BT375" t="s">
        <v>0</v>
      </c>
      <c r="BU375" t="s">
        <v>0</v>
      </c>
      <c r="BV375" t="s">
        <v>0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</row>
    <row r="376" spans="1:80" x14ac:dyDescent="0.25">
      <c r="A376" t="s">
        <v>353</v>
      </c>
      <c r="B376" s="2">
        <v>45764</v>
      </c>
      <c r="C376" s="2"/>
      <c r="D376" s="2"/>
      <c r="E376" t="s">
        <v>2</v>
      </c>
      <c r="F376" t="s">
        <v>82</v>
      </c>
      <c r="G376" t="s">
        <v>98</v>
      </c>
      <c r="H376" t="s">
        <v>4</v>
      </c>
      <c r="I376" t="s">
        <v>343</v>
      </c>
      <c r="J376" t="s">
        <v>6</v>
      </c>
      <c r="K376" t="s">
        <v>89</v>
      </c>
      <c r="L376" t="s">
        <v>39</v>
      </c>
      <c r="M376" t="s">
        <v>40</v>
      </c>
      <c r="N376" t="s">
        <v>10</v>
      </c>
      <c r="O376" t="s">
        <v>0</v>
      </c>
      <c r="P376" t="s">
        <v>11</v>
      </c>
      <c r="Q376" s="5">
        <v>20</v>
      </c>
      <c r="R376" s="4">
        <v>57750</v>
      </c>
      <c r="S376" s="5">
        <v>1</v>
      </c>
      <c r="T376" s="4">
        <v>1155000</v>
      </c>
      <c r="U376" s="5">
        <v>0</v>
      </c>
      <c r="V376" s="4">
        <v>0</v>
      </c>
      <c r="W376" s="5">
        <v>0</v>
      </c>
      <c r="X376" s="4">
        <v>0</v>
      </c>
      <c r="Y376" s="4">
        <f t="shared" si="10"/>
        <v>1155000</v>
      </c>
      <c r="Z376" t="s">
        <v>0</v>
      </c>
      <c r="AA376" t="s">
        <v>2</v>
      </c>
      <c r="AB376" t="s">
        <v>103</v>
      </c>
      <c r="AC376">
        <f>_xlfn.XLOOKUP(AB376,'[1]GST Codes'!$A:$A,'[1]GST Codes'!$C:$C,0,0)</f>
        <v>18</v>
      </c>
      <c r="AD376">
        <f t="shared" si="11"/>
        <v>1362900</v>
      </c>
      <c r="AE376" t="s">
        <v>13</v>
      </c>
      <c r="AF376" t="s">
        <v>0</v>
      </c>
      <c r="AG376" t="s">
        <v>14</v>
      </c>
      <c r="AH376" t="s">
        <v>15</v>
      </c>
      <c r="AI376" t="s">
        <v>16</v>
      </c>
      <c r="AJ376" t="s">
        <v>17</v>
      </c>
      <c r="AK376" t="s">
        <v>18</v>
      </c>
      <c r="AL376" t="s">
        <v>19</v>
      </c>
      <c r="AM376" t="s">
        <v>343</v>
      </c>
      <c r="AN376" t="s">
        <v>0</v>
      </c>
      <c r="AO376" t="s">
        <v>0</v>
      </c>
      <c r="AP376" t="s">
        <v>0</v>
      </c>
      <c r="AQ376" s="5">
        <v>20</v>
      </c>
      <c r="AR376" t="s">
        <v>11</v>
      </c>
      <c r="AS376" t="s">
        <v>0</v>
      </c>
      <c r="AT376" t="s">
        <v>17</v>
      </c>
      <c r="AU376" s="4">
        <v>0</v>
      </c>
      <c r="AV376" s="4">
        <v>0</v>
      </c>
      <c r="AW376" s="4">
        <v>0</v>
      </c>
      <c r="AX376" s="4">
        <v>0</v>
      </c>
      <c r="AY376" s="5">
        <v>0</v>
      </c>
      <c r="AZ376" s="5">
        <v>0</v>
      </c>
      <c r="BA376" s="5">
        <v>0</v>
      </c>
      <c r="BB376" s="2"/>
      <c r="BC376" t="s">
        <v>0</v>
      </c>
      <c r="BD376" s="5">
        <v>1</v>
      </c>
      <c r="BE376" t="s">
        <v>0</v>
      </c>
      <c r="BF376" t="s">
        <v>347</v>
      </c>
      <c r="BG376" t="s">
        <v>17</v>
      </c>
      <c r="BH376" t="s">
        <v>0</v>
      </c>
      <c r="BI376" t="s">
        <v>11</v>
      </c>
      <c r="BJ376" t="s">
        <v>0</v>
      </c>
      <c r="BK376" t="s">
        <v>0</v>
      </c>
      <c r="BL376" s="5">
        <v>0</v>
      </c>
      <c r="BM376" t="s">
        <v>0</v>
      </c>
      <c r="BN376" t="s">
        <v>0</v>
      </c>
      <c r="BO376" t="s">
        <v>0</v>
      </c>
      <c r="BP376" t="s">
        <v>17</v>
      </c>
      <c r="BQ376" t="s">
        <v>0</v>
      </c>
      <c r="BR376" t="s">
        <v>17</v>
      </c>
      <c r="BS376" t="s">
        <v>17</v>
      </c>
      <c r="BT376" t="s">
        <v>0</v>
      </c>
      <c r="BU376" t="s">
        <v>0</v>
      </c>
      <c r="BV376" t="s">
        <v>0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</row>
    <row r="377" spans="1:80" x14ac:dyDescent="0.25">
      <c r="A377" t="s">
        <v>353</v>
      </c>
      <c r="B377" s="2">
        <v>45764</v>
      </c>
      <c r="C377" s="2"/>
      <c r="D377" s="2"/>
      <c r="E377" t="s">
        <v>2</v>
      </c>
      <c r="F377" t="s">
        <v>82</v>
      </c>
      <c r="G377" t="s">
        <v>98</v>
      </c>
      <c r="H377" t="s">
        <v>4</v>
      </c>
      <c r="I377" t="s">
        <v>343</v>
      </c>
      <c r="J377" t="s">
        <v>6</v>
      </c>
      <c r="K377" t="s">
        <v>90</v>
      </c>
      <c r="L377" t="s">
        <v>39</v>
      </c>
      <c r="M377" t="s">
        <v>40</v>
      </c>
      <c r="N377" t="s">
        <v>10</v>
      </c>
      <c r="O377" t="s">
        <v>0</v>
      </c>
      <c r="P377" t="s">
        <v>11</v>
      </c>
      <c r="Q377" s="5">
        <v>20</v>
      </c>
      <c r="R377" s="4">
        <v>57750</v>
      </c>
      <c r="S377" s="5">
        <v>1</v>
      </c>
      <c r="T377" s="4">
        <v>1155000</v>
      </c>
      <c r="U377" s="5">
        <v>0</v>
      </c>
      <c r="V377" s="4">
        <v>0</v>
      </c>
      <c r="W377" s="5">
        <v>0</v>
      </c>
      <c r="X377" s="4">
        <v>0</v>
      </c>
      <c r="Y377" s="4">
        <f t="shared" si="10"/>
        <v>1155000</v>
      </c>
      <c r="Z377" t="s">
        <v>0</v>
      </c>
      <c r="AA377" t="s">
        <v>2</v>
      </c>
      <c r="AB377" t="s">
        <v>103</v>
      </c>
      <c r="AC377">
        <f>_xlfn.XLOOKUP(AB377,'[1]GST Codes'!$A:$A,'[1]GST Codes'!$C:$C,0,0)</f>
        <v>18</v>
      </c>
      <c r="AD377">
        <f t="shared" si="11"/>
        <v>1362900</v>
      </c>
      <c r="AE377" t="s">
        <v>13</v>
      </c>
      <c r="AF377" t="s">
        <v>0</v>
      </c>
      <c r="AG377" t="s">
        <v>14</v>
      </c>
      <c r="AH377" t="s">
        <v>15</v>
      </c>
      <c r="AI377" t="s">
        <v>16</v>
      </c>
      <c r="AJ377" t="s">
        <v>17</v>
      </c>
      <c r="AK377" t="s">
        <v>18</v>
      </c>
      <c r="AL377" t="s">
        <v>19</v>
      </c>
      <c r="AM377" t="s">
        <v>343</v>
      </c>
      <c r="AN377" t="s">
        <v>0</v>
      </c>
      <c r="AO377" t="s">
        <v>0</v>
      </c>
      <c r="AP377" t="s">
        <v>0</v>
      </c>
      <c r="AQ377" s="5">
        <v>20</v>
      </c>
      <c r="AR377" t="s">
        <v>11</v>
      </c>
      <c r="AS377" t="s">
        <v>0</v>
      </c>
      <c r="AT377" t="s">
        <v>17</v>
      </c>
      <c r="AU377" s="4">
        <v>0</v>
      </c>
      <c r="AV377" s="4">
        <v>0</v>
      </c>
      <c r="AW377" s="4">
        <v>0</v>
      </c>
      <c r="AX377" s="4">
        <v>0</v>
      </c>
      <c r="AY377" s="5">
        <v>0</v>
      </c>
      <c r="AZ377" s="5">
        <v>0</v>
      </c>
      <c r="BA377" s="5">
        <v>0</v>
      </c>
      <c r="BB377" s="2"/>
      <c r="BC377" t="s">
        <v>0</v>
      </c>
      <c r="BD377" s="5">
        <v>1</v>
      </c>
      <c r="BE377" t="s">
        <v>0</v>
      </c>
      <c r="BF377" t="s">
        <v>347</v>
      </c>
      <c r="BG377" t="s">
        <v>17</v>
      </c>
      <c r="BH377" t="s">
        <v>0</v>
      </c>
      <c r="BI377" t="s">
        <v>11</v>
      </c>
      <c r="BJ377" t="s">
        <v>0</v>
      </c>
      <c r="BK377" t="s">
        <v>0</v>
      </c>
      <c r="BL377" s="5">
        <v>0</v>
      </c>
      <c r="BM377" t="s">
        <v>0</v>
      </c>
      <c r="BN377" t="s">
        <v>0</v>
      </c>
      <c r="BO377" t="s">
        <v>0</v>
      </c>
      <c r="BP377" t="s">
        <v>17</v>
      </c>
      <c r="BQ377" t="s">
        <v>0</v>
      </c>
      <c r="BR377" t="s">
        <v>17</v>
      </c>
      <c r="BS377" t="s">
        <v>17</v>
      </c>
      <c r="BT377" t="s">
        <v>0</v>
      </c>
      <c r="BU377" t="s">
        <v>0</v>
      </c>
      <c r="BV377" t="s">
        <v>0</v>
      </c>
      <c r="BW377" t="s">
        <v>0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</row>
    <row r="378" spans="1:80" x14ac:dyDescent="0.25">
      <c r="A378" t="s">
        <v>353</v>
      </c>
      <c r="B378" s="2">
        <v>45764</v>
      </c>
      <c r="C378" s="2"/>
      <c r="D378" s="2"/>
      <c r="E378" t="s">
        <v>2</v>
      </c>
      <c r="F378" t="s">
        <v>82</v>
      </c>
      <c r="G378" t="s">
        <v>98</v>
      </c>
      <c r="H378" t="s">
        <v>4</v>
      </c>
      <c r="I378" t="s">
        <v>343</v>
      </c>
      <c r="J378" t="s">
        <v>6</v>
      </c>
      <c r="K378" t="s">
        <v>177</v>
      </c>
      <c r="L378" t="s">
        <v>39</v>
      </c>
      <c r="M378" t="s">
        <v>40</v>
      </c>
      <c r="N378" t="s">
        <v>10</v>
      </c>
      <c r="O378" t="s">
        <v>0</v>
      </c>
      <c r="P378" t="s">
        <v>11</v>
      </c>
      <c r="Q378" s="5">
        <v>15</v>
      </c>
      <c r="R378" s="4">
        <v>57750</v>
      </c>
      <c r="S378" s="5">
        <v>1</v>
      </c>
      <c r="T378" s="4">
        <v>866250</v>
      </c>
      <c r="U378" s="5">
        <v>0</v>
      </c>
      <c r="V378" s="4">
        <v>0</v>
      </c>
      <c r="W378" s="5">
        <v>0</v>
      </c>
      <c r="X378" s="4">
        <v>0</v>
      </c>
      <c r="Y378" s="4">
        <f t="shared" si="10"/>
        <v>866250</v>
      </c>
      <c r="Z378" t="s">
        <v>0</v>
      </c>
      <c r="AA378" t="s">
        <v>2</v>
      </c>
      <c r="AB378" t="s">
        <v>103</v>
      </c>
      <c r="AC378">
        <f>_xlfn.XLOOKUP(AB378,'[1]GST Codes'!$A:$A,'[1]GST Codes'!$C:$C,0,0)</f>
        <v>18</v>
      </c>
      <c r="AD378">
        <f t="shared" si="11"/>
        <v>1022175</v>
      </c>
      <c r="AE378" t="s">
        <v>13</v>
      </c>
      <c r="AF378" t="s">
        <v>0</v>
      </c>
      <c r="AG378" t="s">
        <v>14</v>
      </c>
      <c r="AH378" t="s">
        <v>15</v>
      </c>
      <c r="AI378" t="s">
        <v>16</v>
      </c>
      <c r="AJ378" t="s">
        <v>17</v>
      </c>
      <c r="AK378" t="s">
        <v>18</v>
      </c>
      <c r="AL378" t="s">
        <v>19</v>
      </c>
      <c r="AM378" t="s">
        <v>343</v>
      </c>
      <c r="AN378" t="s">
        <v>0</v>
      </c>
      <c r="AO378" t="s">
        <v>0</v>
      </c>
      <c r="AP378" t="s">
        <v>0</v>
      </c>
      <c r="AQ378" s="5">
        <v>15</v>
      </c>
      <c r="AR378" t="s">
        <v>11</v>
      </c>
      <c r="AS378" t="s">
        <v>0</v>
      </c>
      <c r="AT378" t="s">
        <v>17</v>
      </c>
      <c r="AU378" s="4">
        <v>0</v>
      </c>
      <c r="AV378" s="4">
        <v>0</v>
      </c>
      <c r="AW378" s="4">
        <v>0</v>
      </c>
      <c r="AX378" s="4">
        <v>0</v>
      </c>
      <c r="AY378" s="5">
        <v>0</v>
      </c>
      <c r="AZ378" s="5">
        <v>0</v>
      </c>
      <c r="BA378" s="5">
        <v>0</v>
      </c>
      <c r="BB378" s="2"/>
      <c r="BC378" t="s">
        <v>0</v>
      </c>
      <c r="BD378" s="5">
        <v>1</v>
      </c>
      <c r="BE378" t="s">
        <v>0</v>
      </c>
      <c r="BF378" t="s">
        <v>347</v>
      </c>
      <c r="BG378" t="s">
        <v>17</v>
      </c>
      <c r="BH378" t="s">
        <v>0</v>
      </c>
      <c r="BI378" t="s">
        <v>11</v>
      </c>
      <c r="BJ378" t="s">
        <v>0</v>
      </c>
      <c r="BK378" t="s">
        <v>0</v>
      </c>
      <c r="BL378" s="5">
        <v>0</v>
      </c>
      <c r="BM378" t="s">
        <v>0</v>
      </c>
      <c r="BN378" t="s">
        <v>0</v>
      </c>
      <c r="BO378" t="s">
        <v>0</v>
      </c>
      <c r="BP378" t="s">
        <v>17</v>
      </c>
      <c r="BQ378" t="s">
        <v>0</v>
      </c>
      <c r="BR378" t="s">
        <v>17</v>
      </c>
      <c r="BS378" t="s">
        <v>17</v>
      </c>
      <c r="BT378" t="s">
        <v>0</v>
      </c>
      <c r="BU378" t="s">
        <v>0</v>
      </c>
      <c r="BV378" t="s">
        <v>0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</row>
    <row r="379" spans="1:80" x14ac:dyDescent="0.25">
      <c r="A379" t="s">
        <v>353</v>
      </c>
      <c r="B379" s="2">
        <v>45764</v>
      </c>
      <c r="C379" s="2"/>
      <c r="D379" s="2"/>
      <c r="E379" t="s">
        <v>2</v>
      </c>
      <c r="F379" t="s">
        <v>82</v>
      </c>
      <c r="G379" t="s">
        <v>98</v>
      </c>
      <c r="H379" t="s">
        <v>4</v>
      </c>
      <c r="I379" t="s">
        <v>343</v>
      </c>
      <c r="J379" t="s">
        <v>6</v>
      </c>
      <c r="K379" t="s">
        <v>181</v>
      </c>
      <c r="L379" t="s">
        <v>39</v>
      </c>
      <c r="M379" t="s">
        <v>40</v>
      </c>
      <c r="N379" t="s">
        <v>10</v>
      </c>
      <c r="O379" t="s">
        <v>0</v>
      </c>
      <c r="P379" t="s">
        <v>11</v>
      </c>
      <c r="Q379" s="5">
        <v>15</v>
      </c>
      <c r="R379" s="4">
        <v>57750</v>
      </c>
      <c r="S379" s="5">
        <v>1</v>
      </c>
      <c r="T379" s="4">
        <v>866250</v>
      </c>
      <c r="U379" s="5">
        <v>0</v>
      </c>
      <c r="V379" s="4">
        <v>0</v>
      </c>
      <c r="W379" s="5">
        <v>0</v>
      </c>
      <c r="X379" s="4">
        <v>0</v>
      </c>
      <c r="Y379" s="4">
        <f t="shared" si="10"/>
        <v>866250</v>
      </c>
      <c r="Z379" t="s">
        <v>0</v>
      </c>
      <c r="AA379" t="s">
        <v>2</v>
      </c>
      <c r="AB379" t="s">
        <v>103</v>
      </c>
      <c r="AC379">
        <f>_xlfn.XLOOKUP(AB379,'[1]GST Codes'!$A:$A,'[1]GST Codes'!$C:$C,0,0)</f>
        <v>18</v>
      </c>
      <c r="AD379">
        <f t="shared" si="11"/>
        <v>1022175</v>
      </c>
      <c r="AE379" t="s">
        <v>13</v>
      </c>
      <c r="AF379" t="s">
        <v>0</v>
      </c>
      <c r="AG379" t="s">
        <v>14</v>
      </c>
      <c r="AH379" t="s">
        <v>15</v>
      </c>
      <c r="AI379" t="s">
        <v>16</v>
      </c>
      <c r="AJ379" t="s">
        <v>17</v>
      </c>
      <c r="AK379" t="s">
        <v>18</v>
      </c>
      <c r="AL379" t="s">
        <v>19</v>
      </c>
      <c r="AM379" t="s">
        <v>343</v>
      </c>
      <c r="AN379" t="s">
        <v>0</v>
      </c>
      <c r="AO379" t="s">
        <v>0</v>
      </c>
      <c r="AP379" t="s">
        <v>0</v>
      </c>
      <c r="AQ379" s="5">
        <v>15</v>
      </c>
      <c r="AR379" t="s">
        <v>11</v>
      </c>
      <c r="AS379" t="s">
        <v>0</v>
      </c>
      <c r="AT379" t="s">
        <v>17</v>
      </c>
      <c r="AU379" s="4">
        <v>0</v>
      </c>
      <c r="AV379" s="4">
        <v>0</v>
      </c>
      <c r="AW379" s="4">
        <v>0</v>
      </c>
      <c r="AX379" s="4">
        <v>0</v>
      </c>
      <c r="AY379" s="5">
        <v>0</v>
      </c>
      <c r="AZ379" s="5">
        <v>0</v>
      </c>
      <c r="BA379" s="5">
        <v>0</v>
      </c>
      <c r="BB379" s="2"/>
      <c r="BC379" t="s">
        <v>0</v>
      </c>
      <c r="BD379" s="5">
        <v>1</v>
      </c>
      <c r="BE379" t="s">
        <v>0</v>
      </c>
      <c r="BF379" t="s">
        <v>347</v>
      </c>
      <c r="BG379" t="s">
        <v>17</v>
      </c>
      <c r="BH379" t="s">
        <v>0</v>
      </c>
      <c r="BI379" t="s">
        <v>11</v>
      </c>
      <c r="BJ379" t="s">
        <v>0</v>
      </c>
      <c r="BK379" t="s">
        <v>0</v>
      </c>
      <c r="BL379" s="5">
        <v>0</v>
      </c>
      <c r="BM379" t="s">
        <v>0</v>
      </c>
      <c r="BN379" t="s">
        <v>0</v>
      </c>
      <c r="BO379" t="s">
        <v>0</v>
      </c>
      <c r="BP379" t="s">
        <v>17</v>
      </c>
      <c r="BQ379" t="s">
        <v>0</v>
      </c>
      <c r="BR379" t="s">
        <v>17</v>
      </c>
      <c r="BS379" t="s">
        <v>17</v>
      </c>
      <c r="BT379" t="s">
        <v>0</v>
      </c>
      <c r="BU379" t="s">
        <v>0</v>
      </c>
      <c r="BV379" t="s">
        <v>0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</row>
    <row r="380" spans="1:80" x14ac:dyDescent="0.25">
      <c r="A380" t="s">
        <v>353</v>
      </c>
      <c r="B380" s="2">
        <v>45764</v>
      </c>
      <c r="C380" s="2"/>
      <c r="D380" s="2"/>
      <c r="E380" t="s">
        <v>2</v>
      </c>
      <c r="F380" t="s">
        <v>82</v>
      </c>
      <c r="G380" t="s">
        <v>98</v>
      </c>
      <c r="H380" t="s">
        <v>4</v>
      </c>
      <c r="I380" t="s">
        <v>343</v>
      </c>
      <c r="J380" t="s">
        <v>6</v>
      </c>
      <c r="K380" t="s">
        <v>185</v>
      </c>
      <c r="L380" t="s">
        <v>43</v>
      </c>
      <c r="M380" t="s">
        <v>44</v>
      </c>
      <c r="N380" t="s">
        <v>10</v>
      </c>
      <c r="O380" t="s">
        <v>0</v>
      </c>
      <c r="P380" t="s">
        <v>11</v>
      </c>
      <c r="Q380" s="5">
        <v>10</v>
      </c>
      <c r="R380" s="4">
        <v>57750</v>
      </c>
      <c r="S380" s="5">
        <v>1</v>
      </c>
      <c r="T380" s="4">
        <v>577500</v>
      </c>
      <c r="U380" s="5">
        <v>0</v>
      </c>
      <c r="V380" s="4">
        <v>0</v>
      </c>
      <c r="W380" s="5">
        <v>0</v>
      </c>
      <c r="X380" s="4">
        <v>0</v>
      </c>
      <c r="Y380" s="4">
        <f t="shared" si="10"/>
        <v>577500</v>
      </c>
      <c r="Z380" t="s">
        <v>0</v>
      </c>
      <c r="AA380" t="s">
        <v>2</v>
      </c>
      <c r="AB380" t="s">
        <v>103</v>
      </c>
      <c r="AC380">
        <f>_xlfn.XLOOKUP(AB380,'[1]GST Codes'!$A:$A,'[1]GST Codes'!$C:$C,0,0)</f>
        <v>18</v>
      </c>
      <c r="AD380">
        <f t="shared" si="11"/>
        <v>681450</v>
      </c>
      <c r="AE380" t="s">
        <v>13</v>
      </c>
      <c r="AF380" t="s">
        <v>0</v>
      </c>
      <c r="AG380" t="s">
        <v>14</v>
      </c>
      <c r="AH380" t="s">
        <v>15</v>
      </c>
      <c r="AI380" t="s">
        <v>16</v>
      </c>
      <c r="AJ380" t="s">
        <v>17</v>
      </c>
      <c r="AK380" t="s">
        <v>18</v>
      </c>
      <c r="AL380" t="s">
        <v>19</v>
      </c>
      <c r="AM380" t="s">
        <v>343</v>
      </c>
      <c r="AN380" t="s">
        <v>0</v>
      </c>
      <c r="AO380" t="s">
        <v>0</v>
      </c>
      <c r="AP380" t="s">
        <v>0</v>
      </c>
      <c r="AQ380" s="5">
        <v>10</v>
      </c>
      <c r="AR380" t="s">
        <v>11</v>
      </c>
      <c r="AS380" t="s">
        <v>0</v>
      </c>
      <c r="AT380" t="s">
        <v>17</v>
      </c>
      <c r="AU380" s="4">
        <v>0</v>
      </c>
      <c r="AV380" s="4">
        <v>0</v>
      </c>
      <c r="AW380" s="4">
        <v>0</v>
      </c>
      <c r="AX380" s="4">
        <v>0</v>
      </c>
      <c r="AY380" s="5">
        <v>0</v>
      </c>
      <c r="AZ380" s="5">
        <v>0</v>
      </c>
      <c r="BA380" s="5">
        <v>0</v>
      </c>
      <c r="BB380" s="2"/>
      <c r="BC380" t="s">
        <v>0</v>
      </c>
      <c r="BD380" s="5">
        <v>1</v>
      </c>
      <c r="BE380" t="s">
        <v>0</v>
      </c>
      <c r="BF380" t="s">
        <v>349</v>
      </c>
      <c r="BG380" t="s">
        <v>17</v>
      </c>
      <c r="BH380" t="s">
        <v>0</v>
      </c>
      <c r="BI380" t="s">
        <v>11</v>
      </c>
      <c r="BJ380" t="s">
        <v>0</v>
      </c>
      <c r="BK380" t="s">
        <v>0</v>
      </c>
      <c r="BL380" s="5">
        <v>0</v>
      </c>
      <c r="BM380" t="s">
        <v>0</v>
      </c>
      <c r="BN380" t="s">
        <v>0</v>
      </c>
      <c r="BO380" t="s">
        <v>0</v>
      </c>
      <c r="BP380" t="s">
        <v>17</v>
      </c>
      <c r="BQ380" t="s">
        <v>0</v>
      </c>
      <c r="BR380" t="s">
        <v>17</v>
      </c>
      <c r="BS380" t="s">
        <v>17</v>
      </c>
      <c r="BT380" t="s">
        <v>0</v>
      </c>
      <c r="BU380" t="s">
        <v>0</v>
      </c>
      <c r="BV380" t="s">
        <v>0</v>
      </c>
      <c r="BW380" t="s">
        <v>0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</row>
    <row r="381" spans="1:80" ht="13.95" customHeight="1" x14ac:dyDescent="0.25">
      <c r="A381" t="s">
        <v>353</v>
      </c>
      <c r="B381" s="2">
        <v>45764</v>
      </c>
      <c r="C381" s="2"/>
      <c r="D381" s="2"/>
      <c r="E381" t="s">
        <v>2</v>
      </c>
      <c r="F381" t="s">
        <v>82</v>
      </c>
      <c r="G381" t="s">
        <v>0</v>
      </c>
      <c r="H381" t="s">
        <v>4</v>
      </c>
      <c r="I381" t="s">
        <v>343</v>
      </c>
      <c r="J381" t="s">
        <v>6</v>
      </c>
      <c r="K381" t="s">
        <v>189</v>
      </c>
      <c r="L381" t="s">
        <v>354</v>
      </c>
      <c r="M381" t="s">
        <v>338</v>
      </c>
      <c r="N381" t="s">
        <v>10</v>
      </c>
      <c r="O381" t="s">
        <v>0</v>
      </c>
      <c r="P381" t="s">
        <v>11</v>
      </c>
      <c r="Q381" s="5">
        <v>10</v>
      </c>
      <c r="R381" s="4">
        <v>57750</v>
      </c>
      <c r="S381" s="5">
        <v>1</v>
      </c>
      <c r="T381" s="4">
        <v>577500</v>
      </c>
      <c r="U381" s="5">
        <v>0</v>
      </c>
      <c r="V381" s="4">
        <v>0</v>
      </c>
      <c r="W381" s="5">
        <v>0</v>
      </c>
      <c r="X381" s="4">
        <v>0</v>
      </c>
      <c r="Y381" s="4">
        <f t="shared" si="10"/>
        <v>577500</v>
      </c>
      <c r="Z381" s="6" t="s">
        <v>0</v>
      </c>
      <c r="AA381" t="s">
        <v>2</v>
      </c>
      <c r="AB381" t="s">
        <v>103</v>
      </c>
      <c r="AC381">
        <f>_xlfn.XLOOKUP(AB381,'[1]GST Codes'!$A:$A,'[1]GST Codes'!$C:$C,0,0)</f>
        <v>18</v>
      </c>
      <c r="AD381">
        <f t="shared" si="11"/>
        <v>681450</v>
      </c>
      <c r="AE381" t="s">
        <v>13</v>
      </c>
      <c r="AF381" t="s">
        <v>0</v>
      </c>
      <c r="AG381" t="s">
        <v>14</v>
      </c>
      <c r="AH381" t="s">
        <v>15</v>
      </c>
      <c r="AI381" t="s">
        <v>16</v>
      </c>
      <c r="AJ381" t="s">
        <v>17</v>
      </c>
      <c r="AK381" t="s">
        <v>18</v>
      </c>
      <c r="AL381" t="s">
        <v>19</v>
      </c>
      <c r="AM381" t="s">
        <v>343</v>
      </c>
      <c r="AN381" t="s">
        <v>0</v>
      </c>
      <c r="AO381" t="s">
        <v>0</v>
      </c>
      <c r="AP381" t="s">
        <v>0</v>
      </c>
      <c r="AQ381" s="5">
        <v>10</v>
      </c>
      <c r="AR381" t="s">
        <v>11</v>
      </c>
      <c r="AS381" t="s">
        <v>0</v>
      </c>
      <c r="AT381" t="s">
        <v>17</v>
      </c>
      <c r="AU381" s="4">
        <v>0</v>
      </c>
      <c r="AV381" s="4">
        <v>0</v>
      </c>
      <c r="AW381" s="4">
        <v>0</v>
      </c>
      <c r="AX381" s="4">
        <v>0</v>
      </c>
      <c r="AY381" s="5">
        <v>0</v>
      </c>
      <c r="AZ381" s="5">
        <v>0</v>
      </c>
      <c r="BA381" s="5">
        <v>0</v>
      </c>
      <c r="BB381" s="2"/>
      <c r="BC381" t="s">
        <v>0</v>
      </c>
      <c r="BD381" s="5">
        <v>1</v>
      </c>
      <c r="BE381" t="s">
        <v>0</v>
      </c>
      <c r="BF381" t="s">
        <v>355</v>
      </c>
      <c r="BG381" t="s">
        <v>17</v>
      </c>
      <c r="BH381" t="s">
        <v>0</v>
      </c>
      <c r="BI381" t="s">
        <v>11</v>
      </c>
      <c r="BJ381" t="s">
        <v>0</v>
      </c>
      <c r="BK381" t="s">
        <v>0</v>
      </c>
      <c r="BL381" s="5">
        <v>0</v>
      </c>
      <c r="BM381" t="s">
        <v>0</v>
      </c>
      <c r="BN381" t="s">
        <v>0</v>
      </c>
      <c r="BO381" t="s">
        <v>0</v>
      </c>
      <c r="BP381" t="s">
        <v>17</v>
      </c>
      <c r="BQ381" t="s">
        <v>0</v>
      </c>
      <c r="BR381" t="s">
        <v>17</v>
      </c>
      <c r="BS381" t="s">
        <v>17</v>
      </c>
      <c r="BT381" t="s">
        <v>0</v>
      </c>
      <c r="BU381" t="s">
        <v>0</v>
      </c>
      <c r="BV381" t="s">
        <v>0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</row>
    <row r="382" spans="1:80" ht="13.95" customHeight="1" x14ac:dyDescent="0.25">
      <c r="A382" t="s">
        <v>353</v>
      </c>
      <c r="B382" s="2">
        <v>45764</v>
      </c>
      <c r="C382" s="2"/>
      <c r="D382" s="2"/>
      <c r="E382" t="s">
        <v>2</v>
      </c>
      <c r="F382" t="s">
        <v>82</v>
      </c>
      <c r="G382" t="s">
        <v>0</v>
      </c>
      <c r="H382" t="s">
        <v>4</v>
      </c>
      <c r="I382" t="s">
        <v>343</v>
      </c>
      <c r="J382" t="s">
        <v>6</v>
      </c>
      <c r="K382" t="s">
        <v>193</v>
      </c>
      <c r="L382" t="s">
        <v>354</v>
      </c>
      <c r="M382" t="s">
        <v>338</v>
      </c>
      <c r="N382" t="s">
        <v>10</v>
      </c>
      <c r="O382" t="s">
        <v>0</v>
      </c>
      <c r="P382" t="s">
        <v>11</v>
      </c>
      <c r="Q382" s="5">
        <v>8</v>
      </c>
      <c r="R382" s="4">
        <v>57750</v>
      </c>
      <c r="S382" s="5">
        <v>1</v>
      </c>
      <c r="T382" s="4">
        <v>462000</v>
      </c>
      <c r="U382" s="5">
        <v>0</v>
      </c>
      <c r="V382" s="4">
        <v>0</v>
      </c>
      <c r="W382" s="5">
        <v>0</v>
      </c>
      <c r="X382" s="4">
        <v>0</v>
      </c>
      <c r="Y382" s="4">
        <f t="shared" si="10"/>
        <v>462000</v>
      </c>
      <c r="Z382" s="6" t="s">
        <v>0</v>
      </c>
      <c r="AA382" t="s">
        <v>2</v>
      </c>
      <c r="AB382" t="s">
        <v>103</v>
      </c>
      <c r="AC382">
        <f>_xlfn.XLOOKUP(AB382,'[1]GST Codes'!$A:$A,'[1]GST Codes'!$C:$C,0,0)</f>
        <v>18</v>
      </c>
      <c r="AD382">
        <f t="shared" si="11"/>
        <v>545160</v>
      </c>
      <c r="AE382" t="s">
        <v>13</v>
      </c>
      <c r="AF382" t="s">
        <v>0</v>
      </c>
      <c r="AG382" t="s">
        <v>14</v>
      </c>
      <c r="AH382" t="s">
        <v>15</v>
      </c>
      <c r="AI382" t="s">
        <v>16</v>
      </c>
      <c r="AJ382" t="s">
        <v>17</v>
      </c>
      <c r="AK382" t="s">
        <v>18</v>
      </c>
      <c r="AL382" t="s">
        <v>19</v>
      </c>
      <c r="AM382" t="s">
        <v>343</v>
      </c>
      <c r="AN382" t="s">
        <v>0</v>
      </c>
      <c r="AO382" t="s">
        <v>0</v>
      </c>
      <c r="AP382" t="s">
        <v>0</v>
      </c>
      <c r="AQ382" s="5">
        <v>8</v>
      </c>
      <c r="AR382" t="s">
        <v>11</v>
      </c>
      <c r="AS382" t="s">
        <v>0</v>
      </c>
      <c r="AT382" t="s">
        <v>17</v>
      </c>
      <c r="AU382" s="4">
        <v>0</v>
      </c>
      <c r="AV382" s="4">
        <v>0</v>
      </c>
      <c r="AW382" s="4">
        <v>0</v>
      </c>
      <c r="AX382" s="4">
        <v>0</v>
      </c>
      <c r="AY382" s="5">
        <v>0</v>
      </c>
      <c r="AZ382" s="5">
        <v>0</v>
      </c>
      <c r="BA382" s="5">
        <v>0</v>
      </c>
      <c r="BB382" s="2"/>
      <c r="BC382" t="s">
        <v>0</v>
      </c>
      <c r="BD382" s="5">
        <v>1</v>
      </c>
      <c r="BE382" t="s">
        <v>0</v>
      </c>
      <c r="BF382" t="s">
        <v>355</v>
      </c>
      <c r="BG382" t="s">
        <v>17</v>
      </c>
      <c r="BH382" t="s">
        <v>0</v>
      </c>
      <c r="BI382" t="s">
        <v>11</v>
      </c>
      <c r="BJ382" t="s">
        <v>0</v>
      </c>
      <c r="BK382" t="s">
        <v>0</v>
      </c>
      <c r="BL382" s="5">
        <v>0</v>
      </c>
      <c r="BM382" t="s">
        <v>0</v>
      </c>
      <c r="BN382" t="s">
        <v>0</v>
      </c>
      <c r="BO382" t="s">
        <v>0</v>
      </c>
      <c r="BP382" t="s">
        <v>17</v>
      </c>
      <c r="BQ382" t="s">
        <v>0</v>
      </c>
      <c r="BR382" t="s">
        <v>17</v>
      </c>
      <c r="BS382" t="s">
        <v>17</v>
      </c>
      <c r="BT382" t="s">
        <v>0</v>
      </c>
      <c r="BU382" t="s">
        <v>0</v>
      </c>
      <c r="BV382" t="s">
        <v>0</v>
      </c>
      <c r="BW382" t="s">
        <v>0</v>
      </c>
      <c r="BX382" t="s">
        <v>0</v>
      </c>
      <c r="BY382" t="s">
        <v>0</v>
      </c>
      <c r="BZ382" t="s">
        <v>0</v>
      </c>
      <c r="CA382" t="s">
        <v>0</v>
      </c>
      <c r="CB382" t="s">
        <v>0</v>
      </c>
    </row>
    <row r="383" spans="1:80" ht="13.95" customHeight="1" x14ac:dyDescent="0.25">
      <c r="A383" t="s">
        <v>353</v>
      </c>
      <c r="B383" s="2">
        <v>45764</v>
      </c>
      <c r="C383" s="2"/>
      <c r="D383" s="2"/>
      <c r="E383" t="s">
        <v>2</v>
      </c>
      <c r="F383" t="s">
        <v>82</v>
      </c>
      <c r="G383" t="s">
        <v>0</v>
      </c>
      <c r="H383" t="s">
        <v>4</v>
      </c>
      <c r="I383" t="s">
        <v>343</v>
      </c>
      <c r="J383" t="s">
        <v>6</v>
      </c>
      <c r="K383" t="s">
        <v>197</v>
      </c>
      <c r="L383" t="s">
        <v>354</v>
      </c>
      <c r="M383" t="s">
        <v>338</v>
      </c>
      <c r="N383" t="s">
        <v>10</v>
      </c>
      <c r="O383" t="s">
        <v>0</v>
      </c>
      <c r="P383" t="s">
        <v>11</v>
      </c>
      <c r="Q383" s="5">
        <v>8</v>
      </c>
      <c r="R383" s="4">
        <v>57750</v>
      </c>
      <c r="S383" s="5">
        <v>1</v>
      </c>
      <c r="T383" s="4">
        <v>462000</v>
      </c>
      <c r="U383" s="5">
        <v>0</v>
      </c>
      <c r="V383" s="4">
        <v>0</v>
      </c>
      <c r="W383" s="5">
        <v>0</v>
      </c>
      <c r="X383" s="4">
        <v>0</v>
      </c>
      <c r="Y383" s="4">
        <f t="shared" si="10"/>
        <v>462000</v>
      </c>
      <c r="Z383" s="6" t="s">
        <v>0</v>
      </c>
      <c r="AA383" t="s">
        <v>2</v>
      </c>
      <c r="AB383" t="s">
        <v>103</v>
      </c>
      <c r="AC383">
        <f>_xlfn.XLOOKUP(AB383,'[1]GST Codes'!$A:$A,'[1]GST Codes'!$C:$C,0,0)</f>
        <v>18</v>
      </c>
      <c r="AD383">
        <f t="shared" si="11"/>
        <v>545160</v>
      </c>
      <c r="AE383" t="s">
        <v>13</v>
      </c>
      <c r="AF383" t="s">
        <v>0</v>
      </c>
      <c r="AG383" t="s">
        <v>14</v>
      </c>
      <c r="AH383" t="s">
        <v>15</v>
      </c>
      <c r="AI383" t="s">
        <v>16</v>
      </c>
      <c r="AJ383" t="s">
        <v>17</v>
      </c>
      <c r="AK383" t="s">
        <v>18</v>
      </c>
      <c r="AL383" t="s">
        <v>19</v>
      </c>
      <c r="AM383" t="s">
        <v>343</v>
      </c>
      <c r="AN383" t="s">
        <v>0</v>
      </c>
      <c r="AO383" t="s">
        <v>0</v>
      </c>
      <c r="AP383" t="s">
        <v>0</v>
      </c>
      <c r="AQ383" s="5">
        <v>8</v>
      </c>
      <c r="AR383" t="s">
        <v>11</v>
      </c>
      <c r="AS383" t="s">
        <v>0</v>
      </c>
      <c r="AT383" t="s">
        <v>17</v>
      </c>
      <c r="AU383" s="4">
        <v>0</v>
      </c>
      <c r="AV383" s="4">
        <v>0</v>
      </c>
      <c r="AW383" s="4">
        <v>0</v>
      </c>
      <c r="AX383" s="4">
        <v>0</v>
      </c>
      <c r="AY383" s="5">
        <v>0</v>
      </c>
      <c r="AZ383" s="5">
        <v>0</v>
      </c>
      <c r="BA383" s="5">
        <v>0</v>
      </c>
      <c r="BB383" s="2"/>
      <c r="BC383" t="s">
        <v>0</v>
      </c>
      <c r="BD383" s="5">
        <v>1</v>
      </c>
      <c r="BE383" t="s">
        <v>0</v>
      </c>
      <c r="BF383" t="s">
        <v>355</v>
      </c>
      <c r="BG383" t="s">
        <v>17</v>
      </c>
      <c r="BH383" t="s">
        <v>0</v>
      </c>
      <c r="BI383" t="s">
        <v>11</v>
      </c>
      <c r="BJ383" t="s">
        <v>0</v>
      </c>
      <c r="BK383" t="s">
        <v>0</v>
      </c>
      <c r="BL383" s="5">
        <v>0</v>
      </c>
      <c r="BM383" t="s">
        <v>0</v>
      </c>
      <c r="BN383" t="s">
        <v>0</v>
      </c>
      <c r="BO383" t="s">
        <v>0</v>
      </c>
      <c r="BP383" t="s">
        <v>17</v>
      </c>
      <c r="BQ383" t="s">
        <v>0</v>
      </c>
      <c r="BR383" t="s">
        <v>17</v>
      </c>
      <c r="BS383" t="s">
        <v>17</v>
      </c>
      <c r="BT383" t="s">
        <v>0</v>
      </c>
      <c r="BU383" t="s">
        <v>0</v>
      </c>
      <c r="BV383" t="s">
        <v>0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</row>
    <row r="384" spans="1:80" ht="13.95" customHeight="1" x14ac:dyDescent="0.25">
      <c r="A384" t="s">
        <v>353</v>
      </c>
      <c r="B384" s="2">
        <v>45764</v>
      </c>
      <c r="C384" s="2"/>
      <c r="D384" s="2"/>
      <c r="E384" t="s">
        <v>2</v>
      </c>
      <c r="F384" t="s">
        <v>82</v>
      </c>
      <c r="G384" t="s">
        <v>0</v>
      </c>
      <c r="H384" t="s">
        <v>4</v>
      </c>
      <c r="I384" t="s">
        <v>343</v>
      </c>
      <c r="J384" t="s">
        <v>6</v>
      </c>
      <c r="K384" t="s">
        <v>201</v>
      </c>
      <c r="L384" t="s">
        <v>354</v>
      </c>
      <c r="M384" t="s">
        <v>338</v>
      </c>
      <c r="N384" t="s">
        <v>10</v>
      </c>
      <c r="O384" t="s">
        <v>0</v>
      </c>
      <c r="P384" t="s">
        <v>11</v>
      </c>
      <c r="Q384" s="5">
        <v>8</v>
      </c>
      <c r="R384" s="4">
        <v>57750</v>
      </c>
      <c r="S384" s="5">
        <v>1</v>
      </c>
      <c r="T384" s="4">
        <v>462000</v>
      </c>
      <c r="U384" s="5">
        <v>0</v>
      </c>
      <c r="V384" s="4">
        <v>0</v>
      </c>
      <c r="W384" s="5">
        <v>0</v>
      </c>
      <c r="X384" s="4">
        <v>0</v>
      </c>
      <c r="Y384" s="4">
        <f t="shared" si="10"/>
        <v>462000</v>
      </c>
      <c r="Z384" s="6" t="s">
        <v>0</v>
      </c>
      <c r="AA384" t="s">
        <v>2</v>
      </c>
      <c r="AB384" t="s">
        <v>103</v>
      </c>
      <c r="AC384">
        <f>_xlfn.XLOOKUP(AB384,'[1]GST Codes'!$A:$A,'[1]GST Codes'!$C:$C,0,0)</f>
        <v>18</v>
      </c>
      <c r="AD384">
        <f t="shared" si="11"/>
        <v>545160</v>
      </c>
      <c r="AE384" t="s">
        <v>13</v>
      </c>
      <c r="AF384" t="s">
        <v>0</v>
      </c>
      <c r="AG384" t="s">
        <v>14</v>
      </c>
      <c r="AH384" t="s">
        <v>15</v>
      </c>
      <c r="AI384" t="s">
        <v>16</v>
      </c>
      <c r="AJ384" t="s">
        <v>17</v>
      </c>
      <c r="AK384" t="s">
        <v>18</v>
      </c>
      <c r="AL384" t="s">
        <v>19</v>
      </c>
      <c r="AM384" t="s">
        <v>343</v>
      </c>
      <c r="AN384" t="s">
        <v>0</v>
      </c>
      <c r="AO384" t="s">
        <v>0</v>
      </c>
      <c r="AP384" t="s">
        <v>0</v>
      </c>
      <c r="AQ384" s="5">
        <v>8</v>
      </c>
      <c r="AR384" t="s">
        <v>11</v>
      </c>
      <c r="AS384" t="s">
        <v>0</v>
      </c>
      <c r="AT384" t="s">
        <v>17</v>
      </c>
      <c r="AU384" s="4">
        <v>0</v>
      </c>
      <c r="AV384" s="4">
        <v>0</v>
      </c>
      <c r="AW384" s="4">
        <v>0</v>
      </c>
      <c r="AX384" s="4">
        <v>0</v>
      </c>
      <c r="AY384" s="5">
        <v>0</v>
      </c>
      <c r="AZ384" s="5">
        <v>0</v>
      </c>
      <c r="BA384" s="5">
        <v>0</v>
      </c>
      <c r="BB384" s="2"/>
      <c r="BC384" t="s">
        <v>0</v>
      </c>
      <c r="BD384" s="5">
        <v>1</v>
      </c>
      <c r="BE384" t="s">
        <v>0</v>
      </c>
      <c r="BF384" t="s">
        <v>355</v>
      </c>
      <c r="BG384" t="s">
        <v>17</v>
      </c>
      <c r="BH384" t="s">
        <v>0</v>
      </c>
      <c r="BI384" t="s">
        <v>11</v>
      </c>
      <c r="BJ384" t="s">
        <v>0</v>
      </c>
      <c r="BK384" t="s">
        <v>0</v>
      </c>
      <c r="BL384" s="5">
        <v>0</v>
      </c>
      <c r="BM384" t="s">
        <v>0</v>
      </c>
      <c r="BN384" t="s">
        <v>0</v>
      </c>
      <c r="BO384" t="s">
        <v>0</v>
      </c>
      <c r="BP384" t="s">
        <v>17</v>
      </c>
      <c r="BQ384" t="s">
        <v>0</v>
      </c>
      <c r="BR384" t="s">
        <v>17</v>
      </c>
      <c r="BS384" t="s">
        <v>17</v>
      </c>
      <c r="BT384" t="s">
        <v>0</v>
      </c>
      <c r="BU384" t="s">
        <v>0</v>
      </c>
      <c r="BV384" t="s">
        <v>0</v>
      </c>
      <c r="BW384" t="s">
        <v>0</v>
      </c>
      <c r="BX384" t="s">
        <v>0</v>
      </c>
      <c r="BY384" t="s">
        <v>0</v>
      </c>
      <c r="BZ384" t="s">
        <v>0</v>
      </c>
      <c r="CA384" t="s">
        <v>0</v>
      </c>
      <c r="CB384" t="s">
        <v>0</v>
      </c>
    </row>
    <row r="385" spans="1:80" ht="13.95" customHeight="1" x14ac:dyDescent="0.25">
      <c r="A385" t="s">
        <v>353</v>
      </c>
      <c r="B385" s="2">
        <v>45764</v>
      </c>
      <c r="C385" s="2"/>
      <c r="D385" s="2"/>
      <c r="E385" t="s">
        <v>2</v>
      </c>
      <c r="F385" t="s">
        <v>82</v>
      </c>
      <c r="G385" t="s">
        <v>0</v>
      </c>
      <c r="H385" t="s">
        <v>4</v>
      </c>
      <c r="I385" t="s">
        <v>343</v>
      </c>
      <c r="J385" t="s">
        <v>6</v>
      </c>
      <c r="K385" t="s">
        <v>205</v>
      </c>
      <c r="L385" t="s">
        <v>354</v>
      </c>
      <c r="M385" t="s">
        <v>338</v>
      </c>
      <c r="N385" t="s">
        <v>10</v>
      </c>
      <c r="O385" t="s">
        <v>0</v>
      </c>
      <c r="P385" t="s">
        <v>11</v>
      </c>
      <c r="Q385" s="3">
        <v>6.14</v>
      </c>
      <c r="R385" s="4">
        <v>57750</v>
      </c>
      <c r="S385" s="5">
        <v>1</v>
      </c>
      <c r="T385" s="4">
        <v>354585</v>
      </c>
      <c r="U385" s="5">
        <v>0</v>
      </c>
      <c r="V385" s="4">
        <v>0</v>
      </c>
      <c r="W385" s="5">
        <v>0</v>
      </c>
      <c r="X385" s="4">
        <v>0</v>
      </c>
      <c r="Y385" s="4">
        <f t="shared" si="10"/>
        <v>354585</v>
      </c>
      <c r="Z385" s="6" t="s">
        <v>0</v>
      </c>
      <c r="AA385" t="s">
        <v>2</v>
      </c>
      <c r="AB385" t="s">
        <v>103</v>
      </c>
      <c r="AC385">
        <f>_xlfn.XLOOKUP(AB385,'[1]GST Codes'!$A:$A,'[1]GST Codes'!$C:$C,0,0)</f>
        <v>18</v>
      </c>
      <c r="AD385">
        <f t="shared" si="11"/>
        <v>418410.3</v>
      </c>
      <c r="AE385" t="s">
        <v>13</v>
      </c>
      <c r="AF385" t="s">
        <v>0</v>
      </c>
      <c r="AG385" t="s">
        <v>14</v>
      </c>
      <c r="AH385" t="s">
        <v>15</v>
      </c>
      <c r="AI385" t="s">
        <v>16</v>
      </c>
      <c r="AJ385" t="s">
        <v>17</v>
      </c>
      <c r="AK385" t="s">
        <v>18</v>
      </c>
      <c r="AL385" t="s">
        <v>19</v>
      </c>
      <c r="AM385" t="s">
        <v>343</v>
      </c>
      <c r="AN385" t="s">
        <v>0</v>
      </c>
      <c r="AO385" t="s">
        <v>0</v>
      </c>
      <c r="AP385" t="s">
        <v>0</v>
      </c>
      <c r="AQ385" s="3">
        <v>6.14</v>
      </c>
      <c r="AR385" t="s">
        <v>11</v>
      </c>
      <c r="AS385" t="s">
        <v>0</v>
      </c>
      <c r="AT385" t="s">
        <v>17</v>
      </c>
      <c r="AU385" s="4">
        <v>0</v>
      </c>
      <c r="AV385" s="4">
        <v>0</v>
      </c>
      <c r="AW385" s="4">
        <v>0</v>
      </c>
      <c r="AX385" s="4">
        <v>0</v>
      </c>
      <c r="AY385" s="5">
        <v>0</v>
      </c>
      <c r="AZ385" s="5">
        <v>0</v>
      </c>
      <c r="BA385" s="5">
        <v>0</v>
      </c>
      <c r="BB385" s="2"/>
      <c r="BC385" t="s">
        <v>0</v>
      </c>
      <c r="BD385" s="5">
        <v>1</v>
      </c>
      <c r="BE385" t="s">
        <v>0</v>
      </c>
      <c r="BF385" t="s">
        <v>355</v>
      </c>
      <c r="BG385" t="s">
        <v>17</v>
      </c>
      <c r="BH385" t="s">
        <v>0</v>
      </c>
      <c r="BI385" t="s">
        <v>11</v>
      </c>
      <c r="BJ385" t="s">
        <v>0</v>
      </c>
      <c r="BK385" t="s">
        <v>0</v>
      </c>
      <c r="BL385" s="5">
        <v>0</v>
      </c>
      <c r="BM385" t="s">
        <v>0</v>
      </c>
      <c r="BN385" t="s">
        <v>0</v>
      </c>
      <c r="BO385" t="s">
        <v>0</v>
      </c>
      <c r="BP385" t="s">
        <v>17</v>
      </c>
      <c r="BQ385" t="s">
        <v>0</v>
      </c>
      <c r="BR385" t="s">
        <v>17</v>
      </c>
      <c r="BS385" t="s">
        <v>17</v>
      </c>
      <c r="BT385" t="s">
        <v>0</v>
      </c>
      <c r="BU385" t="s">
        <v>0</v>
      </c>
      <c r="BV385" t="s">
        <v>0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</row>
    <row r="386" spans="1:80" ht="13.95" customHeight="1" x14ac:dyDescent="0.25">
      <c r="A386" t="s">
        <v>356</v>
      </c>
      <c r="B386" s="2">
        <v>45806</v>
      </c>
      <c r="C386" s="2">
        <v>45806</v>
      </c>
      <c r="D386" s="2">
        <v>45837</v>
      </c>
      <c r="E386" t="s">
        <v>2</v>
      </c>
      <c r="F386" t="s">
        <v>3</v>
      </c>
      <c r="G386" t="s">
        <v>0</v>
      </c>
      <c r="H386" t="s">
        <v>4</v>
      </c>
      <c r="I386" t="s">
        <v>343</v>
      </c>
      <c r="J386" t="s">
        <v>6</v>
      </c>
      <c r="K386" t="s">
        <v>7</v>
      </c>
      <c r="L386" t="s">
        <v>354</v>
      </c>
      <c r="M386" t="s">
        <v>338</v>
      </c>
      <c r="N386" t="s">
        <v>10</v>
      </c>
      <c r="O386" t="s">
        <v>0</v>
      </c>
      <c r="P386" t="s">
        <v>11</v>
      </c>
      <c r="Q386" s="5">
        <v>12</v>
      </c>
      <c r="R386" s="4">
        <v>54850</v>
      </c>
      <c r="S386" s="5">
        <v>1</v>
      </c>
      <c r="T386" s="4">
        <v>658200</v>
      </c>
      <c r="U386" s="5">
        <v>0</v>
      </c>
      <c r="V386" s="4">
        <v>0</v>
      </c>
      <c r="W386" s="5">
        <v>0</v>
      </c>
      <c r="X386" s="4">
        <v>0</v>
      </c>
      <c r="Y386" s="4">
        <f t="shared" si="10"/>
        <v>658200</v>
      </c>
      <c r="Z386" s="6" t="s">
        <v>0</v>
      </c>
      <c r="AA386" t="s">
        <v>2</v>
      </c>
      <c r="AB386" t="s">
        <v>103</v>
      </c>
      <c r="AC386">
        <f>_xlfn.XLOOKUP(AB386,'[1]GST Codes'!$A:$A,'[1]GST Codes'!$C:$C,0,0)</f>
        <v>18</v>
      </c>
      <c r="AD386">
        <f t="shared" si="11"/>
        <v>776676</v>
      </c>
      <c r="AE386" t="s">
        <v>13</v>
      </c>
      <c r="AF386" t="s">
        <v>0</v>
      </c>
      <c r="AG386" t="s">
        <v>14</v>
      </c>
      <c r="AH386" t="s">
        <v>15</v>
      </c>
      <c r="AI386" t="s">
        <v>16</v>
      </c>
      <c r="AJ386" t="s">
        <v>17</v>
      </c>
      <c r="AK386" t="s">
        <v>18</v>
      </c>
      <c r="AL386" t="s">
        <v>19</v>
      </c>
      <c r="AM386" t="s">
        <v>343</v>
      </c>
      <c r="AN386" t="s">
        <v>0</v>
      </c>
      <c r="AO386" t="s">
        <v>0</v>
      </c>
      <c r="AP386" t="s">
        <v>0</v>
      </c>
      <c r="AQ386" s="5">
        <v>12</v>
      </c>
      <c r="AR386" t="s">
        <v>11</v>
      </c>
      <c r="AS386" t="s">
        <v>0</v>
      </c>
      <c r="AT386" t="s">
        <v>17</v>
      </c>
      <c r="AU386" s="4">
        <v>0</v>
      </c>
      <c r="AV386" s="4">
        <v>0</v>
      </c>
      <c r="AW386" s="4">
        <v>0</v>
      </c>
      <c r="AX386" s="4">
        <v>0</v>
      </c>
      <c r="AY386" s="5">
        <v>0</v>
      </c>
      <c r="AZ386" s="5">
        <v>0</v>
      </c>
      <c r="BA386" s="5">
        <v>0</v>
      </c>
      <c r="BB386" s="2"/>
      <c r="BC386" t="s">
        <v>0</v>
      </c>
      <c r="BD386" s="5">
        <v>1</v>
      </c>
      <c r="BE386" t="s">
        <v>0</v>
      </c>
      <c r="BF386" t="s">
        <v>355</v>
      </c>
      <c r="BG386" t="s">
        <v>17</v>
      </c>
      <c r="BH386" t="s">
        <v>0</v>
      </c>
      <c r="BI386" t="s">
        <v>11</v>
      </c>
      <c r="BJ386" t="s">
        <v>0</v>
      </c>
      <c r="BK386" t="s">
        <v>0</v>
      </c>
      <c r="BL386" s="5">
        <v>0</v>
      </c>
      <c r="BM386" t="s">
        <v>0</v>
      </c>
      <c r="BN386" t="s">
        <v>0</v>
      </c>
      <c r="BO386" t="s">
        <v>0</v>
      </c>
      <c r="BP386" t="s">
        <v>17</v>
      </c>
      <c r="BQ386" t="s">
        <v>0</v>
      </c>
      <c r="BR386" t="s">
        <v>17</v>
      </c>
      <c r="BS386" t="s">
        <v>17</v>
      </c>
      <c r="BT386" t="s">
        <v>0</v>
      </c>
      <c r="BU386" t="s">
        <v>0</v>
      </c>
      <c r="BV386" t="s">
        <v>0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</row>
    <row r="387" spans="1:80" ht="13.95" customHeight="1" x14ac:dyDescent="0.25">
      <c r="A387" t="s">
        <v>356</v>
      </c>
      <c r="B387" s="2">
        <v>45806</v>
      </c>
      <c r="C387" s="2">
        <v>45806</v>
      </c>
      <c r="D387" s="2">
        <v>45837</v>
      </c>
      <c r="E387" t="s">
        <v>2</v>
      </c>
      <c r="F387" t="s">
        <v>3</v>
      </c>
      <c r="G387" t="s">
        <v>0</v>
      </c>
      <c r="H387" t="s">
        <v>4</v>
      </c>
      <c r="I387" t="s">
        <v>343</v>
      </c>
      <c r="J387" t="s">
        <v>6</v>
      </c>
      <c r="K387" t="s">
        <v>22</v>
      </c>
      <c r="L387" t="s">
        <v>354</v>
      </c>
      <c r="M387" t="s">
        <v>338</v>
      </c>
      <c r="N387" t="s">
        <v>10</v>
      </c>
      <c r="O387" t="s">
        <v>0</v>
      </c>
      <c r="P387" t="s">
        <v>11</v>
      </c>
      <c r="Q387" s="5">
        <v>12</v>
      </c>
      <c r="R387" s="4">
        <v>54850</v>
      </c>
      <c r="S387" s="5">
        <v>1</v>
      </c>
      <c r="T387" s="4">
        <v>658200</v>
      </c>
      <c r="U387" s="5">
        <v>0</v>
      </c>
      <c r="V387" s="4">
        <v>0</v>
      </c>
      <c r="W387" s="5">
        <v>0</v>
      </c>
      <c r="X387" s="4">
        <v>0</v>
      </c>
      <c r="Y387" s="4">
        <f t="shared" ref="Y387:Y450" si="12">T387-V387</f>
        <v>658200</v>
      </c>
      <c r="Z387" s="6" t="s">
        <v>0</v>
      </c>
      <c r="AA387" t="s">
        <v>2</v>
      </c>
      <c r="AB387" t="s">
        <v>103</v>
      </c>
      <c r="AC387">
        <f>_xlfn.XLOOKUP(AB387,'[1]GST Codes'!$A:$A,'[1]GST Codes'!$C:$C,0,0)</f>
        <v>18</v>
      </c>
      <c r="AD387">
        <f t="shared" ref="AD387:AD450" si="13">Y387+(Y387*AC387/100)</f>
        <v>776676</v>
      </c>
      <c r="AE387" t="s">
        <v>13</v>
      </c>
      <c r="AF387" t="s">
        <v>0</v>
      </c>
      <c r="AG387" t="s">
        <v>14</v>
      </c>
      <c r="AH387" t="s">
        <v>15</v>
      </c>
      <c r="AI387" t="s">
        <v>16</v>
      </c>
      <c r="AJ387" t="s">
        <v>17</v>
      </c>
      <c r="AK387" t="s">
        <v>18</v>
      </c>
      <c r="AL387" t="s">
        <v>19</v>
      </c>
      <c r="AM387" t="s">
        <v>343</v>
      </c>
      <c r="AN387" t="s">
        <v>0</v>
      </c>
      <c r="AO387" t="s">
        <v>0</v>
      </c>
      <c r="AP387" t="s">
        <v>0</v>
      </c>
      <c r="AQ387" s="5">
        <v>12</v>
      </c>
      <c r="AR387" t="s">
        <v>11</v>
      </c>
      <c r="AS387" t="s">
        <v>0</v>
      </c>
      <c r="AT387" t="s">
        <v>17</v>
      </c>
      <c r="AU387" s="4">
        <v>0</v>
      </c>
      <c r="AV387" s="4">
        <v>0</v>
      </c>
      <c r="AW387" s="4">
        <v>0</v>
      </c>
      <c r="AX387" s="4">
        <v>0</v>
      </c>
      <c r="AY387" s="5">
        <v>0</v>
      </c>
      <c r="AZ387" s="5">
        <v>0</v>
      </c>
      <c r="BA387" s="5">
        <v>0</v>
      </c>
      <c r="BB387" s="2"/>
      <c r="BC387" t="s">
        <v>0</v>
      </c>
      <c r="BD387" s="5">
        <v>1</v>
      </c>
      <c r="BE387" t="s">
        <v>0</v>
      </c>
      <c r="BF387" t="s">
        <v>355</v>
      </c>
      <c r="BG387" t="s">
        <v>17</v>
      </c>
      <c r="BH387" t="s">
        <v>0</v>
      </c>
      <c r="BI387" t="s">
        <v>11</v>
      </c>
      <c r="BJ387" t="s">
        <v>0</v>
      </c>
      <c r="BK387" t="s">
        <v>0</v>
      </c>
      <c r="BL387" s="5">
        <v>0</v>
      </c>
      <c r="BM387" t="s">
        <v>0</v>
      </c>
      <c r="BN387" t="s">
        <v>0</v>
      </c>
      <c r="BO387" t="s">
        <v>0</v>
      </c>
      <c r="BP387" t="s">
        <v>17</v>
      </c>
      <c r="BQ387" t="s">
        <v>0</v>
      </c>
      <c r="BR387" t="s">
        <v>17</v>
      </c>
      <c r="BS387" t="s">
        <v>17</v>
      </c>
      <c r="BT387" t="s">
        <v>0</v>
      </c>
      <c r="BU387" t="s">
        <v>0</v>
      </c>
      <c r="BV387" t="s">
        <v>0</v>
      </c>
      <c r="BW387" t="s">
        <v>0</v>
      </c>
      <c r="BX387" t="s">
        <v>0</v>
      </c>
      <c r="BY387" t="s">
        <v>0</v>
      </c>
      <c r="BZ387" t="s">
        <v>0</v>
      </c>
      <c r="CA387" t="s">
        <v>0</v>
      </c>
      <c r="CB387" t="s">
        <v>0</v>
      </c>
    </row>
    <row r="388" spans="1:80" ht="13.95" customHeight="1" x14ac:dyDescent="0.25">
      <c r="A388" t="s">
        <v>356</v>
      </c>
      <c r="B388" s="2">
        <v>45806</v>
      </c>
      <c r="C388" s="2">
        <v>45806</v>
      </c>
      <c r="D388" s="2">
        <v>45837</v>
      </c>
      <c r="E388" t="s">
        <v>2</v>
      </c>
      <c r="F388" t="s">
        <v>3</v>
      </c>
      <c r="G388" t="s">
        <v>0</v>
      </c>
      <c r="H388" t="s">
        <v>4</v>
      </c>
      <c r="I388" t="s">
        <v>343</v>
      </c>
      <c r="J388" t="s">
        <v>6</v>
      </c>
      <c r="K388" t="s">
        <v>26</v>
      </c>
      <c r="L388" t="s">
        <v>354</v>
      </c>
      <c r="M388" t="s">
        <v>338</v>
      </c>
      <c r="N388" t="s">
        <v>10</v>
      </c>
      <c r="O388" t="s">
        <v>0</v>
      </c>
      <c r="P388" t="s">
        <v>11</v>
      </c>
      <c r="Q388" s="5">
        <v>12</v>
      </c>
      <c r="R388" s="4">
        <v>54850</v>
      </c>
      <c r="S388" s="5">
        <v>1</v>
      </c>
      <c r="T388" s="4">
        <v>658200</v>
      </c>
      <c r="U388" s="5">
        <v>0</v>
      </c>
      <c r="V388" s="4">
        <v>0</v>
      </c>
      <c r="W388" s="5">
        <v>0</v>
      </c>
      <c r="X388" s="4">
        <v>0</v>
      </c>
      <c r="Y388" s="4">
        <f t="shared" si="12"/>
        <v>658200</v>
      </c>
      <c r="Z388" s="6" t="s">
        <v>0</v>
      </c>
      <c r="AA388" t="s">
        <v>2</v>
      </c>
      <c r="AB388" t="s">
        <v>103</v>
      </c>
      <c r="AC388">
        <f>_xlfn.XLOOKUP(AB388,'[1]GST Codes'!$A:$A,'[1]GST Codes'!$C:$C,0,0)</f>
        <v>18</v>
      </c>
      <c r="AD388">
        <f t="shared" si="13"/>
        <v>776676</v>
      </c>
      <c r="AE388" t="s">
        <v>13</v>
      </c>
      <c r="AF388" t="s">
        <v>0</v>
      </c>
      <c r="AG388" t="s">
        <v>14</v>
      </c>
      <c r="AH388" t="s">
        <v>15</v>
      </c>
      <c r="AI388" t="s">
        <v>16</v>
      </c>
      <c r="AJ388" t="s">
        <v>17</v>
      </c>
      <c r="AK388" t="s">
        <v>18</v>
      </c>
      <c r="AL388" t="s">
        <v>19</v>
      </c>
      <c r="AM388" t="s">
        <v>343</v>
      </c>
      <c r="AN388" t="s">
        <v>0</v>
      </c>
      <c r="AO388" t="s">
        <v>0</v>
      </c>
      <c r="AP388" t="s">
        <v>0</v>
      </c>
      <c r="AQ388" s="5">
        <v>12</v>
      </c>
      <c r="AR388" t="s">
        <v>11</v>
      </c>
      <c r="AS388" t="s">
        <v>0</v>
      </c>
      <c r="AT388" t="s">
        <v>17</v>
      </c>
      <c r="AU388" s="4">
        <v>0</v>
      </c>
      <c r="AV388" s="4">
        <v>0</v>
      </c>
      <c r="AW388" s="4">
        <v>0</v>
      </c>
      <c r="AX388" s="4">
        <v>0</v>
      </c>
      <c r="AY388" s="5">
        <v>0</v>
      </c>
      <c r="AZ388" s="5">
        <v>0</v>
      </c>
      <c r="BA388" s="5">
        <v>0</v>
      </c>
      <c r="BB388" s="2"/>
      <c r="BC388" t="s">
        <v>0</v>
      </c>
      <c r="BD388" s="5">
        <v>1</v>
      </c>
      <c r="BE388" t="s">
        <v>0</v>
      </c>
      <c r="BF388" t="s">
        <v>355</v>
      </c>
      <c r="BG388" t="s">
        <v>17</v>
      </c>
      <c r="BH388" t="s">
        <v>0</v>
      </c>
      <c r="BI388" t="s">
        <v>11</v>
      </c>
      <c r="BJ388" t="s">
        <v>0</v>
      </c>
      <c r="BK388" t="s">
        <v>0</v>
      </c>
      <c r="BL388" s="5">
        <v>0</v>
      </c>
      <c r="BM388" t="s">
        <v>0</v>
      </c>
      <c r="BN388" t="s">
        <v>0</v>
      </c>
      <c r="BO388" t="s">
        <v>0</v>
      </c>
      <c r="BP388" t="s">
        <v>17</v>
      </c>
      <c r="BQ388" t="s">
        <v>0</v>
      </c>
      <c r="BR388" t="s">
        <v>17</v>
      </c>
      <c r="BS388" t="s">
        <v>17</v>
      </c>
      <c r="BT388" t="s">
        <v>0</v>
      </c>
      <c r="BU388" t="s">
        <v>0</v>
      </c>
      <c r="BV388" t="s">
        <v>0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</row>
    <row r="389" spans="1:80" ht="13.95" customHeight="1" x14ac:dyDescent="0.25">
      <c r="A389" t="s">
        <v>356</v>
      </c>
      <c r="B389" s="2">
        <v>45806</v>
      </c>
      <c r="C389" s="2">
        <v>45806</v>
      </c>
      <c r="D389" s="2">
        <v>45837</v>
      </c>
      <c r="E389" t="s">
        <v>2</v>
      </c>
      <c r="F389" t="s">
        <v>3</v>
      </c>
      <c r="G389" t="s">
        <v>0</v>
      </c>
      <c r="H389" t="s">
        <v>4</v>
      </c>
      <c r="I389" t="s">
        <v>343</v>
      </c>
      <c r="J389" t="s">
        <v>6</v>
      </c>
      <c r="K389" t="s">
        <v>30</v>
      </c>
      <c r="L389" t="s">
        <v>354</v>
      </c>
      <c r="M389" t="s">
        <v>338</v>
      </c>
      <c r="N389" t="s">
        <v>10</v>
      </c>
      <c r="O389" t="s">
        <v>0</v>
      </c>
      <c r="P389" t="s">
        <v>11</v>
      </c>
      <c r="Q389" s="5">
        <v>12</v>
      </c>
      <c r="R389" s="4">
        <v>54850</v>
      </c>
      <c r="S389" s="5">
        <v>1</v>
      </c>
      <c r="T389" s="4">
        <v>658200</v>
      </c>
      <c r="U389" s="5">
        <v>0</v>
      </c>
      <c r="V389" s="4">
        <v>0</v>
      </c>
      <c r="W389" s="5">
        <v>0</v>
      </c>
      <c r="X389" s="4">
        <v>0</v>
      </c>
      <c r="Y389" s="4">
        <f t="shared" si="12"/>
        <v>658200</v>
      </c>
      <c r="Z389" s="6" t="s">
        <v>0</v>
      </c>
      <c r="AA389" t="s">
        <v>2</v>
      </c>
      <c r="AB389" t="s">
        <v>103</v>
      </c>
      <c r="AC389">
        <f>_xlfn.XLOOKUP(AB389,'[1]GST Codes'!$A:$A,'[1]GST Codes'!$C:$C,0,0)</f>
        <v>18</v>
      </c>
      <c r="AD389">
        <f t="shared" si="13"/>
        <v>776676</v>
      </c>
      <c r="AE389" t="s">
        <v>13</v>
      </c>
      <c r="AF389" t="s">
        <v>0</v>
      </c>
      <c r="AG389" t="s">
        <v>14</v>
      </c>
      <c r="AH389" t="s">
        <v>15</v>
      </c>
      <c r="AI389" t="s">
        <v>16</v>
      </c>
      <c r="AJ389" t="s">
        <v>17</v>
      </c>
      <c r="AK389" t="s">
        <v>18</v>
      </c>
      <c r="AL389" t="s">
        <v>19</v>
      </c>
      <c r="AM389" t="s">
        <v>343</v>
      </c>
      <c r="AN389" t="s">
        <v>0</v>
      </c>
      <c r="AO389" t="s">
        <v>0</v>
      </c>
      <c r="AP389" t="s">
        <v>0</v>
      </c>
      <c r="AQ389" s="5">
        <v>12</v>
      </c>
      <c r="AR389" t="s">
        <v>11</v>
      </c>
      <c r="AS389" t="s">
        <v>0</v>
      </c>
      <c r="AT389" t="s">
        <v>17</v>
      </c>
      <c r="AU389" s="4">
        <v>0</v>
      </c>
      <c r="AV389" s="4">
        <v>0</v>
      </c>
      <c r="AW389" s="4">
        <v>0</v>
      </c>
      <c r="AX389" s="4">
        <v>0</v>
      </c>
      <c r="AY389" s="5">
        <v>0</v>
      </c>
      <c r="AZ389" s="5">
        <v>0</v>
      </c>
      <c r="BA389" s="5">
        <v>0</v>
      </c>
      <c r="BB389" s="2"/>
      <c r="BC389" t="s">
        <v>0</v>
      </c>
      <c r="BD389" s="5">
        <v>1</v>
      </c>
      <c r="BE389" t="s">
        <v>0</v>
      </c>
      <c r="BF389" t="s">
        <v>355</v>
      </c>
      <c r="BG389" t="s">
        <v>17</v>
      </c>
      <c r="BH389" t="s">
        <v>0</v>
      </c>
      <c r="BI389" t="s">
        <v>11</v>
      </c>
      <c r="BJ389" t="s">
        <v>0</v>
      </c>
      <c r="BK389" t="s">
        <v>0</v>
      </c>
      <c r="BL389" s="5">
        <v>0</v>
      </c>
      <c r="BM389" t="s">
        <v>0</v>
      </c>
      <c r="BN389" t="s">
        <v>0</v>
      </c>
      <c r="BO389" t="s">
        <v>0</v>
      </c>
      <c r="BP389" t="s">
        <v>17</v>
      </c>
      <c r="BQ389" t="s">
        <v>0</v>
      </c>
      <c r="BR389" t="s">
        <v>17</v>
      </c>
      <c r="BS389" t="s">
        <v>17</v>
      </c>
      <c r="BT389" t="s">
        <v>0</v>
      </c>
      <c r="BU389" t="s">
        <v>0</v>
      </c>
      <c r="BV389" t="s">
        <v>0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</row>
    <row r="390" spans="1:80" ht="13.95" customHeight="1" x14ac:dyDescent="0.25">
      <c r="A390" t="s">
        <v>356</v>
      </c>
      <c r="B390" s="2">
        <v>45806</v>
      </c>
      <c r="C390" s="2">
        <v>45806</v>
      </c>
      <c r="D390" s="2">
        <v>45837</v>
      </c>
      <c r="E390" t="s">
        <v>2</v>
      </c>
      <c r="F390" t="s">
        <v>3</v>
      </c>
      <c r="G390" t="s">
        <v>0</v>
      </c>
      <c r="H390" t="s">
        <v>4</v>
      </c>
      <c r="I390" t="s">
        <v>343</v>
      </c>
      <c r="J390" t="s">
        <v>6</v>
      </c>
      <c r="K390" t="s">
        <v>34</v>
      </c>
      <c r="L390" t="s">
        <v>354</v>
      </c>
      <c r="M390" t="s">
        <v>338</v>
      </c>
      <c r="N390" t="s">
        <v>10</v>
      </c>
      <c r="O390" t="s">
        <v>0</v>
      </c>
      <c r="P390" t="s">
        <v>11</v>
      </c>
      <c r="Q390" s="5">
        <v>12</v>
      </c>
      <c r="R390" s="4">
        <v>54850</v>
      </c>
      <c r="S390" s="5">
        <v>1</v>
      </c>
      <c r="T390" s="4">
        <v>658200</v>
      </c>
      <c r="U390" s="5">
        <v>0</v>
      </c>
      <c r="V390" s="4">
        <v>0</v>
      </c>
      <c r="W390" s="5">
        <v>0</v>
      </c>
      <c r="X390" s="4">
        <v>0</v>
      </c>
      <c r="Y390" s="4">
        <f t="shared" si="12"/>
        <v>658200</v>
      </c>
      <c r="Z390" s="6" t="s">
        <v>0</v>
      </c>
      <c r="AA390" t="s">
        <v>2</v>
      </c>
      <c r="AB390" t="s">
        <v>103</v>
      </c>
      <c r="AC390">
        <f>_xlfn.XLOOKUP(AB390,'[1]GST Codes'!$A:$A,'[1]GST Codes'!$C:$C,0,0)</f>
        <v>18</v>
      </c>
      <c r="AD390">
        <f t="shared" si="13"/>
        <v>776676</v>
      </c>
      <c r="AE390" t="s">
        <v>13</v>
      </c>
      <c r="AF390" t="s">
        <v>0</v>
      </c>
      <c r="AG390" t="s">
        <v>14</v>
      </c>
      <c r="AH390" t="s">
        <v>15</v>
      </c>
      <c r="AI390" t="s">
        <v>16</v>
      </c>
      <c r="AJ390" t="s">
        <v>17</v>
      </c>
      <c r="AK390" t="s">
        <v>18</v>
      </c>
      <c r="AL390" t="s">
        <v>19</v>
      </c>
      <c r="AM390" t="s">
        <v>343</v>
      </c>
      <c r="AN390" t="s">
        <v>0</v>
      </c>
      <c r="AO390" t="s">
        <v>0</v>
      </c>
      <c r="AP390" t="s">
        <v>0</v>
      </c>
      <c r="AQ390" s="5">
        <v>12</v>
      </c>
      <c r="AR390" t="s">
        <v>11</v>
      </c>
      <c r="AS390" t="s">
        <v>0</v>
      </c>
      <c r="AT390" t="s">
        <v>17</v>
      </c>
      <c r="AU390" s="4">
        <v>0</v>
      </c>
      <c r="AV390" s="4">
        <v>0</v>
      </c>
      <c r="AW390" s="4">
        <v>0</v>
      </c>
      <c r="AX390" s="4">
        <v>0</v>
      </c>
      <c r="AY390" s="5">
        <v>0</v>
      </c>
      <c r="AZ390" s="5">
        <v>0</v>
      </c>
      <c r="BA390" s="5">
        <v>0</v>
      </c>
      <c r="BB390" s="2"/>
      <c r="BC390" t="s">
        <v>0</v>
      </c>
      <c r="BD390" s="5">
        <v>1</v>
      </c>
      <c r="BE390" t="s">
        <v>0</v>
      </c>
      <c r="BF390" t="s">
        <v>355</v>
      </c>
      <c r="BG390" t="s">
        <v>17</v>
      </c>
      <c r="BH390" t="s">
        <v>0</v>
      </c>
      <c r="BI390" t="s">
        <v>11</v>
      </c>
      <c r="BJ390" t="s">
        <v>0</v>
      </c>
      <c r="BK390" t="s">
        <v>0</v>
      </c>
      <c r="BL390" s="5">
        <v>0</v>
      </c>
      <c r="BM390" t="s">
        <v>0</v>
      </c>
      <c r="BN390" t="s">
        <v>0</v>
      </c>
      <c r="BO390" t="s">
        <v>0</v>
      </c>
      <c r="BP390" t="s">
        <v>17</v>
      </c>
      <c r="BQ390" t="s">
        <v>0</v>
      </c>
      <c r="BR390" t="s">
        <v>17</v>
      </c>
      <c r="BS390" t="s">
        <v>17</v>
      </c>
      <c r="BT390" t="s">
        <v>0</v>
      </c>
      <c r="BU390" t="s">
        <v>0</v>
      </c>
      <c r="BV390" t="s">
        <v>0</v>
      </c>
      <c r="BW390" t="s">
        <v>0</v>
      </c>
      <c r="BX390" t="s">
        <v>0</v>
      </c>
      <c r="BY390" t="s">
        <v>0</v>
      </c>
      <c r="BZ390" t="s">
        <v>0</v>
      </c>
      <c r="CA390" t="s">
        <v>0</v>
      </c>
      <c r="CB390" t="s">
        <v>0</v>
      </c>
    </row>
    <row r="391" spans="1:80" ht="13.95" customHeight="1" x14ac:dyDescent="0.25">
      <c r="A391" t="s">
        <v>356</v>
      </c>
      <c r="B391" s="2">
        <v>45806</v>
      </c>
      <c r="C391" s="2">
        <v>45806</v>
      </c>
      <c r="D391" s="2">
        <v>45837</v>
      </c>
      <c r="E391" t="s">
        <v>2</v>
      </c>
      <c r="F391" t="s">
        <v>3</v>
      </c>
      <c r="G391" t="s">
        <v>0</v>
      </c>
      <c r="H391" t="s">
        <v>4</v>
      </c>
      <c r="I391" t="s">
        <v>343</v>
      </c>
      <c r="J391" t="s">
        <v>6</v>
      </c>
      <c r="K391" t="s">
        <v>38</v>
      </c>
      <c r="L391" t="s">
        <v>354</v>
      </c>
      <c r="M391" t="s">
        <v>338</v>
      </c>
      <c r="N391" t="s">
        <v>10</v>
      </c>
      <c r="O391" t="s">
        <v>0</v>
      </c>
      <c r="P391" t="s">
        <v>11</v>
      </c>
      <c r="Q391" s="5">
        <v>12</v>
      </c>
      <c r="R391" s="4">
        <v>54850</v>
      </c>
      <c r="S391" s="5">
        <v>1</v>
      </c>
      <c r="T391" s="4">
        <v>658200</v>
      </c>
      <c r="U391" s="5">
        <v>0</v>
      </c>
      <c r="V391" s="4">
        <v>0</v>
      </c>
      <c r="W391" s="5">
        <v>0</v>
      </c>
      <c r="X391" s="4">
        <v>0</v>
      </c>
      <c r="Y391" s="4">
        <f t="shared" si="12"/>
        <v>658200</v>
      </c>
      <c r="Z391" s="6" t="s">
        <v>0</v>
      </c>
      <c r="AA391" t="s">
        <v>2</v>
      </c>
      <c r="AB391" t="s">
        <v>103</v>
      </c>
      <c r="AC391">
        <f>_xlfn.XLOOKUP(AB391,'[1]GST Codes'!$A:$A,'[1]GST Codes'!$C:$C,0,0)</f>
        <v>18</v>
      </c>
      <c r="AD391">
        <f t="shared" si="13"/>
        <v>776676</v>
      </c>
      <c r="AE391" t="s">
        <v>13</v>
      </c>
      <c r="AF391" t="s">
        <v>0</v>
      </c>
      <c r="AG391" t="s">
        <v>14</v>
      </c>
      <c r="AH391" t="s">
        <v>15</v>
      </c>
      <c r="AI391" t="s">
        <v>16</v>
      </c>
      <c r="AJ391" t="s">
        <v>17</v>
      </c>
      <c r="AK391" t="s">
        <v>18</v>
      </c>
      <c r="AL391" t="s">
        <v>19</v>
      </c>
      <c r="AM391" t="s">
        <v>343</v>
      </c>
      <c r="AN391" t="s">
        <v>0</v>
      </c>
      <c r="AO391" t="s">
        <v>0</v>
      </c>
      <c r="AP391" t="s">
        <v>0</v>
      </c>
      <c r="AQ391" s="5">
        <v>12</v>
      </c>
      <c r="AR391" t="s">
        <v>11</v>
      </c>
      <c r="AS391" t="s">
        <v>0</v>
      </c>
      <c r="AT391" t="s">
        <v>17</v>
      </c>
      <c r="AU391" s="4">
        <v>0</v>
      </c>
      <c r="AV391" s="4">
        <v>0</v>
      </c>
      <c r="AW391" s="4">
        <v>0</v>
      </c>
      <c r="AX391" s="4">
        <v>0</v>
      </c>
      <c r="AY391" s="5">
        <v>0</v>
      </c>
      <c r="AZ391" s="5">
        <v>0</v>
      </c>
      <c r="BA391" s="5">
        <v>0</v>
      </c>
      <c r="BB391" s="2"/>
      <c r="BC391" t="s">
        <v>0</v>
      </c>
      <c r="BD391" s="5">
        <v>1</v>
      </c>
      <c r="BE391" t="s">
        <v>0</v>
      </c>
      <c r="BF391" t="s">
        <v>355</v>
      </c>
      <c r="BG391" t="s">
        <v>17</v>
      </c>
      <c r="BH391" t="s">
        <v>0</v>
      </c>
      <c r="BI391" t="s">
        <v>11</v>
      </c>
      <c r="BJ391" t="s">
        <v>0</v>
      </c>
      <c r="BK391" t="s">
        <v>0</v>
      </c>
      <c r="BL391" s="5">
        <v>0</v>
      </c>
      <c r="BM391" t="s">
        <v>0</v>
      </c>
      <c r="BN391" t="s">
        <v>0</v>
      </c>
      <c r="BO391" t="s">
        <v>0</v>
      </c>
      <c r="BP391" t="s">
        <v>17</v>
      </c>
      <c r="BQ391" t="s">
        <v>0</v>
      </c>
      <c r="BR391" t="s">
        <v>17</v>
      </c>
      <c r="BS391" t="s">
        <v>17</v>
      </c>
      <c r="BT391" t="s">
        <v>0</v>
      </c>
      <c r="BU391" t="s">
        <v>0</v>
      </c>
      <c r="BV391" t="s">
        <v>0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</row>
    <row r="392" spans="1:80" ht="13.95" customHeight="1" x14ac:dyDescent="0.25">
      <c r="A392" t="s">
        <v>356</v>
      </c>
      <c r="B392" s="2">
        <v>45806</v>
      </c>
      <c r="C392" s="2">
        <v>45806</v>
      </c>
      <c r="D392" s="2">
        <v>45837</v>
      </c>
      <c r="E392" t="s">
        <v>2</v>
      </c>
      <c r="F392" t="s">
        <v>3</v>
      </c>
      <c r="G392" t="s">
        <v>0</v>
      </c>
      <c r="H392" t="s">
        <v>4</v>
      </c>
      <c r="I392" t="s">
        <v>343</v>
      </c>
      <c r="J392" t="s">
        <v>6</v>
      </c>
      <c r="K392" t="s">
        <v>42</v>
      </c>
      <c r="L392" t="s">
        <v>354</v>
      </c>
      <c r="M392" t="s">
        <v>338</v>
      </c>
      <c r="N392" t="s">
        <v>10</v>
      </c>
      <c r="O392" t="s">
        <v>0</v>
      </c>
      <c r="P392" t="s">
        <v>11</v>
      </c>
      <c r="Q392" s="5">
        <v>8</v>
      </c>
      <c r="R392" s="4">
        <v>54850</v>
      </c>
      <c r="S392" s="5">
        <v>1</v>
      </c>
      <c r="T392" s="4">
        <v>438800</v>
      </c>
      <c r="U392" s="5">
        <v>0</v>
      </c>
      <c r="V392" s="4">
        <v>0</v>
      </c>
      <c r="W392" s="5">
        <v>0</v>
      </c>
      <c r="X392" s="4">
        <v>0</v>
      </c>
      <c r="Y392" s="4">
        <f t="shared" si="12"/>
        <v>438800</v>
      </c>
      <c r="Z392" s="6" t="s">
        <v>0</v>
      </c>
      <c r="AA392" t="s">
        <v>2</v>
      </c>
      <c r="AB392" t="s">
        <v>103</v>
      </c>
      <c r="AC392">
        <f>_xlfn.XLOOKUP(AB392,'[1]GST Codes'!$A:$A,'[1]GST Codes'!$C:$C,0,0)</f>
        <v>18</v>
      </c>
      <c r="AD392">
        <f t="shared" si="13"/>
        <v>517784</v>
      </c>
      <c r="AE392" t="s">
        <v>13</v>
      </c>
      <c r="AF392" t="s">
        <v>0</v>
      </c>
      <c r="AG392" t="s">
        <v>14</v>
      </c>
      <c r="AH392" t="s">
        <v>15</v>
      </c>
      <c r="AI392" t="s">
        <v>16</v>
      </c>
      <c r="AJ392" t="s">
        <v>17</v>
      </c>
      <c r="AK392" t="s">
        <v>18</v>
      </c>
      <c r="AL392" t="s">
        <v>19</v>
      </c>
      <c r="AM392" t="s">
        <v>343</v>
      </c>
      <c r="AN392" t="s">
        <v>0</v>
      </c>
      <c r="AO392" t="s">
        <v>0</v>
      </c>
      <c r="AP392" t="s">
        <v>0</v>
      </c>
      <c r="AQ392" s="5">
        <v>8</v>
      </c>
      <c r="AR392" t="s">
        <v>11</v>
      </c>
      <c r="AS392" t="s">
        <v>0</v>
      </c>
      <c r="AT392" t="s">
        <v>17</v>
      </c>
      <c r="AU392" s="4">
        <v>0</v>
      </c>
      <c r="AV392" s="4">
        <v>0</v>
      </c>
      <c r="AW392" s="4">
        <v>0</v>
      </c>
      <c r="AX392" s="4">
        <v>0</v>
      </c>
      <c r="AY392" s="5">
        <v>0</v>
      </c>
      <c r="AZ392" s="5">
        <v>0</v>
      </c>
      <c r="BA392" s="5">
        <v>0</v>
      </c>
      <c r="BB392" s="2"/>
      <c r="BC392" t="s">
        <v>0</v>
      </c>
      <c r="BD392" s="5">
        <v>1</v>
      </c>
      <c r="BE392" t="s">
        <v>0</v>
      </c>
      <c r="BF392" t="s">
        <v>355</v>
      </c>
      <c r="BG392" t="s">
        <v>17</v>
      </c>
      <c r="BH392" t="s">
        <v>0</v>
      </c>
      <c r="BI392" t="s">
        <v>11</v>
      </c>
      <c r="BJ392" t="s">
        <v>0</v>
      </c>
      <c r="BK392" t="s">
        <v>0</v>
      </c>
      <c r="BL392" s="5">
        <v>0</v>
      </c>
      <c r="BM392" t="s">
        <v>0</v>
      </c>
      <c r="BN392" t="s">
        <v>0</v>
      </c>
      <c r="BO392" t="s">
        <v>0</v>
      </c>
      <c r="BP392" t="s">
        <v>17</v>
      </c>
      <c r="BQ392" t="s">
        <v>0</v>
      </c>
      <c r="BR392" t="s">
        <v>17</v>
      </c>
      <c r="BS392" t="s">
        <v>17</v>
      </c>
      <c r="BT392" t="s">
        <v>0</v>
      </c>
      <c r="BU392" t="s">
        <v>0</v>
      </c>
      <c r="BV392" t="s">
        <v>0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</row>
    <row r="393" spans="1:80" ht="13.95" customHeight="1" x14ac:dyDescent="0.25">
      <c r="A393" t="s">
        <v>357</v>
      </c>
      <c r="B393" s="2">
        <v>45611</v>
      </c>
      <c r="C393" s="2">
        <v>45677</v>
      </c>
      <c r="D393" s="2">
        <v>45736</v>
      </c>
      <c r="E393" t="s">
        <v>2</v>
      </c>
      <c r="F393" t="s">
        <v>3</v>
      </c>
      <c r="G393" t="s">
        <v>0</v>
      </c>
      <c r="H393" t="s">
        <v>4</v>
      </c>
      <c r="I393" t="s">
        <v>358</v>
      </c>
      <c r="J393" t="s">
        <v>6</v>
      </c>
      <c r="K393" t="s">
        <v>7</v>
      </c>
      <c r="L393" t="s">
        <v>39</v>
      </c>
      <c r="M393" t="s">
        <v>40</v>
      </c>
      <c r="N393" t="s">
        <v>10</v>
      </c>
      <c r="O393" t="s">
        <v>0</v>
      </c>
      <c r="P393" t="s">
        <v>11</v>
      </c>
      <c r="Q393" s="3">
        <v>22.5</v>
      </c>
      <c r="R393" s="4">
        <v>54500</v>
      </c>
      <c r="S393" s="5">
        <v>1</v>
      </c>
      <c r="T393" s="4">
        <v>1226250</v>
      </c>
      <c r="U393" s="5">
        <v>0</v>
      </c>
      <c r="V393" s="4">
        <v>0</v>
      </c>
      <c r="W393" s="5">
        <v>0</v>
      </c>
      <c r="X393" s="4">
        <v>0</v>
      </c>
      <c r="Y393" s="4">
        <f t="shared" si="12"/>
        <v>1226250</v>
      </c>
      <c r="Z393" s="6" t="s">
        <v>0</v>
      </c>
      <c r="AA393" t="s">
        <v>2</v>
      </c>
      <c r="AB393" t="s">
        <v>103</v>
      </c>
      <c r="AC393">
        <f>_xlfn.XLOOKUP(AB393,'[1]GST Codes'!$A:$A,'[1]GST Codes'!$C:$C,0,0)</f>
        <v>18</v>
      </c>
      <c r="AD393">
        <f t="shared" si="13"/>
        <v>1446975</v>
      </c>
      <c r="AE393" t="s">
        <v>13</v>
      </c>
      <c r="AF393" t="s">
        <v>0</v>
      </c>
      <c r="AG393" t="s">
        <v>14</v>
      </c>
      <c r="AH393" t="s">
        <v>15</v>
      </c>
      <c r="AI393" t="s">
        <v>16</v>
      </c>
      <c r="AJ393" t="s">
        <v>17</v>
      </c>
      <c r="AK393" t="s">
        <v>18</v>
      </c>
      <c r="AL393" t="s">
        <v>19</v>
      </c>
      <c r="AM393" t="s">
        <v>359</v>
      </c>
      <c r="AN393" t="s">
        <v>0</v>
      </c>
      <c r="AO393" t="s">
        <v>0</v>
      </c>
      <c r="AP393" t="s">
        <v>0</v>
      </c>
      <c r="AQ393" s="3">
        <v>22.5</v>
      </c>
      <c r="AR393" t="s">
        <v>11</v>
      </c>
      <c r="AS393" t="s">
        <v>0</v>
      </c>
      <c r="AT393" t="s">
        <v>17</v>
      </c>
      <c r="AU393" s="4">
        <v>0</v>
      </c>
      <c r="AV393" s="4">
        <v>0</v>
      </c>
      <c r="AW393" s="4">
        <v>0</v>
      </c>
      <c r="AX393" s="4">
        <v>0</v>
      </c>
      <c r="AY393" s="5">
        <v>0</v>
      </c>
      <c r="AZ393" s="5">
        <v>0</v>
      </c>
      <c r="BA393" s="5">
        <v>0</v>
      </c>
      <c r="BB393" s="2"/>
      <c r="BC393" t="s">
        <v>0</v>
      </c>
      <c r="BD393" s="5">
        <v>1</v>
      </c>
      <c r="BE393" t="s">
        <v>0</v>
      </c>
      <c r="BF393" t="s">
        <v>360</v>
      </c>
      <c r="BG393" t="s">
        <v>17</v>
      </c>
      <c r="BH393" t="s">
        <v>0</v>
      </c>
      <c r="BI393" t="s">
        <v>11</v>
      </c>
      <c r="BJ393" t="s">
        <v>0</v>
      </c>
      <c r="BK393" t="s">
        <v>0</v>
      </c>
      <c r="BL393" s="5">
        <v>0</v>
      </c>
      <c r="BM393" t="s">
        <v>0</v>
      </c>
      <c r="BN393" t="s">
        <v>0</v>
      </c>
      <c r="BO393" t="s">
        <v>0</v>
      </c>
      <c r="BP393" t="s">
        <v>17</v>
      </c>
      <c r="BQ393" t="s">
        <v>0</v>
      </c>
      <c r="BR393" t="s">
        <v>17</v>
      </c>
      <c r="BS393" t="s">
        <v>17</v>
      </c>
      <c r="BT393" t="s">
        <v>0</v>
      </c>
      <c r="BU393" t="s">
        <v>0</v>
      </c>
      <c r="BV393" t="s">
        <v>0</v>
      </c>
      <c r="BW393" t="s">
        <v>0</v>
      </c>
      <c r="BX393" t="s">
        <v>0</v>
      </c>
      <c r="BY393" t="s">
        <v>0</v>
      </c>
      <c r="BZ393" t="s">
        <v>0</v>
      </c>
      <c r="CA393" t="s">
        <v>0</v>
      </c>
      <c r="CB393" t="s">
        <v>0</v>
      </c>
    </row>
    <row r="394" spans="1:80" ht="13.95" customHeight="1" x14ac:dyDescent="0.25">
      <c r="A394" t="s">
        <v>357</v>
      </c>
      <c r="B394" s="2">
        <v>45611</v>
      </c>
      <c r="C394" s="2">
        <v>45677</v>
      </c>
      <c r="D394" s="2">
        <v>45736</v>
      </c>
      <c r="E394" t="s">
        <v>2</v>
      </c>
      <c r="F394" t="s">
        <v>3</v>
      </c>
      <c r="G394" t="s">
        <v>0</v>
      </c>
      <c r="H394" t="s">
        <v>4</v>
      </c>
      <c r="I394" t="s">
        <v>358</v>
      </c>
      <c r="J394" t="s">
        <v>6</v>
      </c>
      <c r="K394" t="s">
        <v>22</v>
      </c>
      <c r="L394" t="s">
        <v>39</v>
      </c>
      <c r="M394" t="s">
        <v>40</v>
      </c>
      <c r="N394" t="s">
        <v>10</v>
      </c>
      <c r="O394" t="s">
        <v>0</v>
      </c>
      <c r="P394" t="s">
        <v>11</v>
      </c>
      <c r="Q394" s="3">
        <v>22.5</v>
      </c>
      <c r="R394" s="4">
        <v>54500</v>
      </c>
      <c r="S394" s="5">
        <v>1</v>
      </c>
      <c r="T394" s="4">
        <v>1226250</v>
      </c>
      <c r="U394" s="5">
        <v>0</v>
      </c>
      <c r="V394" s="4">
        <v>0</v>
      </c>
      <c r="W394" s="5">
        <v>0</v>
      </c>
      <c r="X394" s="4">
        <v>0</v>
      </c>
      <c r="Y394" s="4">
        <f t="shared" si="12"/>
        <v>1226250</v>
      </c>
      <c r="Z394" s="6" t="s">
        <v>0</v>
      </c>
      <c r="AA394" t="s">
        <v>2</v>
      </c>
      <c r="AB394" t="s">
        <v>103</v>
      </c>
      <c r="AC394">
        <f>_xlfn.XLOOKUP(AB394,'[1]GST Codes'!$A:$A,'[1]GST Codes'!$C:$C,0,0)</f>
        <v>18</v>
      </c>
      <c r="AD394">
        <f t="shared" si="13"/>
        <v>1446975</v>
      </c>
      <c r="AE394" t="s">
        <v>13</v>
      </c>
      <c r="AF394" t="s">
        <v>0</v>
      </c>
      <c r="AG394" t="s">
        <v>14</v>
      </c>
      <c r="AH394" t="s">
        <v>15</v>
      </c>
      <c r="AI394" t="s">
        <v>16</v>
      </c>
      <c r="AJ394" t="s">
        <v>17</v>
      </c>
      <c r="AK394" t="s">
        <v>18</v>
      </c>
      <c r="AL394" t="s">
        <v>19</v>
      </c>
      <c r="AM394" t="s">
        <v>359</v>
      </c>
      <c r="AN394" t="s">
        <v>0</v>
      </c>
      <c r="AO394" t="s">
        <v>0</v>
      </c>
      <c r="AP394" t="s">
        <v>0</v>
      </c>
      <c r="AQ394" s="3">
        <v>22.5</v>
      </c>
      <c r="AR394" t="s">
        <v>11</v>
      </c>
      <c r="AS394" t="s">
        <v>0</v>
      </c>
      <c r="AT394" t="s">
        <v>17</v>
      </c>
      <c r="AU394" s="4">
        <v>0</v>
      </c>
      <c r="AV394" s="4">
        <v>0</v>
      </c>
      <c r="AW394" s="4">
        <v>0</v>
      </c>
      <c r="AX394" s="4">
        <v>0</v>
      </c>
      <c r="AY394" s="5">
        <v>0</v>
      </c>
      <c r="AZ394" s="5">
        <v>0</v>
      </c>
      <c r="BA394" s="5">
        <v>0</v>
      </c>
      <c r="BB394" s="2"/>
      <c r="BC394" t="s">
        <v>0</v>
      </c>
      <c r="BD394" s="5">
        <v>1</v>
      </c>
      <c r="BE394" t="s">
        <v>0</v>
      </c>
      <c r="BF394" t="s">
        <v>360</v>
      </c>
      <c r="BG394" t="s">
        <v>17</v>
      </c>
      <c r="BH394" t="s">
        <v>0</v>
      </c>
      <c r="BI394" t="s">
        <v>11</v>
      </c>
      <c r="BJ394" t="s">
        <v>0</v>
      </c>
      <c r="BK394" t="s">
        <v>0</v>
      </c>
      <c r="BL394" s="5">
        <v>0</v>
      </c>
      <c r="BM394" t="s">
        <v>0</v>
      </c>
      <c r="BN394" t="s">
        <v>0</v>
      </c>
      <c r="BO394" t="s">
        <v>0</v>
      </c>
      <c r="BP394" t="s">
        <v>17</v>
      </c>
      <c r="BQ394" t="s">
        <v>0</v>
      </c>
      <c r="BR394" t="s">
        <v>17</v>
      </c>
      <c r="BS394" t="s">
        <v>17</v>
      </c>
      <c r="BT394" t="s">
        <v>0</v>
      </c>
      <c r="BU394" t="s">
        <v>0</v>
      </c>
      <c r="BV394" t="s">
        <v>0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</row>
    <row r="395" spans="1:80" ht="13.95" customHeight="1" x14ac:dyDescent="0.25">
      <c r="A395" t="s">
        <v>357</v>
      </c>
      <c r="B395" s="2">
        <v>45611</v>
      </c>
      <c r="C395" s="2">
        <v>45677</v>
      </c>
      <c r="D395" s="2">
        <v>45736</v>
      </c>
      <c r="E395" t="s">
        <v>2</v>
      </c>
      <c r="F395" t="s">
        <v>3</v>
      </c>
      <c r="G395" t="s">
        <v>0</v>
      </c>
      <c r="H395" t="s">
        <v>4</v>
      </c>
      <c r="I395" t="s">
        <v>358</v>
      </c>
      <c r="J395" t="s">
        <v>6</v>
      </c>
      <c r="K395" t="s">
        <v>26</v>
      </c>
      <c r="L395" t="s">
        <v>39</v>
      </c>
      <c r="M395" t="s">
        <v>40</v>
      </c>
      <c r="N395" t="s">
        <v>10</v>
      </c>
      <c r="O395" t="s">
        <v>0</v>
      </c>
      <c r="P395" t="s">
        <v>11</v>
      </c>
      <c r="Q395" s="5">
        <v>18</v>
      </c>
      <c r="R395" s="4">
        <v>54500</v>
      </c>
      <c r="S395" s="5">
        <v>1</v>
      </c>
      <c r="T395" s="4">
        <v>981000</v>
      </c>
      <c r="U395" s="5">
        <v>0</v>
      </c>
      <c r="V395" s="4">
        <v>0</v>
      </c>
      <c r="W395" s="5">
        <v>0</v>
      </c>
      <c r="X395" s="4">
        <v>0</v>
      </c>
      <c r="Y395" s="4">
        <f t="shared" si="12"/>
        <v>981000</v>
      </c>
      <c r="Z395" s="6" t="s">
        <v>0</v>
      </c>
      <c r="AA395" t="s">
        <v>2</v>
      </c>
      <c r="AB395" t="s">
        <v>103</v>
      </c>
      <c r="AC395">
        <f>_xlfn.XLOOKUP(AB395,'[1]GST Codes'!$A:$A,'[1]GST Codes'!$C:$C,0,0)</f>
        <v>18</v>
      </c>
      <c r="AD395">
        <f t="shared" si="13"/>
        <v>1157580</v>
      </c>
      <c r="AE395" t="s">
        <v>13</v>
      </c>
      <c r="AF395" t="s">
        <v>0</v>
      </c>
      <c r="AG395" t="s">
        <v>14</v>
      </c>
      <c r="AH395" t="s">
        <v>15</v>
      </c>
      <c r="AI395" t="s">
        <v>16</v>
      </c>
      <c r="AJ395" t="s">
        <v>17</v>
      </c>
      <c r="AK395" t="s">
        <v>18</v>
      </c>
      <c r="AL395" t="s">
        <v>19</v>
      </c>
      <c r="AM395" t="s">
        <v>359</v>
      </c>
      <c r="AN395" t="s">
        <v>0</v>
      </c>
      <c r="AO395" t="s">
        <v>0</v>
      </c>
      <c r="AP395" t="s">
        <v>0</v>
      </c>
      <c r="AQ395" s="5">
        <v>18</v>
      </c>
      <c r="AR395" t="s">
        <v>11</v>
      </c>
      <c r="AS395" t="s">
        <v>0</v>
      </c>
      <c r="AT395" t="s">
        <v>17</v>
      </c>
      <c r="AU395" s="4">
        <v>0</v>
      </c>
      <c r="AV395" s="4">
        <v>0</v>
      </c>
      <c r="AW395" s="4">
        <v>0</v>
      </c>
      <c r="AX395" s="4">
        <v>0</v>
      </c>
      <c r="AY395" s="5">
        <v>0</v>
      </c>
      <c r="AZ395" s="5">
        <v>0</v>
      </c>
      <c r="BA395" s="5">
        <v>0</v>
      </c>
      <c r="BB395" s="2"/>
      <c r="BC395" t="s">
        <v>0</v>
      </c>
      <c r="BD395" s="5">
        <v>1</v>
      </c>
      <c r="BE395" t="s">
        <v>0</v>
      </c>
      <c r="BF395" t="s">
        <v>360</v>
      </c>
      <c r="BG395" t="s">
        <v>17</v>
      </c>
      <c r="BH395" t="s">
        <v>0</v>
      </c>
      <c r="BI395" t="s">
        <v>11</v>
      </c>
      <c r="BJ395" t="s">
        <v>0</v>
      </c>
      <c r="BK395" t="s">
        <v>0</v>
      </c>
      <c r="BL395" s="5">
        <v>0</v>
      </c>
      <c r="BM395" t="s">
        <v>0</v>
      </c>
      <c r="BN395" t="s">
        <v>0</v>
      </c>
      <c r="BO395" t="s">
        <v>0</v>
      </c>
      <c r="BP395" t="s">
        <v>17</v>
      </c>
      <c r="BQ395" t="s">
        <v>0</v>
      </c>
      <c r="BR395" t="s">
        <v>17</v>
      </c>
      <c r="BS395" t="s">
        <v>17</v>
      </c>
      <c r="BT395" t="s">
        <v>0</v>
      </c>
      <c r="BU395" t="s">
        <v>0</v>
      </c>
      <c r="BV395" t="s">
        <v>0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</row>
    <row r="396" spans="1:80" ht="13.95" customHeight="1" x14ac:dyDescent="0.25">
      <c r="A396" t="s">
        <v>357</v>
      </c>
      <c r="B396" s="2">
        <v>45611</v>
      </c>
      <c r="C396" s="2">
        <v>45677</v>
      </c>
      <c r="D396" s="2">
        <v>45736</v>
      </c>
      <c r="E396" t="s">
        <v>2</v>
      </c>
      <c r="F396" t="s">
        <v>3</v>
      </c>
      <c r="G396" t="s">
        <v>0</v>
      </c>
      <c r="H396" t="s">
        <v>4</v>
      </c>
      <c r="I396" t="s">
        <v>358</v>
      </c>
      <c r="J396" t="s">
        <v>6</v>
      </c>
      <c r="K396" t="s">
        <v>30</v>
      </c>
      <c r="L396" t="s">
        <v>39</v>
      </c>
      <c r="M396" t="s">
        <v>40</v>
      </c>
      <c r="N396" t="s">
        <v>10</v>
      </c>
      <c r="O396" t="s">
        <v>0</v>
      </c>
      <c r="P396" t="s">
        <v>11</v>
      </c>
      <c r="Q396" s="5">
        <v>18</v>
      </c>
      <c r="R396" s="4">
        <v>54500</v>
      </c>
      <c r="S396" s="5">
        <v>1</v>
      </c>
      <c r="T396" s="4">
        <v>981000</v>
      </c>
      <c r="U396" s="5">
        <v>0</v>
      </c>
      <c r="V396" s="4">
        <v>0</v>
      </c>
      <c r="W396" s="5">
        <v>0</v>
      </c>
      <c r="X396" s="4">
        <v>0</v>
      </c>
      <c r="Y396" s="4">
        <f t="shared" si="12"/>
        <v>981000</v>
      </c>
      <c r="Z396" s="6" t="s">
        <v>0</v>
      </c>
      <c r="AA396" t="s">
        <v>2</v>
      </c>
      <c r="AB396" t="s">
        <v>103</v>
      </c>
      <c r="AC396">
        <f>_xlfn.XLOOKUP(AB396,'[1]GST Codes'!$A:$A,'[1]GST Codes'!$C:$C,0,0)</f>
        <v>18</v>
      </c>
      <c r="AD396">
        <f t="shared" si="13"/>
        <v>1157580</v>
      </c>
      <c r="AE396" t="s">
        <v>13</v>
      </c>
      <c r="AF396" t="s">
        <v>0</v>
      </c>
      <c r="AG396" t="s">
        <v>14</v>
      </c>
      <c r="AH396" t="s">
        <v>15</v>
      </c>
      <c r="AI396" t="s">
        <v>16</v>
      </c>
      <c r="AJ396" t="s">
        <v>17</v>
      </c>
      <c r="AK396" t="s">
        <v>18</v>
      </c>
      <c r="AL396" t="s">
        <v>19</v>
      </c>
      <c r="AM396" t="s">
        <v>359</v>
      </c>
      <c r="AN396" t="s">
        <v>0</v>
      </c>
      <c r="AO396" t="s">
        <v>0</v>
      </c>
      <c r="AP396" t="s">
        <v>0</v>
      </c>
      <c r="AQ396" s="5">
        <v>18</v>
      </c>
      <c r="AR396" t="s">
        <v>11</v>
      </c>
      <c r="AS396" t="s">
        <v>0</v>
      </c>
      <c r="AT396" t="s">
        <v>17</v>
      </c>
      <c r="AU396" s="4">
        <v>0</v>
      </c>
      <c r="AV396" s="4">
        <v>0</v>
      </c>
      <c r="AW396" s="4">
        <v>0</v>
      </c>
      <c r="AX396" s="4">
        <v>0</v>
      </c>
      <c r="AY396" s="5">
        <v>0</v>
      </c>
      <c r="AZ396" s="5">
        <v>0</v>
      </c>
      <c r="BA396" s="5">
        <v>0</v>
      </c>
      <c r="BB396" s="2"/>
      <c r="BC396" t="s">
        <v>0</v>
      </c>
      <c r="BD396" s="5">
        <v>1</v>
      </c>
      <c r="BE396" t="s">
        <v>0</v>
      </c>
      <c r="BF396" t="s">
        <v>360</v>
      </c>
      <c r="BG396" t="s">
        <v>17</v>
      </c>
      <c r="BH396" t="s">
        <v>0</v>
      </c>
      <c r="BI396" t="s">
        <v>11</v>
      </c>
      <c r="BJ396" t="s">
        <v>0</v>
      </c>
      <c r="BK396" t="s">
        <v>0</v>
      </c>
      <c r="BL396" s="5">
        <v>0</v>
      </c>
      <c r="BM396" t="s">
        <v>0</v>
      </c>
      <c r="BN396" t="s">
        <v>0</v>
      </c>
      <c r="BO396" t="s">
        <v>0</v>
      </c>
      <c r="BP396" t="s">
        <v>17</v>
      </c>
      <c r="BQ396" t="s">
        <v>0</v>
      </c>
      <c r="BR396" t="s">
        <v>17</v>
      </c>
      <c r="BS396" t="s">
        <v>17</v>
      </c>
      <c r="BT396" t="s">
        <v>0</v>
      </c>
      <c r="BU396" t="s">
        <v>0</v>
      </c>
      <c r="BV396" t="s">
        <v>0</v>
      </c>
      <c r="BW396" t="s">
        <v>0</v>
      </c>
      <c r="BX396" t="s">
        <v>0</v>
      </c>
      <c r="BY396" t="s">
        <v>0</v>
      </c>
      <c r="BZ396" t="s">
        <v>0</v>
      </c>
      <c r="CA396" t="s">
        <v>0</v>
      </c>
      <c r="CB396" t="s">
        <v>0</v>
      </c>
    </row>
    <row r="397" spans="1:80" ht="13.95" customHeight="1" x14ac:dyDescent="0.25">
      <c r="A397" t="s">
        <v>357</v>
      </c>
      <c r="B397" s="2">
        <v>45611</v>
      </c>
      <c r="C397" s="2">
        <v>45677</v>
      </c>
      <c r="D397" s="2">
        <v>45736</v>
      </c>
      <c r="E397" t="s">
        <v>2</v>
      </c>
      <c r="F397" t="s">
        <v>3</v>
      </c>
      <c r="G397" t="s">
        <v>0</v>
      </c>
      <c r="H397" t="s">
        <v>4</v>
      </c>
      <c r="I397" t="s">
        <v>358</v>
      </c>
      <c r="J397" t="s">
        <v>6</v>
      </c>
      <c r="K397" t="s">
        <v>34</v>
      </c>
      <c r="L397" t="s">
        <v>39</v>
      </c>
      <c r="M397" t="s">
        <v>40</v>
      </c>
      <c r="N397" t="s">
        <v>10</v>
      </c>
      <c r="O397" t="s">
        <v>0</v>
      </c>
      <c r="P397" t="s">
        <v>11</v>
      </c>
      <c r="Q397" s="5">
        <v>50</v>
      </c>
      <c r="R397" s="4">
        <v>54500</v>
      </c>
      <c r="S397" s="5">
        <v>1</v>
      </c>
      <c r="T397" s="4">
        <v>2725000</v>
      </c>
      <c r="U397" s="5">
        <v>0</v>
      </c>
      <c r="V397" s="4">
        <v>0</v>
      </c>
      <c r="W397" s="5">
        <v>0</v>
      </c>
      <c r="X397" s="4">
        <v>0</v>
      </c>
      <c r="Y397" s="4">
        <f t="shared" si="12"/>
        <v>2725000</v>
      </c>
      <c r="Z397" s="6" t="s">
        <v>0</v>
      </c>
      <c r="AA397" t="s">
        <v>2</v>
      </c>
      <c r="AB397" t="s">
        <v>103</v>
      </c>
      <c r="AC397">
        <f>_xlfn.XLOOKUP(AB397,'[1]GST Codes'!$A:$A,'[1]GST Codes'!$C:$C,0,0)</f>
        <v>18</v>
      </c>
      <c r="AD397">
        <f t="shared" si="13"/>
        <v>3215500</v>
      </c>
      <c r="AE397" t="s">
        <v>13</v>
      </c>
      <c r="AF397" t="s">
        <v>0</v>
      </c>
      <c r="AG397" t="s">
        <v>14</v>
      </c>
      <c r="AH397" t="s">
        <v>15</v>
      </c>
      <c r="AI397" t="s">
        <v>16</v>
      </c>
      <c r="AJ397" t="s">
        <v>17</v>
      </c>
      <c r="AK397" t="s">
        <v>18</v>
      </c>
      <c r="AL397" t="s">
        <v>19</v>
      </c>
      <c r="AM397" t="s">
        <v>359</v>
      </c>
      <c r="AN397" t="s">
        <v>0</v>
      </c>
      <c r="AO397" t="s">
        <v>0</v>
      </c>
      <c r="AP397" t="s">
        <v>0</v>
      </c>
      <c r="AQ397" s="5">
        <v>50</v>
      </c>
      <c r="AR397" t="s">
        <v>11</v>
      </c>
      <c r="AS397" t="s">
        <v>0</v>
      </c>
      <c r="AT397" t="s">
        <v>17</v>
      </c>
      <c r="AU397" s="4">
        <v>0</v>
      </c>
      <c r="AV397" s="4">
        <v>0</v>
      </c>
      <c r="AW397" s="4">
        <v>0</v>
      </c>
      <c r="AX397" s="4">
        <v>0</v>
      </c>
      <c r="AY397" s="5">
        <v>0</v>
      </c>
      <c r="AZ397" s="5">
        <v>0</v>
      </c>
      <c r="BA397" s="5">
        <v>0</v>
      </c>
      <c r="BB397" s="2"/>
      <c r="BC397" t="s">
        <v>0</v>
      </c>
      <c r="BD397" s="5">
        <v>1</v>
      </c>
      <c r="BE397" t="s">
        <v>0</v>
      </c>
      <c r="BF397" t="s">
        <v>360</v>
      </c>
      <c r="BG397" t="s">
        <v>17</v>
      </c>
      <c r="BH397" t="s">
        <v>0</v>
      </c>
      <c r="BI397" t="s">
        <v>11</v>
      </c>
      <c r="BJ397" t="s">
        <v>0</v>
      </c>
      <c r="BK397" t="s">
        <v>0</v>
      </c>
      <c r="BL397" s="5">
        <v>0</v>
      </c>
      <c r="BM397" t="s">
        <v>0</v>
      </c>
      <c r="BN397" t="s">
        <v>0</v>
      </c>
      <c r="BO397" t="s">
        <v>0</v>
      </c>
      <c r="BP397" t="s">
        <v>17</v>
      </c>
      <c r="BQ397" t="s">
        <v>0</v>
      </c>
      <c r="BR397" t="s">
        <v>17</v>
      </c>
      <c r="BS397" t="s">
        <v>17</v>
      </c>
      <c r="BT397" t="s">
        <v>0</v>
      </c>
      <c r="BU397" t="s">
        <v>0</v>
      </c>
      <c r="BV397" t="s">
        <v>0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</row>
    <row r="398" spans="1:80" ht="13.95" customHeight="1" x14ac:dyDescent="0.25">
      <c r="A398" t="s">
        <v>357</v>
      </c>
      <c r="B398" s="2">
        <v>45611</v>
      </c>
      <c r="C398" s="2">
        <v>45677</v>
      </c>
      <c r="D398" s="2">
        <v>45736</v>
      </c>
      <c r="E398" t="s">
        <v>2</v>
      </c>
      <c r="F398" t="s">
        <v>3</v>
      </c>
      <c r="G398" t="s">
        <v>0</v>
      </c>
      <c r="H398" t="s">
        <v>4</v>
      </c>
      <c r="I398" t="s">
        <v>358</v>
      </c>
      <c r="J398" t="s">
        <v>6</v>
      </c>
      <c r="K398" t="s">
        <v>38</v>
      </c>
      <c r="L398" t="s">
        <v>43</v>
      </c>
      <c r="M398" t="s">
        <v>44</v>
      </c>
      <c r="N398" t="s">
        <v>10</v>
      </c>
      <c r="O398" t="s">
        <v>0</v>
      </c>
      <c r="P398" t="s">
        <v>11</v>
      </c>
      <c r="Q398" s="5">
        <v>8</v>
      </c>
      <c r="R398" s="4">
        <v>54500</v>
      </c>
      <c r="S398" s="5">
        <v>1</v>
      </c>
      <c r="T398" s="4">
        <v>436000</v>
      </c>
      <c r="U398" s="5">
        <v>0</v>
      </c>
      <c r="V398" s="4">
        <v>0</v>
      </c>
      <c r="W398" s="5">
        <v>0</v>
      </c>
      <c r="X398" s="4">
        <v>0</v>
      </c>
      <c r="Y398" s="4">
        <f t="shared" si="12"/>
        <v>436000</v>
      </c>
      <c r="Z398" s="6" t="s">
        <v>0</v>
      </c>
      <c r="AA398" t="s">
        <v>2</v>
      </c>
      <c r="AB398" t="s">
        <v>103</v>
      </c>
      <c r="AC398">
        <f>_xlfn.XLOOKUP(AB398,'[1]GST Codes'!$A:$A,'[1]GST Codes'!$C:$C,0,0)</f>
        <v>18</v>
      </c>
      <c r="AD398">
        <f t="shared" si="13"/>
        <v>514480</v>
      </c>
      <c r="AE398" t="s">
        <v>13</v>
      </c>
      <c r="AF398" t="s">
        <v>0</v>
      </c>
      <c r="AG398" t="s">
        <v>14</v>
      </c>
      <c r="AH398" t="s">
        <v>15</v>
      </c>
      <c r="AI398" t="s">
        <v>16</v>
      </c>
      <c r="AJ398" t="s">
        <v>17</v>
      </c>
      <c r="AK398" t="s">
        <v>18</v>
      </c>
      <c r="AL398" t="s">
        <v>19</v>
      </c>
      <c r="AM398" t="s">
        <v>359</v>
      </c>
      <c r="AN398" t="s">
        <v>0</v>
      </c>
      <c r="AO398" t="s">
        <v>0</v>
      </c>
      <c r="AP398" t="s">
        <v>0</v>
      </c>
      <c r="AQ398" s="5">
        <v>8</v>
      </c>
      <c r="AR398" t="s">
        <v>11</v>
      </c>
      <c r="AS398" t="s">
        <v>0</v>
      </c>
      <c r="AT398" t="s">
        <v>17</v>
      </c>
      <c r="AU398" s="4">
        <v>0</v>
      </c>
      <c r="AV398" s="4">
        <v>0</v>
      </c>
      <c r="AW398" s="4">
        <v>0</v>
      </c>
      <c r="AX398" s="4">
        <v>0</v>
      </c>
      <c r="AY398" s="5">
        <v>0</v>
      </c>
      <c r="AZ398" s="5">
        <v>0</v>
      </c>
      <c r="BA398" s="5">
        <v>0</v>
      </c>
      <c r="BB398" s="2"/>
      <c r="BC398" t="s">
        <v>0</v>
      </c>
      <c r="BD398" s="5">
        <v>1</v>
      </c>
      <c r="BE398" t="s">
        <v>0</v>
      </c>
      <c r="BF398" t="s">
        <v>361</v>
      </c>
      <c r="BG398" t="s">
        <v>17</v>
      </c>
      <c r="BH398" t="s">
        <v>0</v>
      </c>
      <c r="BI398" t="s">
        <v>11</v>
      </c>
      <c r="BJ398" t="s">
        <v>0</v>
      </c>
      <c r="BK398" t="s">
        <v>0</v>
      </c>
      <c r="BL398" s="5">
        <v>0</v>
      </c>
      <c r="BM398" t="s">
        <v>0</v>
      </c>
      <c r="BN398" t="s">
        <v>0</v>
      </c>
      <c r="BO398" t="s">
        <v>0</v>
      </c>
      <c r="BP398" t="s">
        <v>17</v>
      </c>
      <c r="BQ398" t="s">
        <v>0</v>
      </c>
      <c r="BR398" t="s">
        <v>17</v>
      </c>
      <c r="BS398" t="s">
        <v>17</v>
      </c>
      <c r="BT398" t="s">
        <v>0</v>
      </c>
      <c r="BU398" t="s">
        <v>0</v>
      </c>
      <c r="BV398" t="s">
        <v>0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</row>
    <row r="399" spans="1:80" ht="13.95" customHeight="1" x14ac:dyDescent="0.25">
      <c r="A399" t="s">
        <v>357</v>
      </c>
      <c r="B399" s="2">
        <v>45611</v>
      </c>
      <c r="C399" s="2">
        <v>45677</v>
      </c>
      <c r="D399" s="2">
        <v>45736</v>
      </c>
      <c r="E399" t="s">
        <v>2</v>
      </c>
      <c r="F399" t="s">
        <v>3</v>
      </c>
      <c r="G399" t="s">
        <v>0</v>
      </c>
      <c r="H399" t="s">
        <v>4</v>
      </c>
      <c r="I399" t="s">
        <v>358</v>
      </c>
      <c r="J399" t="s">
        <v>6</v>
      </c>
      <c r="K399" t="s">
        <v>42</v>
      </c>
      <c r="L399" t="s">
        <v>43</v>
      </c>
      <c r="M399" t="s">
        <v>44</v>
      </c>
      <c r="N399" t="s">
        <v>10</v>
      </c>
      <c r="O399" t="s">
        <v>0</v>
      </c>
      <c r="P399" t="s">
        <v>11</v>
      </c>
      <c r="Q399" s="5">
        <v>8</v>
      </c>
      <c r="R399" s="4">
        <v>54500</v>
      </c>
      <c r="S399" s="5">
        <v>1</v>
      </c>
      <c r="T399" s="4">
        <v>436000</v>
      </c>
      <c r="U399" s="5">
        <v>0</v>
      </c>
      <c r="V399" s="4">
        <v>0</v>
      </c>
      <c r="W399" s="5">
        <v>0</v>
      </c>
      <c r="X399" s="4">
        <v>0</v>
      </c>
      <c r="Y399" s="4">
        <f t="shared" si="12"/>
        <v>436000</v>
      </c>
      <c r="Z399" s="6" t="s">
        <v>0</v>
      </c>
      <c r="AA399" t="s">
        <v>2</v>
      </c>
      <c r="AB399" t="s">
        <v>103</v>
      </c>
      <c r="AC399">
        <f>_xlfn.XLOOKUP(AB399,'[1]GST Codes'!$A:$A,'[1]GST Codes'!$C:$C,0,0)</f>
        <v>18</v>
      </c>
      <c r="AD399">
        <f t="shared" si="13"/>
        <v>514480</v>
      </c>
      <c r="AE399" t="s">
        <v>13</v>
      </c>
      <c r="AF399" t="s">
        <v>0</v>
      </c>
      <c r="AG399" t="s">
        <v>14</v>
      </c>
      <c r="AH399" t="s">
        <v>15</v>
      </c>
      <c r="AI399" t="s">
        <v>16</v>
      </c>
      <c r="AJ399" t="s">
        <v>17</v>
      </c>
      <c r="AK399" t="s">
        <v>18</v>
      </c>
      <c r="AL399" t="s">
        <v>19</v>
      </c>
      <c r="AM399" t="s">
        <v>359</v>
      </c>
      <c r="AN399" t="s">
        <v>0</v>
      </c>
      <c r="AO399" t="s">
        <v>0</v>
      </c>
      <c r="AP399" t="s">
        <v>0</v>
      </c>
      <c r="AQ399" s="5">
        <v>8</v>
      </c>
      <c r="AR399" t="s">
        <v>11</v>
      </c>
      <c r="AS399" t="s">
        <v>0</v>
      </c>
      <c r="AT399" t="s">
        <v>17</v>
      </c>
      <c r="AU399" s="4">
        <v>0</v>
      </c>
      <c r="AV399" s="4">
        <v>0</v>
      </c>
      <c r="AW399" s="4">
        <v>0</v>
      </c>
      <c r="AX399" s="4">
        <v>0</v>
      </c>
      <c r="AY399" s="5">
        <v>0</v>
      </c>
      <c r="AZ399" s="5">
        <v>0</v>
      </c>
      <c r="BA399" s="5">
        <v>0</v>
      </c>
      <c r="BB399" s="2"/>
      <c r="BC399" t="s">
        <v>0</v>
      </c>
      <c r="BD399" s="5">
        <v>1</v>
      </c>
      <c r="BE399" t="s">
        <v>0</v>
      </c>
      <c r="BF399" t="s">
        <v>361</v>
      </c>
      <c r="BG399" t="s">
        <v>17</v>
      </c>
      <c r="BH399" t="s">
        <v>0</v>
      </c>
      <c r="BI399" t="s">
        <v>11</v>
      </c>
      <c r="BJ399" t="s">
        <v>0</v>
      </c>
      <c r="BK399" t="s">
        <v>0</v>
      </c>
      <c r="BL399" s="5">
        <v>0</v>
      </c>
      <c r="BM399" t="s">
        <v>0</v>
      </c>
      <c r="BN399" t="s">
        <v>0</v>
      </c>
      <c r="BO399" t="s">
        <v>0</v>
      </c>
      <c r="BP399" t="s">
        <v>17</v>
      </c>
      <c r="BQ399" t="s">
        <v>0</v>
      </c>
      <c r="BR399" t="s">
        <v>17</v>
      </c>
      <c r="BS399" t="s">
        <v>17</v>
      </c>
      <c r="BT399" t="s">
        <v>0</v>
      </c>
      <c r="BU399" t="s">
        <v>0</v>
      </c>
      <c r="BV399" t="s">
        <v>0</v>
      </c>
      <c r="BW399" t="s">
        <v>0</v>
      </c>
      <c r="BX399" t="s">
        <v>0</v>
      </c>
      <c r="BY399" t="s">
        <v>0</v>
      </c>
      <c r="BZ399" t="s">
        <v>0</v>
      </c>
      <c r="CA399" t="s">
        <v>0</v>
      </c>
      <c r="CB399" t="s">
        <v>0</v>
      </c>
    </row>
    <row r="400" spans="1:80" ht="13.95" customHeight="1" x14ac:dyDescent="0.25">
      <c r="A400" t="s">
        <v>357</v>
      </c>
      <c r="B400" s="2">
        <v>45611</v>
      </c>
      <c r="C400" s="2">
        <v>45677</v>
      </c>
      <c r="D400" s="2">
        <v>45736</v>
      </c>
      <c r="E400" t="s">
        <v>2</v>
      </c>
      <c r="F400" t="s">
        <v>3</v>
      </c>
      <c r="G400" t="s">
        <v>0</v>
      </c>
      <c r="H400" t="s">
        <v>4</v>
      </c>
      <c r="I400" t="s">
        <v>358</v>
      </c>
      <c r="J400" t="s">
        <v>6</v>
      </c>
      <c r="K400" t="s">
        <v>86</v>
      </c>
      <c r="L400" t="s">
        <v>43</v>
      </c>
      <c r="M400" t="s">
        <v>44</v>
      </c>
      <c r="N400" t="s">
        <v>10</v>
      </c>
      <c r="O400" t="s">
        <v>0</v>
      </c>
      <c r="P400" t="s">
        <v>11</v>
      </c>
      <c r="Q400" s="5">
        <v>9</v>
      </c>
      <c r="R400" s="4">
        <v>54500</v>
      </c>
      <c r="S400" s="5">
        <v>1</v>
      </c>
      <c r="T400" s="4">
        <v>490500</v>
      </c>
      <c r="U400" s="5">
        <v>0</v>
      </c>
      <c r="V400" s="4">
        <v>0</v>
      </c>
      <c r="W400" s="5">
        <v>0</v>
      </c>
      <c r="X400" s="4">
        <v>0</v>
      </c>
      <c r="Y400" s="4">
        <f t="shared" si="12"/>
        <v>490500</v>
      </c>
      <c r="Z400" s="6" t="s">
        <v>0</v>
      </c>
      <c r="AA400" t="s">
        <v>2</v>
      </c>
      <c r="AB400" t="s">
        <v>103</v>
      </c>
      <c r="AC400">
        <f>_xlfn.XLOOKUP(AB400,'[1]GST Codes'!$A:$A,'[1]GST Codes'!$C:$C,0,0)</f>
        <v>18</v>
      </c>
      <c r="AD400">
        <f t="shared" si="13"/>
        <v>578790</v>
      </c>
      <c r="AE400" t="s">
        <v>13</v>
      </c>
      <c r="AF400" t="s">
        <v>0</v>
      </c>
      <c r="AG400" t="s">
        <v>14</v>
      </c>
      <c r="AH400" t="s">
        <v>15</v>
      </c>
      <c r="AI400" t="s">
        <v>16</v>
      </c>
      <c r="AJ400" t="s">
        <v>17</v>
      </c>
      <c r="AK400" t="s">
        <v>18</v>
      </c>
      <c r="AL400" t="s">
        <v>19</v>
      </c>
      <c r="AM400" t="s">
        <v>359</v>
      </c>
      <c r="AN400" t="s">
        <v>0</v>
      </c>
      <c r="AO400" t="s">
        <v>0</v>
      </c>
      <c r="AP400" t="s">
        <v>0</v>
      </c>
      <c r="AQ400" s="5">
        <v>9</v>
      </c>
      <c r="AR400" t="s">
        <v>11</v>
      </c>
      <c r="AS400" t="s">
        <v>0</v>
      </c>
      <c r="AT400" t="s">
        <v>17</v>
      </c>
      <c r="AU400" s="4">
        <v>0</v>
      </c>
      <c r="AV400" s="4">
        <v>0</v>
      </c>
      <c r="AW400" s="4">
        <v>0</v>
      </c>
      <c r="AX400" s="4">
        <v>0</v>
      </c>
      <c r="AY400" s="5">
        <v>0</v>
      </c>
      <c r="AZ400" s="5">
        <v>0</v>
      </c>
      <c r="BA400" s="5">
        <v>0</v>
      </c>
      <c r="BB400" s="2"/>
      <c r="BC400" t="s">
        <v>0</v>
      </c>
      <c r="BD400" s="5">
        <v>1</v>
      </c>
      <c r="BE400" t="s">
        <v>0</v>
      </c>
      <c r="BF400" t="s">
        <v>361</v>
      </c>
      <c r="BG400" t="s">
        <v>17</v>
      </c>
      <c r="BH400" t="s">
        <v>0</v>
      </c>
      <c r="BI400" t="s">
        <v>11</v>
      </c>
      <c r="BJ400" t="s">
        <v>0</v>
      </c>
      <c r="BK400" t="s">
        <v>0</v>
      </c>
      <c r="BL400" s="5">
        <v>0</v>
      </c>
      <c r="BM400" t="s">
        <v>0</v>
      </c>
      <c r="BN400" t="s">
        <v>0</v>
      </c>
      <c r="BO400" t="s">
        <v>0</v>
      </c>
      <c r="BP400" t="s">
        <v>17</v>
      </c>
      <c r="BQ400" t="s">
        <v>0</v>
      </c>
      <c r="BR400" t="s">
        <v>17</v>
      </c>
      <c r="BS400" t="s">
        <v>17</v>
      </c>
      <c r="BT400" t="s">
        <v>0</v>
      </c>
      <c r="BU400" t="s">
        <v>0</v>
      </c>
      <c r="BV400" t="s">
        <v>0</v>
      </c>
      <c r="BW400" t="s">
        <v>0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</row>
    <row r="401" spans="1:80" ht="13.95" customHeight="1" x14ac:dyDescent="0.25">
      <c r="A401" t="s">
        <v>357</v>
      </c>
      <c r="B401" s="2">
        <v>45611</v>
      </c>
      <c r="C401" s="2">
        <v>45677</v>
      </c>
      <c r="D401" s="2">
        <v>45736</v>
      </c>
      <c r="E401" t="s">
        <v>2</v>
      </c>
      <c r="F401" t="s">
        <v>3</v>
      </c>
      <c r="G401" t="s">
        <v>0</v>
      </c>
      <c r="H401" t="s">
        <v>4</v>
      </c>
      <c r="I401" t="s">
        <v>358</v>
      </c>
      <c r="J401" t="s">
        <v>6</v>
      </c>
      <c r="K401" t="s">
        <v>87</v>
      </c>
      <c r="L401" t="s">
        <v>43</v>
      </c>
      <c r="M401" t="s">
        <v>44</v>
      </c>
      <c r="N401" t="s">
        <v>10</v>
      </c>
      <c r="O401" t="s">
        <v>0</v>
      </c>
      <c r="P401" t="s">
        <v>11</v>
      </c>
      <c r="Q401" s="5">
        <v>9</v>
      </c>
      <c r="R401" s="4">
        <v>54500</v>
      </c>
      <c r="S401" s="5">
        <v>1</v>
      </c>
      <c r="T401" s="4">
        <v>490500</v>
      </c>
      <c r="U401" s="5">
        <v>0</v>
      </c>
      <c r="V401" s="4">
        <v>0</v>
      </c>
      <c r="W401" s="5">
        <v>0</v>
      </c>
      <c r="X401" s="4">
        <v>0</v>
      </c>
      <c r="Y401" s="4">
        <f t="shared" si="12"/>
        <v>490500</v>
      </c>
      <c r="Z401" s="6" t="s">
        <v>0</v>
      </c>
      <c r="AA401" t="s">
        <v>2</v>
      </c>
      <c r="AB401" t="s">
        <v>103</v>
      </c>
      <c r="AC401">
        <f>_xlfn.XLOOKUP(AB401,'[1]GST Codes'!$A:$A,'[1]GST Codes'!$C:$C,0,0)</f>
        <v>18</v>
      </c>
      <c r="AD401">
        <f t="shared" si="13"/>
        <v>578790</v>
      </c>
      <c r="AE401" t="s">
        <v>13</v>
      </c>
      <c r="AF401" t="s">
        <v>0</v>
      </c>
      <c r="AG401" t="s">
        <v>14</v>
      </c>
      <c r="AH401" t="s">
        <v>15</v>
      </c>
      <c r="AI401" t="s">
        <v>16</v>
      </c>
      <c r="AJ401" t="s">
        <v>17</v>
      </c>
      <c r="AK401" t="s">
        <v>18</v>
      </c>
      <c r="AL401" t="s">
        <v>19</v>
      </c>
      <c r="AM401" t="s">
        <v>359</v>
      </c>
      <c r="AN401" t="s">
        <v>0</v>
      </c>
      <c r="AO401" t="s">
        <v>0</v>
      </c>
      <c r="AP401" t="s">
        <v>0</v>
      </c>
      <c r="AQ401" s="5">
        <v>9</v>
      </c>
      <c r="AR401" t="s">
        <v>11</v>
      </c>
      <c r="AS401" t="s">
        <v>0</v>
      </c>
      <c r="AT401" t="s">
        <v>17</v>
      </c>
      <c r="AU401" s="4">
        <v>0</v>
      </c>
      <c r="AV401" s="4">
        <v>0</v>
      </c>
      <c r="AW401" s="4">
        <v>0</v>
      </c>
      <c r="AX401" s="4">
        <v>0</v>
      </c>
      <c r="AY401" s="5">
        <v>0</v>
      </c>
      <c r="AZ401" s="5">
        <v>0</v>
      </c>
      <c r="BA401" s="5">
        <v>0</v>
      </c>
      <c r="BB401" s="2"/>
      <c r="BC401" t="s">
        <v>0</v>
      </c>
      <c r="BD401" s="5">
        <v>1</v>
      </c>
      <c r="BE401" t="s">
        <v>0</v>
      </c>
      <c r="BF401" t="s">
        <v>361</v>
      </c>
      <c r="BG401" t="s">
        <v>17</v>
      </c>
      <c r="BH401" t="s">
        <v>0</v>
      </c>
      <c r="BI401" t="s">
        <v>11</v>
      </c>
      <c r="BJ401" t="s">
        <v>0</v>
      </c>
      <c r="BK401" t="s">
        <v>0</v>
      </c>
      <c r="BL401" s="5">
        <v>0</v>
      </c>
      <c r="BM401" t="s">
        <v>0</v>
      </c>
      <c r="BN401" t="s">
        <v>0</v>
      </c>
      <c r="BO401" t="s">
        <v>0</v>
      </c>
      <c r="BP401" t="s">
        <v>17</v>
      </c>
      <c r="BQ401" t="s">
        <v>0</v>
      </c>
      <c r="BR401" t="s">
        <v>17</v>
      </c>
      <c r="BS401" t="s">
        <v>17</v>
      </c>
      <c r="BT401" t="s">
        <v>0</v>
      </c>
      <c r="BU401" t="s">
        <v>0</v>
      </c>
      <c r="BV401" t="s">
        <v>0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</row>
    <row r="402" spans="1:80" ht="13.95" customHeight="1" x14ac:dyDescent="0.25">
      <c r="A402" t="s">
        <v>357</v>
      </c>
      <c r="B402" s="2">
        <v>45611</v>
      </c>
      <c r="C402" s="2">
        <v>45677</v>
      </c>
      <c r="D402" s="2">
        <v>45736</v>
      </c>
      <c r="E402" t="s">
        <v>2</v>
      </c>
      <c r="F402" t="s">
        <v>3</v>
      </c>
      <c r="G402" t="s">
        <v>0</v>
      </c>
      <c r="H402" t="s">
        <v>4</v>
      </c>
      <c r="I402" t="s">
        <v>358</v>
      </c>
      <c r="J402" t="s">
        <v>6</v>
      </c>
      <c r="K402" t="s">
        <v>88</v>
      </c>
      <c r="L402" t="s">
        <v>43</v>
      </c>
      <c r="M402" t="s">
        <v>44</v>
      </c>
      <c r="N402" t="s">
        <v>10</v>
      </c>
      <c r="O402" t="s">
        <v>0</v>
      </c>
      <c r="P402" t="s">
        <v>11</v>
      </c>
      <c r="Q402" s="3">
        <v>3.5</v>
      </c>
      <c r="R402" s="4">
        <v>54500</v>
      </c>
      <c r="S402" s="5">
        <v>1</v>
      </c>
      <c r="T402" s="4">
        <v>190750</v>
      </c>
      <c r="U402" s="5">
        <v>0</v>
      </c>
      <c r="V402" s="4">
        <v>0</v>
      </c>
      <c r="W402" s="5">
        <v>0</v>
      </c>
      <c r="X402" s="4">
        <v>0</v>
      </c>
      <c r="Y402" s="4">
        <f t="shared" si="12"/>
        <v>190750</v>
      </c>
      <c r="Z402" s="6" t="s">
        <v>0</v>
      </c>
      <c r="AA402" t="s">
        <v>2</v>
      </c>
      <c r="AB402" t="s">
        <v>103</v>
      </c>
      <c r="AC402">
        <f>_xlfn.XLOOKUP(AB402,'[1]GST Codes'!$A:$A,'[1]GST Codes'!$C:$C,0,0)</f>
        <v>18</v>
      </c>
      <c r="AD402">
        <f t="shared" si="13"/>
        <v>225085</v>
      </c>
      <c r="AE402" t="s">
        <v>13</v>
      </c>
      <c r="AF402" t="s">
        <v>0</v>
      </c>
      <c r="AG402" t="s">
        <v>14</v>
      </c>
      <c r="AH402" t="s">
        <v>15</v>
      </c>
      <c r="AI402" t="s">
        <v>16</v>
      </c>
      <c r="AJ402" t="s">
        <v>17</v>
      </c>
      <c r="AK402" t="s">
        <v>18</v>
      </c>
      <c r="AL402" t="s">
        <v>19</v>
      </c>
      <c r="AM402" t="s">
        <v>359</v>
      </c>
      <c r="AN402" t="s">
        <v>0</v>
      </c>
      <c r="AO402" t="s">
        <v>0</v>
      </c>
      <c r="AP402" t="s">
        <v>0</v>
      </c>
      <c r="AQ402" s="3">
        <v>3.5</v>
      </c>
      <c r="AR402" t="s">
        <v>11</v>
      </c>
      <c r="AS402" t="s">
        <v>0</v>
      </c>
      <c r="AT402" t="s">
        <v>17</v>
      </c>
      <c r="AU402" s="4">
        <v>0</v>
      </c>
      <c r="AV402" s="4">
        <v>0</v>
      </c>
      <c r="AW402" s="4">
        <v>0</v>
      </c>
      <c r="AX402" s="4">
        <v>0</v>
      </c>
      <c r="AY402" s="5">
        <v>0</v>
      </c>
      <c r="AZ402" s="5">
        <v>0</v>
      </c>
      <c r="BA402" s="5">
        <v>0</v>
      </c>
      <c r="BB402" s="2"/>
      <c r="BC402" t="s">
        <v>0</v>
      </c>
      <c r="BD402" s="5">
        <v>1</v>
      </c>
      <c r="BE402" t="s">
        <v>0</v>
      </c>
      <c r="BF402" t="s">
        <v>361</v>
      </c>
      <c r="BG402" t="s">
        <v>17</v>
      </c>
      <c r="BH402" t="s">
        <v>0</v>
      </c>
      <c r="BI402" t="s">
        <v>11</v>
      </c>
      <c r="BJ402" t="s">
        <v>0</v>
      </c>
      <c r="BK402" t="s">
        <v>0</v>
      </c>
      <c r="BL402" s="5">
        <v>0</v>
      </c>
      <c r="BM402" t="s">
        <v>0</v>
      </c>
      <c r="BN402" t="s">
        <v>0</v>
      </c>
      <c r="BO402" t="s">
        <v>0</v>
      </c>
      <c r="BP402" t="s">
        <v>17</v>
      </c>
      <c r="BQ402" t="s">
        <v>0</v>
      </c>
      <c r="BR402" t="s">
        <v>17</v>
      </c>
      <c r="BS402" t="s">
        <v>17</v>
      </c>
      <c r="BT402" t="s">
        <v>0</v>
      </c>
      <c r="BU402" t="s">
        <v>0</v>
      </c>
      <c r="BV402" t="s">
        <v>0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</row>
    <row r="403" spans="1:80" ht="13.95" customHeight="1" x14ac:dyDescent="0.25">
      <c r="A403" t="s">
        <v>357</v>
      </c>
      <c r="B403" s="2">
        <v>45611</v>
      </c>
      <c r="C403" s="2">
        <v>45677</v>
      </c>
      <c r="D403" s="2">
        <v>45736</v>
      </c>
      <c r="E403" t="s">
        <v>2</v>
      </c>
      <c r="F403" t="s">
        <v>3</v>
      </c>
      <c r="G403" t="s">
        <v>0</v>
      </c>
      <c r="H403" t="s">
        <v>4</v>
      </c>
      <c r="I403" t="s">
        <v>358</v>
      </c>
      <c r="J403" t="s">
        <v>6</v>
      </c>
      <c r="K403" t="s">
        <v>89</v>
      </c>
      <c r="L403" t="s">
        <v>43</v>
      </c>
      <c r="M403" t="s">
        <v>44</v>
      </c>
      <c r="N403" t="s">
        <v>10</v>
      </c>
      <c r="O403" t="s">
        <v>0</v>
      </c>
      <c r="P403" t="s">
        <v>11</v>
      </c>
      <c r="Q403" s="3">
        <v>3.5</v>
      </c>
      <c r="R403" s="4">
        <v>54500</v>
      </c>
      <c r="S403" s="5">
        <v>1</v>
      </c>
      <c r="T403" s="4">
        <v>190750</v>
      </c>
      <c r="U403" s="3">
        <v>1.99</v>
      </c>
      <c r="V403" s="4">
        <v>108455</v>
      </c>
      <c r="W403" s="3">
        <v>1.99</v>
      </c>
      <c r="X403" s="4">
        <v>108455</v>
      </c>
      <c r="Y403" s="4">
        <f t="shared" si="12"/>
        <v>82295</v>
      </c>
      <c r="Z403" s="6" t="s">
        <v>0</v>
      </c>
      <c r="AA403" t="s">
        <v>2</v>
      </c>
      <c r="AB403" t="s">
        <v>103</v>
      </c>
      <c r="AC403">
        <f>_xlfn.XLOOKUP(AB403,'[1]GST Codes'!$A:$A,'[1]GST Codes'!$C:$C,0,0)</f>
        <v>18</v>
      </c>
      <c r="AD403">
        <f t="shared" si="13"/>
        <v>97108.1</v>
      </c>
      <c r="AE403" t="s">
        <v>13</v>
      </c>
      <c r="AF403" t="s">
        <v>0</v>
      </c>
      <c r="AG403" t="s">
        <v>14</v>
      </c>
      <c r="AH403" t="s">
        <v>15</v>
      </c>
      <c r="AI403" t="s">
        <v>16</v>
      </c>
      <c r="AJ403" t="s">
        <v>17</v>
      </c>
      <c r="AK403" t="s">
        <v>18</v>
      </c>
      <c r="AL403" t="s">
        <v>19</v>
      </c>
      <c r="AM403" t="s">
        <v>359</v>
      </c>
      <c r="AN403" t="s">
        <v>0</v>
      </c>
      <c r="AO403" t="s">
        <v>0</v>
      </c>
      <c r="AP403" t="s">
        <v>0</v>
      </c>
      <c r="AQ403" s="3">
        <v>3.5</v>
      </c>
      <c r="AR403" t="s">
        <v>11</v>
      </c>
      <c r="AS403" t="s">
        <v>0</v>
      </c>
      <c r="AT403" t="s">
        <v>17</v>
      </c>
      <c r="AU403" s="4">
        <v>0</v>
      </c>
      <c r="AV403" s="4">
        <v>0</v>
      </c>
      <c r="AW403" s="4">
        <v>0</v>
      </c>
      <c r="AX403" s="4">
        <v>0</v>
      </c>
      <c r="AY403" s="5">
        <v>0</v>
      </c>
      <c r="AZ403" s="5">
        <v>0</v>
      </c>
      <c r="BA403" s="5">
        <v>0</v>
      </c>
      <c r="BB403" s="2"/>
      <c r="BC403" t="s">
        <v>0</v>
      </c>
      <c r="BD403" s="5">
        <v>1</v>
      </c>
      <c r="BE403" t="s">
        <v>0</v>
      </c>
      <c r="BF403" t="s">
        <v>361</v>
      </c>
      <c r="BG403" t="s">
        <v>17</v>
      </c>
      <c r="BH403" t="s">
        <v>0</v>
      </c>
      <c r="BI403" t="s">
        <v>11</v>
      </c>
      <c r="BJ403" t="s">
        <v>0</v>
      </c>
      <c r="BK403" t="s">
        <v>0</v>
      </c>
      <c r="BL403" s="5">
        <v>0</v>
      </c>
      <c r="BM403" t="s">
        <v>0</v>
      </c>
      <c r="BN403" t="s">
        <v>0</v>
      </c>
      <c r="BO403" t="s">
        <v>0</v>
      </c>
      <c r="BP403" t="s">
        <v>17</v>
      </c>
      <c r="BQ403" t="s">
        <v>0</v>
      </c>
      <c r="BR403" t="s">
        <v>17</v>
      </c>
      <c r="BS403" t="s">
        <v>17</v>
      </c>
      <c r="BT403" t="s">
        <v>0</v>
      </c>
      <c r="BU403" t="s">
        <v>0</v>
      </c>
      <c r="BV403" t="s">
        <v>0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</row>
    <row r="404" spans="1:80" ht="13.95" customHeight="1" x14ac:dyDescent="0.25">
      <c r="A404" t="s">
        <v>357</v>
      </c>
      <c r="B404" s="2">
        <v>45611</v>
      </c>
      <c r="C404" s="2">
        <v>45677</v>
      </c>
      <c r="D404" s="2">
        <v>45736</v>
      </c>
      <c r="E404" t="s">
        <v>2</v>
      </c>
      <c r="F404" t="s">
        <v>3</v>
      </c>
      <c r="G404" t="s">
        <v>0</v>
      </c>
      <c r="H404" t="s">
        <v>4</v>
      </c>
      <c r="I404" t="s">
        <v>358</v>
      </c>
      <c r="J404" t="s">
        <v>6</v>
      </c>
      <c r="K404" t="s">
        <v>90</v>
      </c>
      <c r="L404" t="s">
        <v>43</v>
      </c>
      <c r="M404" t="s">
        <v>44</v>
      </c>
      <c r="N404" t="s">
        <v>10</v>
      </c>
      <c r="O404" t="s">
        <v>0</v>
      </c>
      <c r="P404" t="s">
        <v>11</v>
      </c>
      <c r="Q404" s="5">
        <v>9</v>
      </c>
      <c r="R404" s="4">
        <v>54500</v>
      </c>
      <c r="S404" s="5">
        <v>1</v>
      </c>
      <c r="T404" s="4">
        <v>490500</v>
      </c>
      <c r="U404" s="5">
        <v>0</v>
      </c>
      <c r="V404" s="4">
        <v>0</v>
      </c>
      <c r="W404" s="5">
        <v>0</v>
      </c>
      <c r="X404" s="4">
        <v>0</v>
      </c>
      <c r="Y404" s="4">
        <f t="shared" si="12"/>
        <v>490500</v>
      </c>
      <c r="Z404" s="6" t="s">
        <v>0</v>
      </c>
      <c r="AA404" t="s">
        <v>2</v>
      </c>
      <c r="AB404" t="s">
        <v>103</v>
      </c>
      <c r="AC404">
        <f>_xlfn.XLOOKUP(AB404,'[1]GST Codes'!$A:$A,'[1]GST Codes'!$C:$C,0,0)</f>
        <v>18</v>
      </c>
      <c r="AD404">
        <f t="shared" si="13"/>
        <v>578790</v>
      </c>
      <c r="AE404" t="s">
        <v>13</v>
      </c>
      <c r="AF404" t="s">
        <v>0</v>
      </c>
      <c r="AG404" t="s">
        <v>14</v>
      </c>
      <c r="AH404" t="s">
        <v>15</v>
      </c>
      <c r="AI404" t="s">
        <v>16</v>
      </c>
      <c r="AJ404" t="s">
        <v>17</v>
      </c>
      <c r="AK404" t="s">
        <v>18</v>
      </c>
      <c r="AL404" t="s">
        <v>19</v>
      </c>
      <c r="AM404" t="s">
        <v>359</v>
      </c>
      <c r="AN404" t="s">
        <v>0</v>
      </c>
      <c r="AO404" t="s">
        <v>0</v>
      </c>
      <c r="AP404" t="s">
        <v>0</v>
      </c>
      <c r="AQ404" s="5">
        <v>9</v>
      </c>
      <c r="AR404" t="s">
        <v>11</v>
      </c>
      <c r="AS404" t="s">
        <v>0</v>
      </c>
      <c r="AT404" t="s">
        <v>17</v>
      </c>
      <c r="AU404" s="4">
        <v>0</v>
      </c>
      <c r="AV404" s="4">
        <v>0</v>
      </c>
      <c r="AW404" s="4">
        <v>0</v>
      </c>
      <c r="AX404" s="4">
        <v>0</v>
      </c>
      <c r="AY404" s="5">
        <v>0</v>
      </c>
      <c r="AZ404" s="5">
        <v>0</v>
      </c>
      <c r="BA404" s="5">
        <v>0</v>
      </c>
      <c r="BB404" s="2"/>
      <c r="BC404" t="s">
        <v>0</v>
      </c>
      <c r="BD404" s="5">
        <v>1</v>
      </c>
      <c r="BE404" t="s">
        <v>0</v>
      </c>
      <c r="BF404" t="s">
        <v>361</v>
      </c>
      <c r="BG404" t="s">
        <v>17</v>
      </c>
      <c r="BH404" t="s">
        <v>0</v>
      </c>
      <c r="BI404" t="s">
        <v>11</v>
      </c>
      <c r="BJ404" t="s">
        <v>0</v>
      </c>
      <c r="BK404" t="s">
        <v>0</v>
      </c>
      <c r="BL404" s="5">
        <v>0</v>
      </c>
      <c r="BM404" t="s">
        <v>0</v>
      </c>
      <c r="BN404" t="s">
        <v>0</v>
      </c>
      <c r="BO404" t="s">
        <v>0</v>
      </c>
      <c r="BP404" t="s">
        <v>17</v>
      </c>
      <c r="BQ404" t="s">
        <v>0</v>
      </c>
      <c r="BR404" t="s">
        <v>17</v>
      </c>
      <c r="BS404" t="s">
        <v>17</v>
      </c>
      <c r="BT404" t="s">
        <v>0</v>
      </c>
      <c r="BU404" t="s">
        <v>0</v>
      </c>
      <c r="BV404" t="s">
        <v>0</v>
      </c>
      <c r="BW404" t="s">
        <v>0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</row>
    <row r="405" spans="1:80" ht="13.95" customHeight="1" x14ac:dyDescent="0.25">
      <c r="A405" t="s">
        <v>357</v>
      </c>
      <c r="B405" s="2">
        <v>45611</v>
      </c>
      <c r="C405" s="2">
        <v>45677</v>
      </c>
      <c r="D405" s="2">
        <v>45736</v>
      </c>
      <c r="E405" t="s">
        <v>2</v>
      </c>
      <c r="F405" t="s">
        <v>3</v>
      </c>
      <c r="G405" t="s">
        <v>0</v>
      </c>
      <c r="H405" t="s">
        <v>4</v>
      </c>
      <c r="I405" t="s">
        <v>358</v>
      </c>
      <c r="J405" t="s">
        <v>6</v>
      </c>
      <c r="K405" t="s">
        <v>177</v>
      </c>
      <c r="L405" t="s">
        <v>43</v>
      </c>
      <c r="M405" t="s">
        <v>338</v>
      </c>
      <c r="N405" t="s">
        <v>10</v>
      </c>
      <c r="O405" t="s">
        <v>0</v>
      </c>
      <c r="P405" t="s">
        <v>11</v>
      </c>
      <c r="Q405" s="5">
        <v>16</v>
      </c>
      <c r="R405" s="4">
        <v>54500</v>
      </c>
      <c r="S405" s="5">
        <v>1</v>
      </c>
      <c r="T405" s="4">
        <v>872000</v>
      </c>
      <c r="U405" s="5">
        <v>0</v>
      </c>
      <c r="V405" s="4">
        <v>0</v>
      </c>
      <c r="W405" s="5">
        <v>0</v>
      </c>
      <c r="X405" s="4">
        <v>0</v>
      </c>
      <c r="Y405" s="4">
        <f t="shared" si="12"/>
        <v>872000</v>
      </c>
      <c r="Z405" s="6" t="s">
        <v>0</v>
      </c>
      <c r="AA405" t="s">
        <v>2</v>
      </c>
      <c r="AB405" t="s">
        <v>103</v>
      </c>
      <c r="AC405">
        <f>_xlfn.XLOOKUP(AB405,'[1]GST Codes'!$A:$A,'[1]GST Codes'!$C:$C,0,0)</f>
        <v>18</v>
      </c>
      <c r="AD405">
        <f t="shared" si="13"/>
        <v>1028960</v>
      </c>
      <c r="AE405" t="s">
        <v>13</v>
      </c>
      <c r="AF405" t="s">
        <v>0</v>
      </c>
      <c r="AG405" t="s">
        <v>14</v>
      </c>
      <c r="AH405" t="s">
        <v>15</v>
      </c>
      <c r="AI405" t="s">
        <v>16</v>
      </c>
      <c r="AJ405" t="s">
        <v>17</v>
      </c>
      <c r="AK405" t="s">
        <v>18</v>
      </c>
      <c r="AL405" t="s">
        <v>19</v>
      </c>
      <c r="AM405" t="s">
        <v>359</v>
      </c>
      <c r="AN405" t="s">
        <v>0</v>
      </c>
      <c r="AO405" t="s">
        <v>0</v>
      </c>
      <c r="AP405" t="s">
        <v>0</v>
      </c>
      <c r="AQ405" s="5">
        <v>16</v>
      </c>
      <c r="AR405" t="s">
        <v>11</v>
      </c>
      <c r="AS405" t="s">
        <v>0</v>
      </c>
      <c r="AT405" t="s">
        <v>17</v>
      </c>
      <c r="AU405" s="4">
        <v>0</v>
      </c>
      <c r="AV405" s="4">
        <v>0</v>
      </c>
      <c r="AW405" s="4">
        <v>0</v>
      </c>
      <c r="AX405" s="4">
        <v>0</v>
      </c>
      <c r="AY405" s="5">
        <v>0</v>
      </c>
      <c r="AZ405" s="5">
        <v>0</v>
      </c>
      <c r="BA405" s="5">
        <v>0</v>
      </c>
      <c r="BB405" s="2"/>
      <c r="BC405" t="s">
        <v>0</v>
      </c>
      <c r="BD405" s="5">
        <v>1</v>
      </c>
      <c r="BE405" t="s">
        <v>0</v>
      </c>
      <c r="BF405" t="s">
        <v>361</v>
      </c>
      <c r="BG405" t="s">
        <v>17</v>
      </c>
      <c r="BH405" t="s">
        <v>0</v>
      </c>
      <c r="BI405" t="s">
        <v>11</v>
      </c>
      <c r="BJ405" t="s">
        <v>0</v>
      </c>
      <c r="BK405" t="s">
        <v>0</v>
      </c>
      <c r="BL405" s="5">
        <v>0</v>
      </c>
      <c r="BM405" t="s">
        <v>0</v>
      </c>
      <c r="BN405" t="s">
        <v>0</v>
      </c>
      <c r="BO405" t="s">
        <v>0</v>
      </c>
      <c r="BP405" t="s">
        <v>17</v>
      </c>
      <c r="BQ405" t="s">
        <v>0</v>
      </c>
      <c r="BR405" t="s">
        <v>17</v>
      </c>
      <c r="BS405" t="s">
        <v>17</v>
      </c>
      <c r="BT405" t="s">
        <v>0</v>
      </c>
      <c r="BU405" t="s">
        <v>0</v>
      </c>
      <c r="BV405" t="s">
        <v>0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</row>
    <row r="406" spans="1:80" ht="13.95" customHeight="1" x14ac:dyDescent="0.25">
      <c r="A406" t="s">
        <v>357</v>
      </c>
      <c r="B406" s="2">
        <v>45611</v>
      </c>
      <c r="C406" s="2">
        <v>45677</v>
      </c>
      <c r="D406" s="2">
        <v>45736</v>
      </c>
      <c r="E406" t="s">
        <v>2</v>
      </c>
      <c r="F406" t="s">
        <v>3</v>
      </c>
      <c r="G406" t="s">
        <v>0</v>
      </c>
      <c r="H406" t="s">
        <v>4</v>
      </c>
      <c r="I406" t="s">
        <v>358</v>
      </c>
      <c r="J406" t="s">
        <v>6</v>
      </c>
      <c r="K406" t="s">
        <v>181</v>
      </c>
      <c r="L406" t="s">
        <v>43</v>
      </c>
      <c r="M406" t="s">
        <v>338</v>
      </c>
      <c r="N406" t="s">
        <v>10</v>
      </c>
      <c r="O406" t="s">
        <v>0</v>
      </c>
      <c r="P406" t="s">
        <v>11</v>
      </c>
      <c r="Q406" s="5">
        <v>4</v>
      </c>
      <c r="R406" s="4">
        <v>54500</v>
      </c>
      <c r="S406" s="5">
        <v>1</v>
      </c>
      <c r="T406" s="4">
        <v>218000</v>
      </c>
      <c r="U406" s="5">
        <v>0</v>
      </c>
      <c r="V406" s="4">
        <v>0</v>
      </c>
      <c r="W406" s="5">
        <v>0</v>
      </c>
      <c r="X406" s="4">
        <v>0</v>
      </c>
      <c r="Y406" s="4">
        <f t="shared" si="12"/>
        <v>218000</v>
      </c>
      <c r="Z406" s="6" t="s">
        <v>0</v>
      </c>
      <c r="AA406" t="s">
        <v>2</v>
      </c>
      <c r="AB406" t="s">
        <v>103</v>
      </c>
      <c r="AC406">
        <f>_xlfn.XLOOKUP(AB406,'[1]GST Codes'!$A:$A,'[1]GST Codes'!$C:$C,0,0)</f>
        <v>18</v>
      </c>
      <c r="AD406">
        <f t="shared" si="13"/>
        <v>257240</v>
      </c>
      <c r="AE406" t="s">
        <v>13</v>
      </c>
      <c r="AF406" t="s">
        <v>0</v>
      </c>
      <c r="AG406" t="s">
        <v>14</v>
      </c>
      <c r="AH406" t="s">
        <v>15</v>
      </c>
      <c r="AI406" t="s">
        <v>16</v>
      </c>
      <c r="AJ406" t="s">
        <v>17</v>
      </c>
      <c r="AK406" t="s">
        <v>18</v>
      </c>
      <c r="AL406" t="s">
        <v>19</v>
      </c>
      <c r="AM406" t="s">
        <v>359</v>
      </c>
      <c r="AN406" t="s">
        <v>0</v>
      </c>
      <c r="AO406" t="s">
        <v>0</v>
      </c>
      <c r="AP406" t="s">
        <v>0</v>
      </c>
      <c r="AQ406" s="5">
        <v>4</v>
      </c>
      <c r="AR406" t="s">
        <v>11</v>
      </c>
      <c r="AS406" t="s">
        <v>0</v>
      </c>
      <c r="AT406" t="s">
        <v>17</v>
      </c>
      <c r="AU406" s="4">
        <v>0</v>
      </c>
      <c r="AV406" s="4">
        <v>0</v>
      </c>
      <c r="AW406" s="4">
        <v>0</v>
      </c>
      <c r="AX406" s="4">
        <v>0</v>
      </c>
      <c r="AY406" s="5">
        <v>0</v>
      </c>
      <c r="AZ406" s="5">
        <v>0</v>
      </c>
      <c r="BA406" s="5">
        <v>0</v>
      </c>
      <c r="BB406" s="2"/>
      <c r="BC406" t="s">
        <v>0</v>
      </c>
      <c r="BD406" s="5">
        <v>1</v>
      </c>
      <c r="BE406" t="s">
        <v>0</v>
      </c>
      <c r="BF406" t="s">
        <v>361</v>
      </c>
      <c r="BG406" t="s">
        <v>17</v>
      </c>
      <c r="BH406" t="s">
        <v>0</v>
      </c>
      <c r="BI406" t="s">
        <v>11</v>
      </c>
      <c r="BJ406" t="s">
        <v>0</v>
      </c>
      <c r="BK406" t="s">
        <v>0</v>
      </c>
      <c r="BL406" s="5">
        <v>0</v>
      </c>
      <c r="BM406" t="s">
        <v>0</v>
      </c>
      <c r="BN406" t="s">
        <v>0</v>
      </c>
      <c r="BO406" t="s">
        <v>0</v>
      </c>
      <c r="BP406" t="s">
        <v>17</v>
      </c>
      <c r="BQ406" t="s">
        <v>0</v>
      </c>
      <c r="BR406" t="s">
        <v>17</v>
      </c>
      <c r="BS406" t="s">
        <v>17</v>
      </c>
      <c r="BT406" t="s">
        <v>0</v>
      </c>
      <c r="BU406" t="s">
        <v>0</v>
      </c>
      <c r="BV406" t="s">
        <v>0</v>
      </c>
      <c r="BW406" t="s">
        <v>0</v>
      </c>
      <c r="BX406" t="s">
        <v>0</v>
      </c>
      <c r="BY406" t="s">
        <v>0</v>
      </c>
      <c r="BZ406" t="s">
        <v>0</v>
      </c>
      <c r="CA406" t="s">
        <v>0</v>
      </c>
      <c r="CB406" t="s">
        <v>0</v>
      </c>
    </row>
    <row r="407" spans="1:80" ht="13.95" customHeight="1" x14ac:dyDescent="0.25">
      <c r="A407" t="s">
        <v>357</v>
      </c>
      <c r="B407" s="2">
        <v>45611</v>
      </c>
      <c r="C407" s="2">
        <v>45677</v>
      </c>
      <c r="D407" s="2">
        <v>45736</v>
      </c>
      <c r="E407" t="s">
        <v>2</v>
      </c>
      <c r="F407" t="s">
        <v>3</v>
      </c>
      <c r="G407" t="s">
        <v>0</v>
      </c>
      <c r="H407" t="s">
        <v>4</v>
      </c>
      <c r="I407" t="s">
        <v>358</v>
      </c>
      <c r="J407" t="s">
        <v>6</v>
      </c>
      <c r="K407" t="s">
        <v>185</v>
      </c>
      <c r="L407" t="s">
        <v>43</v>
      </c>
      <c r="M407" t="s">
        <v>338</v>
      </c>
      <c r="N407" t="s">
        <v>10</v>
      </c>
      <c r="O407" t="s">
        <v>0</v>
      </c>
      <c r="P407" t="s">
        <v>11</v>
      </c>
      <c r="Q407" s="3">
        <v>39.5</v>
      </c>
      <c r="R407" s="4">
        <v>54500</v>
      </c>
      <c r="S407" s="5">
        <v>1</v>
      </c>
      <c r="T407" s="4">
        <v>2152750</v>
      </c>
      <c r="U407" s="5">
        <v>0</v>
      </c>
      <c r="V407" s="4">
        <v>0</v>
      </c>
      <c r="W407" s="5">
        <v>0</v>
      </c>
      <c r="X407" s="4">
        <v>0</v>
      </c>
      <c r="Y407" s="4">
        <f t="shared" si="12"/>
        <v>2152750</v>
      </c>
      <c r="Z407" s="6" t="s">
        <v>0</v>
      </c>
      <c r="AA407" t="s">
        <v>2</v>
      </c>
      <c r="AB407" t="s">
        <v>103</v>
      </c>
      <c r="AC407">
        <f>_xlfn.XLOOKUP(AB407,'[1]GST Codes'!$A:$A,'[1]GST Codes'!$C:$C,0,0)</f>
        <v>18</v>
      </c>
      <c r="AD407">
        <f t="shared" si="13"/>
        <v>2540245</v>
      </c>
      <c r="AE407" t="s">
        <v>13</v>
      </c>
      <c r="AF407" t="s">
        <v>0</v>
      </c>
      <c r="AG407" t="s">
        <v>14</v>
      </c>
      <c r="AH407" t="s">
        <v>15</v>
      </c>
      <c r="AI407" t="s">
        <v>16</v>
      </c>
      <c r="AJ407" t="s">
        <v>17</v>
      </c>
      <c r="AK407" t="s">
        <v>18</v>
      </c>
      <c r="AL407" t="s">
        <v>19</v>
      </c>
      <c r="AM407" t="s">
        <v>359</v>
      </c>
      <c r="AN407" t="s">
        <v>0</v>
      </c>
      <c r="AO407" t="s">
        <v>0</v>
      </c>
      <c r="AP407" t="s">
        <v>0</v>
      </c>
      <c r="AQ407" s="3">
        <v>39.5</v>
      </c>
      <c r="AR407" t="s">
        <v>11</v>
      </c>
      <c r="AS407" t="s">
        <v>0</v>
      </c>
      <c r="AT407" t="s">
        <v>17</v>
      </c>
      <c r="AU407" s="4">
        <v>0</v>
      </c>
      <c r="AV407" s="4">
        <v>0</v>
      </c>
      <c r="AW407" s="4">
        <v>0</v>
      </c>
      <c r="AX407" s="4">
        <v>0</v>
      </c>
      <c r="AY407" s="5">
        <v>0</v>
      </c>
      <c r="AZ407" s="5">
        <v>0</v>
      </c>
      <c r="BA407" s="5">
        <v>0</v>
      </c>
      <c r="BB407" s="2"/>
      <c r="BC407" t="s">
        <v>0</v>
      </c>
      <c r="BD407" s="5">
        <v>1</v>
      </c>
      <c r="BE407" t="s">
        <v>0</v>
      </c>
      <c r="BF407" t="s">
        <v>361</v>
      </c>
      <c r="BG407" t="s">
        <v>17</v>
      </c>
      <c r="BH407" t="s">
        <v>0</v>
      </c>
      <c r="BI407" t="s">
        <v>11</v>
      </c>
      <c r="BJ407" t="s">
        <v>0</v>
      </c>
      <c r="BK407" t="s">
        <v>0</v>
      </c>
      <c r="BL407" s="5">
        <v>0</v>
      </c>
      <c r="BM407" t="s">
        <v>0</v>
      </c>
      <c r="BN407" t="s">
        <v>0</v>
      </c>
      <c r="BO407" t="s">
        <v>0</v>
      </c>
      <c r="BP407" t="s">
        <v>17</v>
      </c>
      <c r="BQ407" t="s">
        <v>0</v>
      </c>
      <c r="BR407" t="s">
        <v>17</v>
      </c>
      <c r="BS407" t="s">
        <v>17</v>
      </c>
      <c r="BT407" t="s">
        <v>0</v>
      </c>
      <c r="BU407" t="s">
        <v>0</v>
      </c>
      <c r="BV407" t="s">
        <v>0</v>
      </c>
      <c r="BW407" t="s">
        <v>0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</row>
    <row r="408" spans="1:80" ht="13.95" customHeight="1" x14ac:dyDescent="0.25">
      <c r="A408" t="s">
        <v>357</v>
      </c>
      <c r="B408" s="2">
        <v>45611</v>
      </c>
      <c r="C408" s="2">
        <v>45677</v>
      </c>
      <c r="D408" s="2">
        <v>45736</v>
      </c>
      <c r="E408" t="s">
        <v>2</v>
      </c>
      <c r="F408" t="s">
        <v>3</v>
      </c>
      <c r="G408" t="s">
        <v>0</v>
      </c>
      <c r="H408" t="s">
        <v>4</v>
      </c>
      <c r="I408" t="s">
        <v>358</v>
      </c>
      <c r="J408" t="s">
        <v>6</v>
      </c>
      <c r="K408" t="s">
        <v>189</v>
      </c>
      <c r="L408" t="s">
        <v>43</v>
      </c>
      <c r="M408" t="s">
        <v>338</v>
      </c>
      <c r="N408" t="s">
        <v>10</v>
      </c>
      <c r="O408" t="s">
        <v>0</v>
      </c>
      <c r="P408" t="s">
        <v>11</v>
      </c>
      <c r="Q408" s="3">
        <v>39.5</v>
      </c>
      <c r="R408" s="4">
        <v>54500</v>
      </c>
      <c r="S408" s="5">
        <v>1</v>
      </c>
      <c r="T408" s="4">
        <v>2152750</v>
      </c>
      <c r="U408" s="5">
        <v>0</v>
      </c>
      <c r="V408" s="4">
        <v>0</v>
      </c>
      <c r="W408" s="5">
        <v>0</v>
      </c>
      <c r="X408" s="4">
        <v>0</v>
      </c>
      <c r="Y408" s="4">
        <f t="shared" si="12"/>
        <v>2152750</v>
      </c>
      <c r="Z408" s="6" t="s">
        <v>0</v>
      </c>
      <c r="AA408" t="s">
        <v>2</v>
      </c>
      <c r="AB408" t="s">
        <v>103</v>
      </c>
      <c r="AC408">
        <f>_xlfn.XLOOKUP(AB408,'[1]GST Codes'!$A:$A,'[1]GST Codes'!$C:$C,0,0)</f>
        <v>18</v>
      </c>
      <c r="AD408">
        <f t="shared" si="13"/>
        <v>2540245</v>
      </c>
      <c r="AE408" t="s">
        <v>13</v>
      </c>
      <c r="AF408" t="s">
        <v>0</v>
      </c>
      <c r="AG408" t="s">
        <v>14</v>
      </c>
      <c r="AH408" t="s">
        <v>15</v>
      </c>
      <c r="AI408" t="s">
        <v>16</v>
      </c>
      <c r="AJ408" t="s">
        <v>17</v>
      </c>
      <c r="AK408" t="s">
        <v>18</v>
      </c>
      <c r="AL408" t="s">
        <v>19</v>
      </c>
      <c r="AM408" t="s">
        <v>359</v>
      </c>
      <c r="AN408" t="s">
        <v>0</v>
      </c>
      <c r="AO408" t="s">
        <v>0</v>
      </c>
      <c r="AP408" t="s">
        <v>0</v>
      </c>
      <c r="AQ408" s="3">
        <v>39.5</v>
      </c>
      <c r="AR408" t="s">
        <v>11</v>
      </c>
      <c r="AS408" t="s">
        <v>0</v>
      </c>
      <c r="AT408" t="s">
        <v>17</v>
      </c>
      <c r="AU408" s="4">
        <v>0</v>
      </c>
      <c r="AV408" s="4">
        <v>0</v>
      </c>
      <c r="AW408" s="4">
        <v>0</v>
      </c>
      <c r="AX408" s="4">
        <v>0</v>
      </c>
      <c r="AY408" s="5">
        <v>0</v>
      </c>
      <c r="AZ408" s="5">
        <v>0</v>
      </c>
      <c r="BA408" s="5">
        <v>0</v>
      </c>
      <c r="BB408" s="2"/>
      <c r="BC408" t="s">
        <v>0</v>
      </c>
      <c r="BD408" s="5">
        <v>1</v>
      </c>
      <c r="BE408" t="s">
        <v>0</v>
      </c>
      <c r="BF408" t="s">
        <v>361</v>
      </c>
      <c r="BG408" t="s">
        <v>17</v>
      </c>
      <c r="BH408" t="s">
        <v>0</v>
      </c>
      <c r="BI408" t="s">
        <v>11</v>
      </c>
      <c r="BJ408" t="s">
        <v>0</v>
      </c>
      <c r="BK408" t="s">
        <v>0</v>
      </c>
      <c r="BL408" s="5">
        <v>0</v>
      </c>
      <c r="BM408" t="s">
        <v>0</v>
      </c>
      <c r="BN408" t="s">
        <v>0</v>
      </c>
      <c r="BO408" t="s">
        <v>0</v>
      </c>
      <c r="BP408" t="s">
        <v>17</v>
      </c>
      <c r="BQ408" t="s">
        <v>0</v>
      </c>
      <c r="BR408" t="s">
        <v>17</v>
      </c>
      <c r="BS408" t="s">
        <v>17</v>
      </c>
      <c r="BT408" t="s">
        <v>0</v>
      </c>
      <c r="BU408" t="s">
        <v>0</v>
      </c>
      <c r="BV408" t="s">
        <v>0</v>
      </c>
      <c r="BW408" t="s">
        <v>0</v>
      </c>
      <c r="BX408" t="s">
        <v>0</v>
      </c>
      <c r="BY408" t="s">
        <v>0</v>
      </c>
      <c r="BZ408" t="s">
        <v>0</v>
      </c>
      <c r="CA408" t="s">
        <v>0</v>
      </c>
      <c r="CB408" t="s">
        <v>0</v>
      </c>
    </row>
    <row r="409" spans="1:80" ht="13.95" customHeight="1" x14ac:dyDescent="0.25">
      <c r="A409" t="s">
        <v>357</v>
      </c>
      <c r="B409" s="2">
        <v>45611</v>
      </c>
      <c r="C409" s="2">
        <v>45677</v>
      </c>
      <c r="D409" s="2">
        <v>45736</v>
      </c>
      <c r="E409" t="s">
        <v>2</v>
      </c>
      <c r="F409" t="s">
        <v>3</v>
      </c>
      <c r="G409" t="s">
        <v>0</v>
      </c>
      <c r="H409" t="s">
        <v>4</v>
      </c>
      <c r="I409" t="s">
        <v>358</v>
      </c>
      <c r="J409" t="s">
        <v>6</v>
      </c>
      <c r="K409" t="s">
        <v>193</v>
      </c>
      <c r="L409" t="s">
        <v>43</v>
      </c>
      <c r="M409" t="s">
        <v>338</v>
      </c>
      <c r="N409" t="s">
        <v>10</v>
      </c>
      <c r="O409" t="s">
        <v>0</v>
      </c>
      <c r="P409" t="s">
        <v>11</v>
      </c>
      <c r="Q409" s="3">
        <v>15.5</v>
      </c>
      <c r="R409" s="4">
        <v>54500</v>
      </c>
      <c r="S409" s="5">
        <v>1</v>
      </c>
      <c r="T409" s="4">
        <v>844750</v>
      </c>
      <c r="U409" s="5">
        <v>0</v>
      </c>
      <c r="V409" s="4">
        <v>0</v>
      </c>
      <c r="W409" s="5">
        <v>0</v>
      </c>
      <c r="X409" s="4">
        <v>0</v>
      </c>
      <c r="Y409" s="4">
        <f t="shared" si="12"/>
        <v>844750</v>
      </c>
      <c r="Z409" s="6" t="s">
        <v>0</v>
      </c>
      <c r="AA409" t="s">
        <v>2</v>
      </c>
      <c r="AB409" t="s">
        <v>103</v>
      </c>
      <c r="AC409">
        <f>_xlfn.XLOOKUP(AB409,'[1]GST Codes'!$A:$A,'[1]GST Codes'!$C:$C,0,0)</f>
        <v>18</v>
      </c>
      <c r="AD409">
        <f t="shared" si="13"/>
        <v>996805</v>
      </c>
      <c r="AE409" t="s">
        <v>13</v>
      </c>
      <c r="AF409" t="s">
        <v>0</v>
      </c>
      <c r="AG409" t="s">
        <v>14</v>
      </c>
      <c r="AH409" t="s">
        <v>15</v>
      </c>
      <c r="AI409" t="s">
        <v>16</v>
      </c>
      <c r="AJ409" t="s">
        <v>17</v>
      </c>
      <c r="AK409" t="s">
        <v>18</v>
      </c>
      <c r="AL409" t="s">
        <v>19</v>
      </c>
      <c r="AM409" t="s">
        <v>359</v>
      </c>
      <c r="AN409" t="s">
        <v>0</v>
      </c>
      <c r="AO409" t="s">
        <v>0</v>
      </c>
      <c r="AP409" t="s">
        <v>0</v>
      </c>
      <c r="AQ409" s="3">
        <v>15.5</v>
      </c>
      <c r="AR409" t="s">
        <v>11</v>
      </c>
      <c r="AS409" t="s">
        <v>0</v>
      </c>
      <c r="AT409" t="s">
        <v>17</v>
      </c>
      <c r="AU409" s="4">
        <v>0</v>
      </c>
      <c r="AV409" s="4">
        <v>0</v>
      </c>
      <c r="AW409" s="4">
        <v>0</v>
      </c>
      <c r="AX409" s="4">
        <v>0</v>
      </c>
      <c r="AY409" s="5">
        <v>0</v>
      </c>
      <c r="AZ409" s="5">
        <v>0</v>
      </c>
      <c r="BA409" s="5">
        <v>0</v>
      </c>
      <c r="BB409" s="2"/>
      <c r="BC409" t="s">
        <v>0</v>
      </c>
      <c r="BD409" s="5">
        <v>1</v>
      </c>
      <c r="BE409" t="s">
        <v>0</v>
      </c>
      <c r="BF409" t="s">
        <v>361</v>
      </c>
      <c r="BG409" t="s">
        <v>17</v>
      </c>
      <c r="BH409" t="s">
        <v>0</v>
      </c>
      <c r="BI409" t="s">
        <v>11</v>
      </c>
      <c r="BJ409" t="s">
        <v>0</v>
      </c>
      <c r="BK409" t="s">
        <v>0</v>
      </c>
      <c r="BL409" s="5">
        <v>0</v>
      </c>
      <c r="BM409" t="s">
        <v>0</v>
      </c>
      <c r="BN409" t="s">
        <v>0</v>
      </c>
      <c r="BO409" t="s">
        <v>0</v>
      </c>
      <c r="BP409" t="s">
        <v>17</v>
      </c>
      <c r="BQ409" t="s">
        <v>0</v>
      </c>
      <c r="BR409" t="s">
        <v>17</v>
      </c>
      <c r="BS409" t="s">
        <v>17</v>
      </c>
      <c r="BT409" t="s">
        <v>0</v>
      </c>
      <c r="BU409" t="s">
        <v>0</v>
      </c>
      <c r="BV409" t="s">
        <v>0</v>
      </c>
      <c r="BW409" t="s">
        <v>0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</row>
    <row r="410" spans="1:80" ht="13.95" customHeight="1" x14ac:dyDescent="0.25">
      <c r="A410" t="s">
        <v>357</v>
      </c>
      <c r="B410" s="2">
        <v>45611</v>
      </c>
      <c r="C410" s="2">
        <v>45677</v>
      </c>
      <c r="D410" s="2">
        <v>45736</v>
      </c>
      <c r="E410" t="s">
        <v>2</v>
      </c>
      <c r="F410" t="s">
        <v>3</v>
      </c>
      <c r="G410" t="s">
        <v>0</v>
      </c>
      <c r="H410" t="s">
        <v>4</v>
      </c>
      <c r="I410" t="s">
        <v>358</v>
      </c>
      <c r="J410" t="s">
        <v>6</v>
      </c>
      <c r="K410" t="s">
        <v>197</v>
      </c>
      <c r="L410" t="s">
        <v>43</v>
      </c>
      <c r="M410" t="s">
        <v>338</v>
      </c>
      <c r="N410" t="s">
        <v>10</v>
      </c>
      <c r="O410" t="s">
        <v>0</v>
      </c>
      <c r="P410" t="s">
        <v>11</v>
      </c>
      <c r="Q410" s="3">
        <v>15.5</v>
      </c>
      <c r="R410" s="4">
        <v>54500</v>
      </c>
      <c r="S410" s="5">
        <v>1</v>
      </c>
      <c r="T410" s="4">
        <v>844750</v>
      </c>
      <c r="U410" s="5">
        <v>0</v>
      </c>
      <c r="V410" s="4">
        <v>0</v>
      </c>
      <c r="W410" s="5">
        <v>0</v>
      </c>
      <c r="X410" s="4">
        <v>0</v>
      </c>
      <c r="Y410" s="4">
        <f t="shared" si="12"/>
        <v>844750</v>
      </c>
      <c r="Z410" s="6" t="s">
        <v>0</v>
      </c>
      <c r="AA410" t="s">
        <v>2</v>
      </c>
      <c r="AB410" t="s">
        <v>103</v>
      </c>
      <c r="AC410">
        <f>_xlfn.XLOOKUP(AB410,'[1]GST Codes'!$A:$A,'[1]GST Codes'!$C:$C,0,0)</f>
        <v>18</v>
      </c>
      <c r="AD410">
        <f t="shared" si="13"/>
        <v>996805</v>
      </c>
      <c r="AE410" t="s">
        <v>13</v>
      </c>
      <c r="AF410" t="s">
        <v>0</v>
      </c>
      <c r="AG410" t="s">
        <v>14</v>
      </c>
      <c r="AH410" t="s">
        <v>15</v>
      </c>
      <c r="AI410" t="s">
        <v>16</v>
      </c>
      <c r="AJ410" t="s">
        <v>17</v>
      </c>
      <c r="AK410" t="s">
        <v>18</v>
      </c>
      <c r="AL410" t="s">
        <v>19</v>
      </c>
      <c r="AM410" t="s">
        <v>359</v>
      </c>
      <c r="AN410" t="s">
        <v>0</v>
      </c>
      <c r="AO410" t="s">
        <v>0</v>
      </c>
      <c r="AP410" t="s">
        <v>0</v>
      </c>
      <c r="AQ410" s="3">
        <v>15.5</v>
      </c>
      <c r="AR410" t="s">
        <v>11</v>
      </c>
      <c r="AS410" t="s">
        <v>0</v>
      </c>
      <c r="AT410" t="s">
        <v>17</v>
      </c>
      <c r="AU410" s="4">
        <v>0</v>
      </c>
      <c r="AV410" s="4">
        <v>0</v>
      </c>
      <c r="AW410" s="4">
        <v>0</v>
      </c>
      <c r="AX410" s="4">
        <v>0</v>
      </c>
      <c r="AY410" s="5">
        <v>0</v>
      </c>
      <c r="AZ410" s="5">
        <v>0</v>
      </c>
      <c r="BA410" s="5">
        <v>0</v>
      </c>
      <c r="BB410" s="2"/>
      <c r="BC410" t="s">
        <v>0</v>
      </c>
      <c r="BD410" s="5">
        <v>1</v>
      </c>
      <c r="BE410" t="s">
        <v>0</v>
      </c>
      <c r="BF410" t="s">
        <v>361</v>
      </c>
      <c r="BG410" t="s">
        <v>17</v>
      </c>
      <c r="BH410" t="s">
        <v>0</v>
      </c>
      <c r="BI410" t="s">
        <v>11</v>
      </c>
      <c r="BJ410" t="s">
        <v>0</v>
      </c>
      <c r="BK410" t="s">
        <v>0</v>
      </c>
      <c r="BL410" s="5">
        <v>0</v>
      </c>
      <c r="BM410" t="s">
        <v>0</v>
      </c>
      <c r="BN410" t="s">
        <v>0</v>
      </c>
      <c r="BO410" t="s">
        <v>0</v>
      </c>
      <c r="BP410" t="s">
        <v>17</v>
      </c>
      <c r="BQ410" t="s">
        <v>0</v>
      </c>
      <c r="BR410" t="s">
        <v>17</v>
      </c>
      <c r="BS410" t="s">
        <v>17</v>
      </c>
      <c r="BT410" t="s">
        <v>0</v>
      </c>
      <c r="BU410" t="s">
        <v>0</v>
      </c>
      <c r="BV410" t="s">
        <v>0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</row>
    <row r="411" spans="1:80" ht="13.95" customHeight="1" x14ac:dyDescent="0.25">
      <c r="A411" t="s">
        <v>357</v>
      </c>
      <c r="B411" s="2">
        <v>45611</v>
      </c>
      <c r="C411" s="2">
        <v>45677</v>
      </c>
      <c r="D411" s="2">
        <v>45736</v>
      </c>
      <c r="E411" t="s">
        <v>2</v>
      </c>
      <c r="F411" t="s">
        <v>3</v>
      </c>
      <c r="G411" t="s">
        <v>0</v>
      </c>
      <c r="H411" t="s">
        <v>4</v>
      </c>
      <c r="I411" t="s">
        <v>358</v>
      </c>
      <c r="J411" t="s">
        <v>6</v>
      </c>
      <c r="K411" t="s">
        <v>201</v>
      </c>
      <c r="L411" t="s">
        <v>43</v>
      </c>
      <c r="M411" t="s">
        <v>338</v>
      </c>
      <c r="N411" t="s">
        <v>10</v>
      </c>
      <c r="O411" t="s">
        <v>0</v>
      </c>
      <c r="P411" t="s">
        <v>11</v>
      </c>
      <c r="Q411" s="5">
        <v>33</v>
      </c>
      <c r="R411" s="4">
        <v>54500</v>
      </c>
      <c r="S411" s="5">
        <v>1</v>
      </c>
      <c r="T411" s="4">
        <v>1798500</v>
      </c>
      <c r="U411" s="5">
        <v>0</v>
      </c>
      <c r="V411" s="4">
        <v>0</v>
      </c>
      <c r="W411" s="5">
        <v>0</v>
      </c>
      <c r="X411" s="4">
        <v>0</v>
      </c>
      <c r="Y411" s="4">
        <f t="shared" si="12"/>
        <v>1798500</v>
      </c>
      <c r="Z411" s="6" t="s">
        <v>0</v>
      </c>
      <c r="AA411" t="s">
        <v>2</v>
      </c>
      <c r="AB411" t="s">
        <v>103</v>
      </c>
      <c r="AC411">
        <f>_xlfn.XLOOKUP(AB411,'[1]GST Codes'!$A:$A,'[1]GST Codes'!$C:$C,0,0)</f>
        <v>18</v>
      </c>
      <c r="AD411">
        <f t="shared" si="13"/>
        <v>2122230</v>
      </c>
      <c r="AE411" t="s">
        <v>13</v>
      </c>
      <c r="AF411" t="s">
        <v>0</v>
      </c>
      <c r="AG411" t="s">
        <v>14</v>
      </c>
      <c r="AH411" t="s">
        <v>15</v>
      </c>
      <c r="AI411" t="s">
        <v>16</v>
      </c>
      <c r="AJ411" t="s">
        <v>17</v>
      </c>
      <c r="AK411" t="s">
        <v>18</v>
      </c>
      <c r="AL411" t="s">
        <v>19</v>
      </c>
      <c r="AM411" t="s">
        <v>359</v>
      </c>
      <c r="AN411" t="s">
        <v>0</v>
      </c>
      <c r="AO411" t="s">
        <v>0</v>
      </c>
      <c r="AP411" t="s">
        <v>0</v>
      </c>
      <c r="AQ411" s="5">
        <v>33</v>
      </c>
      <c r="AR411" t="s">
        <v>11</v>
      </c>
      <c r="AS411" t="s">
        <v>0</v>
      </c>
      <c r="AT411" t="s">
        <v>17</v>
      </c>
      <c r="AU411" s="4">
        <v>0</v>
      </c>
      <c r="AV411" s="4">
        <v>0</v>
      </c>
      <c r="AW411" s="4">
        <v>0</v>
      </c>
      <c r="AX411" s="4">
        <v>0</v>
      </c>
      <c r="AY411" s="5">
        <v>0</v>
      </c>
      <c r="AZ411" s="5">
        <v>0</v>
      </c>
      <c r="BA411" s="5">
        <v>0</v>
      </c>
      <c r="BB411" s="2"/>
      <c r="BC411" t="s">
        <v>0</v>
      </c>
      <c r="BD411" s="5">
        <v>1</v>
      </c>
      <c r="BE411" t="s">
        <v>0</v>
      </c>
      <c r="BF411" t="s">
        <v>361</v>
      </c>
      <c r="BG411" t="s">
        <v>17</v>
      </c>
      <c r="BH411" t="s">
        <v>0</v>
      </c>
      <c r="BI411" t="s">
        <v>11</v>
      </c>
      <c r="BJ411" t="s">
        <v>0</v>
      </c>
      <c r="BK411" t="s">
        <v>0</v>
      </c>
      <c r="BL411" s="5">
        <v>0</v>
      </c>
      <c r="BM411" t="s">
        <v>0</v>
      </c>
      <c r="BN411" t="s">
        <v>0</v>
      </c>
      <c r="BO411" t="s">
        <v>0</v>
      </c>
      <c r="BP411" t="s">
        <v>17</v>
      </c>
      <c r="BQ411" t="s">
        <v>0</v>
      </c>
      <c r="BR411" t="s">
        <v>17</v>
      </c>
      <c r="BS411" t="s">
        <v>17</v>
      </c>
      <c r="BT411" t="s">
        <v>0</v>
      </c>
      <c r="BU411" t="s">
        <v>0</v>
      </c>
      <c r="BV411" t="s">
        <v>0</v>
      </c>
      <c r="BW411" t="s">
        <v>0</v>
      </c>
      <c r="BX411" t="s">
        <v>0</v>
      </c>
      <c r="BY411" t="s">
        <v>0</v>
      </c>
      <c r="BZ411" t="s">
        <v>0</v>
      </c>
      <c r="CA411" t="s">
        <v>0</v>
      </c>
      <c r="CB411" t="s">
        <v>0</v>
      </c>
    </row>
    <row r="412" spans="1:80" ht="13.95" customHeight="1" x14ac:dyDescent="0.25">
      <c r="A412" t="s">
        <v>362</v>
      </c>
      <c r="B412" s="2">
        <v>45611</v>
      </c>
      <c r="C412" s="2">
        <v>45677</v>
      </c>
      <c r="D412" s="2">
        <v>45736</v>
      </c>
      <c r="E412" t="s">
        <v>2</v>
      </c>
      <c r="F412" t="s">
        <v>3</v>
      </c>
      <c r="G412" t="s">
        <v>0</v>
      </c>
      <c r="H412" t="s">
        <v>4</v>
      </c>
      <c r="I412" t="s">
        <v>363</v>
      </c>
      <c r="J412" t="s">
        <v>6</v>
      </c>
      <c r="K412" t="s">
        <v>7</v>
      </c>
      <c r="L412" t="s">
        <v>43</v>
      </c>
      <c r="M412" t="s">
        <v>44</v>
      </c>
      <c r="N412" t="s">
        <v>10</v>
      </c>
      <c r="O412" t="s">
        <v>0</v>
      </c>
      <c r="P412" t="s">
        <v>11</v>
      </c>
      <c r="Q412" s="3">
        <v>8.5</v>
      </c>
      <c r="R412" s="4">
        <v>54500</v>
      </c>
      <c r="S412" s="5">
        <v>1</v>
      </c>
      <c r="T412" s="4">
        <v>463250</v>
      </c>
      <c r="U412" s="5">
        <v>0</v>
      </c>
      <c r="V412" s="4">
        <v>0</v>
      </c>
      <c r="W412" s="5">
        <v>0</v>
      </c>
      <c r="X412" s="4">
        <v>0</v>
      </c>
      <c r="Y412" s="4">
        <f t="shared" si="12"/>
        <v>463250</v>
      </c>
      <c r="Z412" s="6" t="s">
        <v>0</v>
      </c>
      <c r="AA412" t="s">
        <v>2</v>
      </c>
      <c r="AB412" t="s">
        <v>12</v>
      </c>
      <c r="AC412">
        <f>_xlfn.XLOOKUP(AB412,'[1]GST Codes'!$A:$A,'[1]GST Codes'!$C:$C,0,0)</f>
        <v>18</v>
      </c>
      <c r="AD412">
        <f t="shared" si="13"/>
        <v>546635</v>
      </c>
      <c r="AE412" t="s">
        <v>13</v>
      </c>
      <c r="AF412" t="s">
        <v>0</v>
      </c>
      <c r="AG412" t="s">
        <v>14</v>
      </c>
      <c r="AH412" t="s">
        <v>15</v>
      </c>
      <c r="AI412" t="s">
        <v>16</v>
      </c>
      <c r="AJ412" t="s">
        <v>17</v>
      </c>
      <c r="AK412" t="s">
        <v>18</v>
      </c>
      <c r="AL412" t="s">
        <v>19</v>
      </c>
      <c r="AM412" t="s">
        <v>363</v>
      </c>
      <c r="AN412" t="s">
        <v>0</v>
      </c>
      <c r="AO412" t="s">
        <v>0</v>
      </c>
      <c r="AP412" t="s">
        <v>0</v>
      </c>
      <c r="AQ412" s="3">
        <v>8.5</v>
      </c>
      <c r="AR412" t="s">
        <v>11</v>
      </c>
      <c r="AS412" t="s">
        <v>0</v>
      </c>
      <c r="AT412" t="s">
        <v>17</v>
      </c>
      <c r="AU412" s="4">
        <v>0</v>
      </c>
      <c r="AV412" s="4">
        <v>0</v>
      </c>
      <c r="AW412" s="4">
        <v>0</v>
      </c>
      <c r="AX412" s="4">
        <v>0</v>
      </c>
      <c r="AY412" s="5">
        <v>0</v>
      </c>
      <c r="AZ412" s="5">
        <v>0</v>
      </c>
      <c r="BA412" s="5">
        <v>0</v>
      </c>
      <c r="BB412" s="2"/>
      <c r="BC412" t="s">
        <v>0</v>
      </c>
      <c r="BD412" s="5">
        <v>1</v>
      </c>
      <c r="BE412" t="s">
        <v>0</v>
      </c>
      <c r="BF412" t="s">
        <v>364</v>
      </c>
      <c r="BG412" t="s">
        <v>17</v>
      </c>
      <c r="BH412" t="s">
        <v>0</v>
      </c>
      <c r="BI412" t="s">
        <v>11</v>
      </c>
      <c r="BJ412" t="s">
        <v>0</v>
      </c>
      <c r="BK412" t="s">
        <v>0</v>
      </c>
      <c r="BL412" s="5">
        <v>0</v>
      </c>
      <c r="BM412" t="s">
        <v>0</v>
      </c>
      <c r="BN412" t="s">
        <v>0</v>
      </c>
      <c r="BO412" t="s">
        <v>0</v>
      </c>
      <c r="BP412" t="s">
        <v>17</v>
      </c>
      <c r="BQ412" t="s">
        <v>0</v>
      </c>
      <c r="BR412" t="s">
        <v>17</v>
      </c>
      <c r="BS412" t="s">
        <v>17</v>
      </c>
      <c r="BT412" t="s">
        <v>0</v>
      </c>
      <c r="BU412" t="s">
        <v>0</v>
      </c>
      <c r="BV412" t="s">
        <v>0</v>
      </c>
      <c r="BW412" t="s">
        <v>0</v>
      </c>
      <c r="BX412" t="s">
        <v>0</v>
      </c>
      <c r="BY412" t="s">
        <v>0</v>
      </c>
      <c r="BZ412" t="s">
        <v>0</v>
      </c>
      <c r="CA412" t="s">
        <v>0</v>
      </c>
      <c r="CB412" t="s">
        <v>0</v>
      </c>
    </row>
    <row r="413" spans="1:80" ht="13.95" customHeight="1" x14ac:dyDescent="0.25">
      <c r="A413" t="s">
        <v>362</v>
      </c>
      <c r="B413" s="2">
        <v>45611</v>
      </c>
      <c r="C413" s="2">
        <v>45677</v>
      </c>
      <c r="D413" s="2">
        <v>45736</v>
      </c>
      <c r="E413" t="s">
        <v>2</v>
      </c>
      <c r="F413" t="s">
        <v>3</v>
      </c>
      <c r="G413" t="s">
        <v>0</v>
      </c>
      <c r="H413" t="s">
        <v>4</v>
      </c>
      <c r="I413" t="s">
        <v>363</v>
      </c>
      <c r="J413" t="s">
        <v>6</v>
      </c>
      <c r="K413" t="s">
        <v>22</v>
      </c>
      <c r="L413" t="s">
        <v>43</v>
      </c>
      <c r="M413" t="s">
        <v>44</v>
      </c>
      <c r="N413" t="s">
        <v>10</v>
      </c>
      <c r="O413" t="s">
        <v>0</v>
      </c>
      <c r="P413" t="s">
        <v>11</v>
      </c>
      <c r="Q413" s="3">
        <v>8.5</v>
      </c>
      <c r="R413" s="4">
        <v>54500</v>
      </c>
      <c r="S413" s="5">
        <v>1</v>
      </c>
      <c r="T413" s="4">
        <v>463250</v>
      </c>
      <c r="U413" s="5">
        <v>0</v>
      </c>
      <c r="V413" s="4">
        <v>0</v>
      </c>
      <c r="W413" s="5">
        <v>0</v>
      </c>
      <c r="X413" s="4">
        <v>0</v>
      </c>
      <c r="Y413" s="4">
        <f t="shared" si="12"/>
        <v>463250</v>
      </c>
      <c r="Z413" s="6" t="s">
        <v>0</v>
      </c>
      <c r="AA413" t="s">
        <v>2</v>
      </c>
      <c r="AB413" t="s">
        <v>12</v>
      </c>
      <c r="AC413">
        <f>_xlfn.XLOOKUP(AB413,'[1]GST Codes'!$A:$A,'[1]GST Codes'!$C:$C,0,0)</f>
        <v>18</v>
      </c>
      <c r="AD413">
        <f t="shared" si="13"/>
        <v>546635</v>
      </c>
      <c r="AE413" t="s">
        <v>13</v>
      </c>
      <c r="AF413" t="s">
        <v>0</v>
      </c>
      <c r="AG413" t="s">
        <v>14</v>
      </c>
      <c r="AH413" t="s">
        <v>15</v>
      </c>
      <c r="AI413" t="s">
        <v>16</v>
      </c>
      <c r="AJ413" t="s">
        <v>17</v>
      </c>
      <c r="AK413" t="s">
        <v>18</v>
      </c>
      <c r="AL413" t="s">
        <v>19</v>
      </c>
      <c r="AM413" t="s">
        <v>363</v>
      </c>
      <c r="AN413" t="s">
        <v>0</v>
      </c>
      <c r="AO413" t="s">
        <v>0</v>
      </c>
      <c r="AP413" t="s">
        <v>0</v>
      </c>
      <c r="AQ413" s="3">
        <v>8.5</v>
      </c>
      <c r="AR413" t="s">
        <v>11</v>
      </c>
      <c r="AS413" t="s">
        <v>0</v>
      </c>
      <c r="AT413" t="s">
        <v>17</v>
      </c>
      <c r="AU413" s="4">
        <v>0</v>
      </c>
      <c r="AV413" s="4">
        <v>0</v>
      </c>
      <c r="AW413" s="4">
        <v>0</v>
      </c>
      <c r="AX413" s="4">
        <v>0</v>
      </c>
      <c r="AY413" s="5">
        <v>0</v>
      </c>
      <c r="AZ413" s="5">
        <v>0</v>
      </c>
      <c r="BA413" s="5">
        <v>0</v>
      </c>
      <c r="BB413" s="2"/>
      <c r="BC413" t="s">
        <v>0</v>
      </c>
      <c r="BD413" s="5">
        <v>1</v>
      </c>
      <c r="BE413" t="s">
        <v>0</v>
      </c>
      <c r="BF413" t="s">
        <v>364</v>
      </c>
      <c r="BG413" t="s">
        <v>17</v>
      </c>
      <c r="BH413" t="s">
        <v>0</v>
      </c>
      <c r="BI413" t="s">
        <v>11</v>
      </c>
      <c r="BJ413" t="s">
        <v>0</v>
      </c>
      <c r="BK413" t="s">
        <v>0</v>
      </c>
      <c r="BL413" s="5">
        <v>0</v>
      </c>
      <c r="BM413" t="s">
        <v>0</v>
      </c>
      <c r="BN413" t="s">
        <v>0</v>
      </c>
      <c r="BO413" t="s">
        <v>0</v>
      </c>
      <c r="BP413" t="s">
        <v>17</v>
      </c>
      <c r="BQ413" t="s">
        <v>0</v>
      </c>
      <c r="BR413" t="s">
        <v>17</v>
      </c>
      <c r="BS413" t="s">
        <v>17</v>
      </c>
      <c r="BT413" t="s">
        <v>0</v>
      </c>
      <c r="BU413" t="s">
        <v>0</v>
      </c>
      <c r="BV413" t="s">
        <v>0</v>
      </c>
      <c r="BW413" t="s">
        <v>0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</row>
    <row r="414" spans="1:80" ht="13.95" customHeight="1" x14ac:dyDescent="0.25">
      <c r="A414" t="s">
        <v>362</v>
      </c>
      <c r="B414" s="2">
        <v>45611</v>
      </c>
      <c r="C414" s="2">
        <v>45677</v>
      </c>
      <c r="D414" s="2">
        <v>45736</v>
      </c>
      <c r="E414" t="s">
        <v>2</v>
      </c>
      <c r="F414" t="s">
        <v>3</v>
      </c>
      <c r="G414" t="s">
        <v>0</v>
      </c>
      <c r="H414" t="s">
        <v>4</v>
      </c>
      <c r="I414" t="s">
        <v>363</v>
      </c>
      <c r="J414" t="s">
        <v>6</v>
      </c>
      <c r="K414" t="s">
        <v>26</v>
      </c>
      <c r="L414" t="s">
        <v>43</v>
      </c>
      <c r="M414" t="s">
        <v>44</v>
      </c>
      <c r="N414" t="s">
        <v>10</v>
      </c>
      <c r="O414" t="s">
        <v>0</v>
      </c>
      <c r="P414" t="s">
        <v>11</v>
      </c>
      <c r="Q414" s="3">
        <v>11.5</v>
      </c>
      <c r="R414" s="4">
        <v>54500</v>
      </c>
      <c r="S414" s="5">
        <v>1</v>
      </c>
      <c r="T414" s="4">
        <v>626750</v>
      </c>
      <c r="U414" s="5">
        <v>0</v>
      </c>
      <c r="V414" s="4">
        <v>0</v>
      </c>
      <c r="W414" s="5">
        <v>0</v>
      </c>
      <c r="X414" s="4">
        <v>0</v>
      </c>
      <c r="Y414" s="4">
        <f t="shared" si="12"/>
        <v>626750</v>
      </c>
      <c r="Z414" s="6" t="s">
        <v>0</v>
      </c>
      <c r="AA414" t="s">
        <v>2</v>
      </c>
      <c r="AB414" t="s">
        <v>12</v>
      </c>
      <c r="AC414">
        <f>_xlfn.XLOOKUP(AB414,'[1]GST Codes'!$A:$A,'[1]GST Codes'!$C:$C,0,0)</f>
        <v>18</v>
      </c>
      <c r="AD414">
        <f t="shared" si="13"/>
        <v>739565</v>
      </c>
      <c r="AE414" t="s">
        <v>13</v>
      </c>
      <c r="AF414" t="s">
        <v>0</v>
      </c>
      <c r="AG414" t="s">
        <v>14</v>
      </c>
      <c r="AH414" t="s">
        <v>15</v>
      </c>
      <c r="AI414" t="s">
        <v>16</v>
      </c>
      <c r="AJ414" t="s">
        <v>17</v>
      </c>
      <c r="AK414" t="s">
        <v>18</v>
      </c>
      <c r="AL414" t="s">
        <v>19</v>
      </c>
      <c r="AM414" t="s">
        <v>363</v>
      </c>
      <c r="AN414" t="s">
        <v>0</v>
      </c>
      <c r="AO414" t="s">
        <v>0</v>
      </c>
      <c r="AP414" t="s">
        <v>0</v>
      </c>
      <c r="AQ414" s="3">
        <v>11.5</v>
      </c>
      <c r="AR414" t="s">
        <v>11</v>
      </c>
      <c r="AS414" t="s">
        <v>0</v>
      </c>
      <c r="AT414" t="s">
        <v>17</v>
      </c>
      <c r="AU414" s="4">
        <v>0</v>
      </c>
      <c r="AV414" s="4">
        <v>0</v>
      </c>
      <c r="AW414" s="4">
        <v>0</v>
      </c>
      <c r="AX414" s="4">
        <v>0</v>
      </c>
      <c r="AY414" s="5">
        <v>0</v>
      </c>
      <c r="AZ414" s="5">
        <v>0</v>
      </c>
      <c r="BA414" s="5">
        <v>0</v>
      </c>
      <c r="BB414" s="2"/>
      <c r="BC414" t="s">
        <v>0</v>
      </c>
      <c r="BD414" s="5">
        <v>1</v>
      </c>
      <c r="BE414" t="s">
        <v>0</v>
      </c>
      <c r="BF414" t="s">
        <v>364</v>
      </c>
      <c r="BG414" t="s">
        <v>17</v>
      </c>
      <c r="BH414" t="s">
        <v>0</v>
      </c>
      <c r="BI414" t="s">
        <v>11</v>
      </c>
      <c r="BJ414" t="s">
        <v>0</v>
      </c>
      <c r="BK414" t="s">
        <v>0</v>
      </c>
      <c r="BL414" s="5">
        <v>0</v>
      </c>
      <c r="BM414" t="s">
        <v>0</v>
      </c>
      <c r="BN414" t="s">
        <v>0</v>
      </c>
      <c r="BO414" t="s">
        <v>0</v>
      </c>
      <c r="BP414" t="s">
        <v>17</v>
      </c>
      <c r="BQ414" t="s">
        <v>0</v>
      </c>
      <c r="BR414" t="s">
        <v>17</v>
      </c>
      <c r="BS414" t="s">
        <v>17</v>
      </c>
      <c r="BT414" t="s">
        <v>0</v>
      </c>
      <c r="BU414" t="s">
        <v>0</v>
      </c>
      <c r="BV414" t="s">
        <v>0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</row>
    <row r="415" spans="1:80" ht="13.95" customHeight="1" x14ac:dyDescent="0.25">
      <c r="A415" t="s">
        <v>362</v>
      </c>
      <c r="B415" s="2">
        <v>45611</v>
      </c>
      <c r="C415" s="2">
        <v>45677</v>
      </c>
      <c r="D415" s="2">
        <v>45736</v>
      </c>
      <c r="E415" t="s">
        <v>2</v>
      </c>
      <c r="F415" t="s">
        <v>3</v>
      </c>
      <c r="G415" t="s">
        <v>0</v>
      </c>
      <c r="H415" t="s">
        <v>4</v>
      </c>
      <c r="I415" t="s">
        <v>363</v>
      </c>
      <c r="J415" t="s">
        <v>6</v>
      </c>
      <c r="K415" t="s">
        <v>30</v>
      </c>
      <c r="L415" t="s">
        <v>43</v>
      </c>
      <c r="M415" t="s">
        <v>44</v>
      </c>
      <c r="N415" t="s">
        <v>10</v>
      </c>
      <c r="O415" t="s">
        <v>0</v>
      </c>
      <c r="P415" t="s">
        <v>11</v>
      </c>
      <c r="Q415" s="3">
        <v>11.5</v>
      </c>
      <c r="R415" s="4">
        <v>54500</v>
      </c>
      <c r="S415" s="5">
        <v>1</v>
      </c>
      <c r="T415" s="4">
        <v>626750</v>
      </c>
      <c r="U415" s="5">
        <v>0</v>
      </c>
      <c r="V415" s="4">
        <v>0</v>
      </c>
      <c r="W415" s="5">
        <v>0</v>
      </c>
      <c r="X415" s="4">
        <v>0</v>
      </c>
      <c r="Y415" s="4">
        <f t="shared" si="12"/>
        <v>626750</v>
      </c>
      <c r="Z415" s="6" t="s">
        <v>0</v>
      </c>
      <c r="AA415" t="s">
        <v>2</v>
      </c>
      <c r="AB415" t="s">
        <v>12</v>
      </c>
      <c r="AC415">
        <f>_xlfn.XLOOKUP(AB415,'[1]GST Codes'!$A:$A,'[1]GST Codes'!$C:$C,0,0)</f>
        <v>18</v>
      </c>
      <c r="AD415">
        <f t="shared" si="13"/>
        <v>739565</v>
      </c>
      <c r="AE415" t="s">
        <v>13</v>
      </c>
      <c r="AF415" t="s">
        <v>0</v>
      </c>
      <c r="AG415" t="s">
        <v>14</v>
      </c>
      <c r="AH415" t="s">
        <v>15</v>
      </c>
      <c r="AI415" t="s">
        <v>16</v>
      </c>
      <c r="AJ415" t="s">
        <v>17</v>
      </c>
      <c r="AK415" t="s">
        <v>18</v>
      </c>
      <c r="AL415" t="s">
        <v>19</v>
      </c>
      <c r="AM415" t="s">
        <v>363</v>
      </c>
      <c r="AN415" t="s">
        <v>0</v>
      </c>
      <c r="AO415" t="s">
        <v>0</v>
      </c>
      <c r="AP415" t="s">
        <v>0</v>
      </c>
      <c r="AQ415" s="3">
        <v>11.5</v>
      </c>
      <c r="AR415" t="s">
        <v>11</v>
      </c>
      <c r="AS415" t="s">
        <v>0</v>
      </c>
      <c r="AT415" t="s">
        <v>17</v>
      </c>
      <c r="AU415" s="4">
        <v>0</v>
      </c>
      <c r="AV415" s="4">
        <v>0</v>
      </c>
      <c r="AW415" s="4">
        <v>0</v>
      </c>
      <c r="AX415" s="4">
        <v>0</v>
      </c>
      <c r="AY415" s="5">
        <v>0</v>
      </c>
      <c r="AZ415" s="5">
        <v>0</v>
      </c>
      <c r="BA415" s="5">
        <v>0</v>
      </c>
      <c r="BB415" s="2"/>
      <c r="BC415" t="s">
        <v>0</v>
      </c>
      <c r="BD415" s="5">
        <v>1</v>
      </c>
      <c r="BE415" t="s">
        <v>0</v>
      </c>
      <c r="BF415" t="s">
        <v>364</v>
      </c>
      <c r="BG415" t="s">
        <v>17</v>
      </c>
      <c r="BH415" t="s">
        <v>0</v>
      </c>
      <c r="BI415" t="s">
        <v>11</v>
      </c>
      <c r="BJ415" t="s">
        <v>0</v>
      </c>
      <c r="BK415" t="s">
        <v>0</v>
      </c>
      <c r="BL415" s="5">
        <v>0</v>
      </c>
      <c r="BM415" t="s">
        <v>0</v>
      </c>
      <c r="BN415" t="s">
        <v>0</v>
      </c>
      <c r="BO415" t="s">
        <v>0</v>
      </c>
      <c r="BP415" t="s">
        <v>17</v>
      </c>
      <c r="BQ415" t="s">
        <v>0</v>
      </c>
      <c r="BR415" t="s">
        <v>17</v>
      </c>
      <c r="BS415" t="s">
        <v>17</v>
      </c>
      <c r="BT415" t="s">
        <v>0</v>
      </c>
      <c r="BU415" t="s">
        <v>0</v>
      </c>
      <c r="BV415" t="s">
        <v>0</v>
      </c>
      <c r="BW415" t="s">
        <v>0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</row>
    <row r="416" spans="1:80" ht="13.95" customHeight="1" x14ac:dyDescent="0.25">
      <c r="A416" t="s">
        <v>362</v>
      </c>
      <c r="B416" s="2">
        <v>45611</v>
      </c>
      <c r="C416" s="2">
        <v>45677</v>
      </c>
      <c r="D416" s="2">
        <v>45736</v>
      </c>
      <c r="E416" t="s">
        <v>2</v>
      </c>
      <c r="F416" t="s">
        <v>3</v>
      </c>
      <c r="G416" t="s">
        <v>0</v>
      </c>
      <c r="H416" t="s">
        <v>4</v>
      </c>
      <c r="I416" t="s">
        <v>363</v>
      </c>
      <c r="J416" t="s">
        <v>6</v>
      </c>
      <c r="K416" t="s">
        <v>34</v>
      </c>
      <c r="L416" t="s">
        <v>43</v>
      </c>
      <c r="M416" t="s">
        <v>44</v>
      </c>
      <c r="N416" t="s">
        <v>10</v>
      </c>
      <c r="O416" t="s">
        <v>0</v>
      </c>
      <c r="P416" t="s">
        <v>11</v>
      </c>
      <c r="Q416" s="5">
        <v>4</v>
      </c>
      <c r="R416" s="4">
        <v>54500</v>
      </c>
      <c r="S416" s="5">
        <v>1</v>
      </c>
      <c r="T416" s="4">
        <v>218000</v>
      </c>
      <c r="U416" s="5">
        <v>0</v>
      </c>
      <c r="V416" s="4">
        <v>0</v>
      </c>
      <c r="W416" s="5">
        <v>0</v>
      </c>
      <c r="X416" s="4">
        <v>0</v>
      </c>
      <c r="Y416" s="4">
        <f t="shared" si="12"/>
        <v>218000</v>
      </c>
      <c r="Z416" s="6" t="s">
        <v>0</v>
      </c>
      <c r="AA416" t="s">
        <v>2</v>
      </c>
      <c r="AB416" t="s">
        <v>12</v>
      </c>
      <c r="AC416">
        <f>_xlfn.XLOOKUP(AB416,'[1]GST Codes'!$A:$A,'[1]GST Codes'!$C:$C,0,0)</f>
        <v>18</v>
      </c>
      <c r="AD416">
        <f t="shared" si="13"/>
        <v>257240</v>
      </c>
      <c r="AE416" t="s">
        <v>13</v>
      </c>
      <c r="AF416" t="s">
        <v>0</v>
      </c>
      <c r="AG416" t="s">
        <v>14</v>
      </c>
      <c r="AH416" t="s">
        <v>15</v>
      </c>
      <c r="AI416" t="s">
        <v>16</v>
      </c>
      <c r="AJ416" t="s">
        <v>17</v>
      </c>
      <c r="AK416" t="s">
        <v>18</v>
      </c>
      <c r="AL416" t="s">
        <v>19</v>
      </c>
      <c r="AM416" t="s">
        <v>363</v>
      </c>
      <c r="AN416" t="s">
        <v>0</v>
      </c>
      <c r="AO416" t="s">
        <v>0</v>
      </c>
      <c r="AP416" t="s">
        <v>0</v>
      </c>
      <c r="AQ416" s="5">
        <v>4</v>
      </c>
      <c r="AR416" t="s">
        <v>11</v>
      </c>
      <c r="AS416" t="s">
        <v>0</v>
      </c>
      <c r="AT416" t="s">
        <v>17</v>
      </c>
      <c r="AU416" s="4">
        <v>0</v>
      </c>
      <c r="AV416" s="4">
        <v>0</v>
      </c>
      <c r="AW416" s="4">
        <v>0</v>
      </c>
      <c r="AX416" s="4">
        <v>0</v>
      </c>
      <c r="AY416" s="5">
        <v>0</v>
      </c>
      <c r="AZ416" s="5">
        <v>0</v>
      </c>
      <c r="BA416" s="5">
        <v>0</v>
      </c>
      <c r="BB416" s="2"/>
      <c r="BC416" t="s">
        <v>0</v>
      </c>
      <c r="BD416" s="5">
        <v>1</v>
      </c>
      <c r="BE416" t="s">
        <v>0</v>
      </c>
      <c r="BF416" t="s">
        <v>364</v>
      </c>
      <c r="BG416" t="s">
        <v>17</v>
      </c>
      <c r="BH416" t="s">
        <v>0</v>
      </c>
      <c r="BI416" t="s">
        <v>11</v>
      </c>
      <c r="BJ416" t="s">
        <v>0</v>
      </c>
      <c r="BK416" t="s">
        <v>0</v>
      </c>
      <c r="BL416" s="5">
        <v>0</v>
      </c>
      <c r="BM416" t="s">
        <v>0</v>
      </c>
      <c r="BN416" t="s">
        <v>0</v>
      </c>
      <c r="BO416" t="s">
        <v>0</v>
      </c>
      <c r="BP416" t="s">
        <v>17</v>
      </c>
      <c r="BQ416" t="s">
        <v>0</v>
      </c>
      <c r="BR416" t="s">
        <v>17</v>
      </c>
      <c r="BS416" t="s">
        <v>17</v>
      </c>
      <c r="BT416" t="s">
        <v>0</v>
      </c>
      <c r="BU416" t="s">
        <v>0</v>
      </c>
      <c r="BV416" t="s">
        <v>0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</row>
    <row r="417" spans="1:80" ht="13.95" customHeight="1" x14ac:dyDescent="0.25">
      <c r="A417" t="s">
        <v>362</v>
      </c>
      <c r="B417" s="2">
        <v>45611</v>
      </c>
      <c r="C417" s="2">
        <v>45677</v>
      </c>
      <c r="D417" s="2">
        <v>45736</v>
      </c>
      <c r="E417" t="s">
        <v>2</v>
      </c>
      <c r="F417" t="s">
        <v>3</v>
      </c>
      <c r="G417" t="s">
        <v>0</v>
      </c>
      <c r="H417" t="s">
        <v>4</v>
      </c>
      <c r="I417" t="s">
        <v>363</v>
      </c>
      <c r="J417" t="s">
        <v>6</v>
      </c>
      <c r="K417" t="s">
        <v>38</v>
      </c>
      <c r="L417" t="s">
        <v>43</v>
      </c>
      <c r="M417" t="s">
        <v>44</v>
      </c>
      <c r="N417" t="s">
        <v>10</v>
      </c>
      <c r="O417" t="s">
        <v>0</v>
      </c>
      <c r="P417" t="s">
        <v>11</v>
      </c>
      <c r="Q417" s="5">
        <v>4</v>
      </c>
      <c r="R417" s="4">
        <v>54500</v>
      </c>
      <c r="S417" s="5">
        <v>1</v>
      </c>
      <c r="T417" s="4">
        <v>218000</v>
      </c>
      <c r="U417" s="3">
        <v>1.9510000000000001</v>
      </c>
      <c r="V417" s="4">
        <v>106329.5</v>
      </c>
      <c r="W417" s="3">
        <v>1.9510000000000001</v>
      </c>
      <c r="X417" s="4">
        <v>106329.5</v>
      </c>
      <c r="Y417" s="4">
        <f t="shared" si="12"/>
        <v>111670.5</v>
      </c>
      <c r="Z417" s="6" t="s">
        <v>0</v>
      </c>
      <c r="AA417" t="s">
        <v>2</v>
      </c>
      <c r="AB417" t="s">
        <v>12</v>
      </c>
      <c r="AC417">
        <f>_xlfn.XLOOKUP(AB417,'[1]GST Codes'!$A:$A,'[1]GST Codes'!$C:$C,0,0)</f>
        <v>18</v>
      </c>
      <c r="AD417">
        <f t="shared" si="13"/>
        <v>131771.19</v>
      </c>
      <c r="AE417" t="s">
        <v>13</v>
      </c>
      <c r="AF417" t="s">
        <v>0</v>
      </c>
      <c r="AG417" t="s">
        <v>14</v>
      </c>
      <c r="AH417" t="s">
        <v>15</v>
      </c>
      <c r="AI417" t="s">
        <v>16</v>
      </c>
      <c r="AJ417" t="s">
        <v>17</v>
      </c>
      <c r="AK417" t="s">
        <v>18</v>
      </c>
      <c r="AL417" t="s">
        <v>19</v>
      </c>
      <c r="AM417" t="s">
        <v>363</v>
      </c>
      <c r="AN417" t="s">
        <v>0</v>
      </c>
      <c r="AO417" t="s">
        <v>0</v>
      </c>
      <c r="AP417" t="s">
        <v>0</v>
      </c>
      <c r="AQ417" s="5">
        <v>4</v>
      </c>
      <c r="AR417" t="s">
        <v>11</v>
      </c>
      <c r="AS417" t="s">
        <v>0</v>
      </c>
      <c r="AT417" t="s">
        <v>17</v>
      </c>
      <c r="AU417" s="4">
        <v>0</v>
      </c>
      <c r="AV417" s="4">
        <v>0</v>
      </c>
      <c r="AW417" s="4">
        <v>0</v>
      </c>
      <c r="AX417" s="4">
        <v>0</v>
      </c>
      <c r="AY417" s="5">
        <v>0</v>
      </c>
      <c r="AZ417" s="5">
        <v>0</v>
      </c>
      <c r="BA417" s="5">
        <v>0</v>
      </c>
      <c r="BB417" s="2"/>
      <c r="BC417" t="s">
        <v>0</v>
      </c>
      <c r="BD417" s="5">
        <v>1</v>
      </c>
      <c r="BE417" t="s">
        <v>0</v>
      </c>
      <c r="BF417" t="s">
        <v>364</v>
      </c>
      <c r="BG417" t="s">
        <v>17</v>
      </c>
      <c r="BH417" t="s">
        <v>0</v>
      </c>
      <c r="BI417" t="s">
        <v>11</v>
      </c>
      <c r="BJ417" t="s">
        <v>0</v>
      </c>
      <c r="BK417" t="s">
        <v>0</v>
      </c>
      <c r="BL417" s="5">
        <v>0</v>
      </c>
      <c r="BM417" t="s">
        <v>0</v>
      </c>
      <c r="BN417" t="s">
        <v>0</v>
      </c>
      <c r="BO417" t="s">
        <v>0</v>
      </c>
      <c r="BP417" t="s">
        <v>17</v>
      </c>
      <c r="BQ417" t="s">
        <v>0</v>
      </c>
      <c r="BR417" t="s">
        <v>17</v>
      </c>
      <c r="BS417" t="s">
        <v>17</v>
      </c>
      <c r="BT417" t="s">
        <v>0</v>
      </c>
      <c r="BU417" t="s">
        <v>0</v>
      </c>
      <c r="BV417" t="s">
        <v>0</v>
      </c>
      <c r="BW417" t="s">
        <v>0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</row>
    <row r="418" spans="1:80" ht="13.95" customHeight="1" x14ac:dyDescent="0.25">
      <c r="A418" t="s">
        <v>362</v>
      </c>
      <c r="B418" s="2">
        <v>45611</v>
      </c>
      <c r="C418" s="2">
        <v>45677</v>
      </c>
      <c r="D418" s="2">
        <v>45736</v>
      </c>
      <c r="E418" t="s">
        <v>2</v>
      </c>
      <c r="F418" t="s">
        <v>3</v>
      </c>
      <c r="G418" t="s">
        <v>0</v>
      </c>
      <c r="H418" t="s">
        <v>4</v>
      </c>
      <c r="I418" t="s">
        <v>363</v>
      </c>
      <c r="J418" t="s">
        <v>6</v>
      </c>
      <c r="K418" t="s">
        <v>42</v>
      </c>
      <c r="L418" t="s">
        <v>43</v>
      </c>
      <c r="M418" t="s">
        <v>44</v>
      </c>
      <c r="N418" t="s">
        <v>10</v>
      </c>
      <c r="O418" t="s">
        <v>0</v>
      </c>
      <c r="P418" t="s">
        <v>11</v>
      </c>
      <c r="Q418" s="5">
        <v>12</v>
      </c>
      <c r="R418" s="4">
        <v>54500</v>
      </c>
      <c r="S418" s="5">
        <v>1</v>
      </c>
      <c r="T418" s="4">
        <v>654000</v>
      </c>
      <c r="U418" s="5">
        <v>0</v>
      </c>
      <c r="V418" s="4">
        <v>0</v>
      </c>
      <c r="W418" s="5">
        <v>0</v>
      </c>
      <c r="X418" s="4">
        <v>0</v>
      </c>
      <c r="Y418" s="4">
        <f t="shared" si="12"/>
        <v>654000</v>
      </c>
      <c r="Z418" s="6" t="s">
        <v>0</v>
      </c>
      <c r="AA418" t="s">
        <v>2</v>
      </c>
      <c r="AB418" t="s">
        <v>12</v>
      </c>
      <c r="AC418">
        <f>_xlfn.XLOOKUP(AB418,'[1]GST Codes'!$A:$A,'[1]GST Codes'!$C:$C,0,0)</f>
        <v>18</v>
      </c>
      <c r="AD418">
        <f t="shared" si="13"/>
        <v>771720</v>
      </c>
      <c r="AE418" t="s">
        <v>13</v>
      </c>
      <c r="AF418" t="s">
        <v>0</v>
      </c>
      <c r="AG418" t="s">
        <v>14</v>
      </c>
      <c r="AH418" t="s">
        <v>15</v>
      </c>
      <c r="AI418" t="s">
        <v>16</v>
      </c>
      <c r="AJ418" t="s">
        <v>17</v>
      </c>
      <c r="AK418" t="s">
        <v>18</v>
      </c>
      <c r="AL418" t="s">
        <v>19</v>
      </c>
      <c r="AM418" t="s">
        <v>363</v>
      </c>
      <c r="AN418" t="s">
        <v>0</v>
      </c>
      <c r="AO418" t="s">
        <v>0</v>
      </c>
      <c r="AP418" t="s">
        <v>0</v>
      </c>
      <c r="AQ418" s="5">
        <v>12</v>
      </c>
      <c r="AR418" t="s">
        <v>11</v>
      </c>
      <c r="AS418" t="s">
        <v>0</v>
      </c>
      <c r="AT418" t="s">
        <v>17</v>
      </c>
      <c r="AU418" s="4">
        <v>0</v>
      </c>
      <c r="AV418" s="4">
        <v>0</v>
      </c>
      <c r="AW418" s="4">
        <v>0</v>
      </c>
      <c r="AX418" s="4">
        <v>0</v>
      </c>
      <c r="AY418" s="5">
        <v>0</v>
      </c>
      <c r="AZ418" s="5">
        <v>0</v>
      </c>
      <c r="BA418" s="5">
        <v>0</v>
      </c>
      <c r="BB418" s="2"/>
      <c r="BC418" t="s">
        <v>0</v>
      </c>
      <c r="BD418" s="5">
        <v>1</v>
      </c>
      <c r="BE418" t="s">
        <v>0</v>
      </c>
      <c r="BF418" t="s">
        <v>364</v>
      </c>
      <c r="BG418" t="s">
        <v>17</v>
      </c>
      <c r="BH418" t="s">
        <v>0</v>
      </c>
      <c r="BI418" t="s">
        <v>11</v>
      </c>
      <c r="BJ418" t="s">
        <v>0</v>
      </c>
      <c r="BK418" t="s">
        <v>0</v>
      </c>
      <c r="BL418" s="5">
        <v>0</v>
      </c>
      <c r="BM418" t="s">
        <v>0</v>
      </c>
      <c r="BN418" t="s">
        <v>0</v>
      </c>
      <c r="BO418" t="s">
        <v>0</v>
      </c>
      <c r="BP418" t="s">
        <v>17</v>
      </c>
      <c r="BQ418" t="s">
        <v>0</v>
      </c>
      <c r="BR418" t="s">
        <v>17</v>
      </c>
      <c r="BS418" t="s">
        <v>17</v>
      </c>
      <c r="BT418" t="s">
        <v>0</v>
      </c>
      <c r="BU418" t="s">
        <v>0</v>
      </c>
      <c r="BV418" t="s">
        <v>0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</row>
    <row r="419" spans="1:80" ht="13.95" customHeight="1" x14ac:dyDescent="0.25">
      <c r="A419" t="s">
        <v>362</v>
      </c>
      <c r="B419" s="2">
        <v>45611</v>
      </c>
      <c r="C419" s="2">
        <v>45677</v>
      </c>
      <c r="D419" s="2">
        <v>45736</v>
      </c>
      <c r="E419" t="s">
        <v>2</v>
      </c>
      <c r="F419" t="s">
        <v>3</v>
      </c>
      <c r="G419" t="s">
        <v>0</v>
      </c>
      <c r="H419" t="s">
        <v>4</v>
      </c>
      <c r="I419" t="s">
        <v>363</v>
      </c>
      <c r="J419" t="s">
        <v>6</v>
      </c>
      <c r="K419" t="s">
        <v>86</v>
      </c>
      <c r="L419" t="s">
        <v>43</v>
      </c>
      <c r="M419" t="s">
        <v>338</v>
      </c>
      <c r="N419" t="s">
        <v>10</v>
      </c>
      <c r="O419" t="s">
        <v>0</v>
      </c>
      <c r="P419" t="s">
        <v>11</v>
      </c>
      <c r="Q419" s="5">
        <v>12</v>
      </c>
      <c r="R419" s="4">
        <v>54500</v>
      </c>
      <c r="S419" s="5">
        <v>1</v>
      </c>
      <c r="T419" s="4">
        <v>654000</v>
      </c>
      <c r="U419" s="5">
        <v>0</v>
      </c>
      <c r="V419" s="4">
        <v>0</v>
      </c>
      <c r="W419" s="5">
        <v>0</v>
      </c>
      <c r="X419" s="4">
        <v>0</v>
      </c>
      <c r="Y419" s="4">
        <f t="shared" si="12"/>
        <v>654000</v>
      </c>
      <c r="Z419" s="6" t="s">
        <v>0</v>
      </c>
      <c r="AA419" t="s">
        <v>2</v>
      </c>
      <c r="AB419" t="s">
        <v>12</v>
      </c>
      <c r="AC419">
        <f>_xlfn.XLOOKUP(AB419,'[1]GST Codes'!$A:$A,'[1]GST Codes'!$C:$C,0,0)</f>
        <v>18</v>
      </c>
      <c r="AD419">
        <f t="shared" si="13"/>
        <v>771720</v>
      </c>
      <c r="AE419" t="s">
        <v>13</v>
      </c>
      <c r="AF419" t="s">
        <v>0</v>
      </c>
      <c r="AG419" t="s">
        <v>14</v>
      </c>
      <c r="AH419" t="s">
        <v>15</v>
      </c>
      <c r="AI419" t="s">
        <v>16</v>
      </c>
      <c r="AJ419" t="s">
        <v>17</v>
      </c>
      <c r="AK419" t="s">
        <v>18</v>
      </c>
      <c r="AL419" t="s">
        <v>19</v>
      </c>
      <c r="AM419" t="s">
        <v>363</v>
      </c>
      <c r="AN419" t="s">
        <v>0</v>
      </c>
      <c r="AO419" t="s">
        <v>0</v>
      </c>
      <c r="AP419" t="s">
        <v>0</v>
      </c>
      <c r="AQ419" s="5">
        <v>12</v>
      </c>
      <c r="AR419" t="s">
        <v>11</v>
      </c>
      <c r="AS419" t="s">
        <v>0</v>
      </c>
      <c r="AT419" t="s">
        <v>17</v>
      </c>
      <c r="AU419" s="4">
        <v>0</v>
      </c>
      <c r="AV419" s="4">
        <v>0</v>
      </c>
      <c r="AW419" s="4">
        <v>0</v>
      </c>
      <c r="AX419" s="4">
        <v>0</v>
      </c>
      <c r="AY419" s="5">
        <v>0</v>
      </c>
      <c r="AZ419" s="5">
        <v>0</v>
      </c>
      <c r="BA419" s="5">
        <v>0</v>
      </c>
      <c r="BB419" s="2"/>
      <c r="BC419" t="s">
        <v>0</v>
      </c>
      <c r="BD419" s="5">
        <v>1</v>
      </c>
      <c r="BE419" t="s">
        <v>0</v>
      </c>
      <c r="BF419" t="s">
        <v>364</v>
      </c>
      <c r="BG419" t="s">
        <v>17</v>
      </c>
      <c r="BH419" t="s">
        <v>0</v>
      </c>
      <c r="BI419" t="s">
        <v>11</v>
      </c>
      <c r="BJ419" t="s">
        <v>0</v>
      </c>
      <c r="BK419" t="s">
        <v>0</v>
      </c>
      <c r="BL419" s="5">
        <v>0</v>
      </c>
      <c r="BM419" t="s">
        <v>0</v>
      </c>
      <c r="BN419" t="s">
        <v>0</v>
      </c>
      <c r="BO419" t="s">
        <v>0</v>
      </c>
      <c r="BP419" t="s">
        <v>17</v>
      </c>
      <c r="BQ419" t="s">
        <v>0</v>
      </c>
      <c r="BR419" t="s">
        <v>17</v>
      </c>
      <c r="BS419" t="s">
        <v>17</v>
      </c>
      <c r="BT419" t="s">
        <v>0</v>
      </c>
      <c r="BU419" t="s">
        <v>0</v>
      </c>
      <c r="BV419" t="s">
        <v>0</v>
      </c>
      <c r="BW419" t="s">
        <v>0</v>
      </c>
      <c r="BX419" t="s">
        <v>0</v>
      </c>
      <c r="BY419" t="s">
        <v>0</v>
      </c>
      <c r="BZ419" t="s">
        <v>0</v>
      </c>
      <c r="CA419" t="s">
        <v>0</v>
      </c>
      <c r="CB419" t="s">
        <v>0</v>
      </c>
    </row>
    <row r="420" spans="1:80" ht="13.95" customHeight="1" x14ac:dyDescent="0.25">
      <c r="A420" t="s">
        <v>362</v>
      </c>
      <c r="B420" s="2">
        <v>45611</v>
      </c>
      <c r="C420" s="2">
        <v>45677</v>
      </c>
      <c r="D420" s="2">
        <v>45736</v>
      </c>
      <c r="E420" t="s">
        <v>2</v>
      </c>
      <c r="F420" t="s">
        <v>3</v>
      </c>
      <c r="G420" t="s">
        <v>0</v>
      </c>
      <c r="H420" t="s">
        <v>4</v>
      </c>
      <c r="I420" t="s">
        <v>363</v>
      </c>
      <c r="J420" t="s">
        <v>6</v>
      </c>
      <c r="K420" t="s">
        <v>87</v>
      </c>
      <c r="L420" t="s">
        <v>43</v>
      </c>
      <c r="M420" t="s">
        <v>338</v>
      </c>
      <c r="N420" t="s">
        <v>10</v>
      </c>
      <c r="O420" t="s">
        <v>0</v>
      </c>
      <c r="P420" t="s">
        <v>11</v>
      </c>
      <c r="Q420" s="5">
        <v>3</v>
      </c>
      <c r="R420" s="4">
        <v>54500</v>
      </c>
      <c r="S420" s="5">
        <v>1</v>
      </c>
      <c r="T420" s="4">
        <v>163500</v>
      </c>
      <c r="U420" s="5">
        <v>0</v>
      </c>
      <c r="V420" s="4">
        <v>0</v>
      </c>
      <c r="W420" s="5">
        <v>0</v>
      </c>
      <c r="X420" s="4">
        <v>0</v>
      </c>
      <c r="Y420" s="4">
        <f t="shared" si="12"/>
        <v>163500</v>
      </c>
      <c r="Z420" s="6" t="s">
        <v>0</v>
      </c>
      <c r="AA420" t="s">
        <v>2</v>
      </c>
      <c r="AB420" t="s">
        <v>12</v>
      </c>
      <c r="AC420">
        <f>_xlfn.XLOOKUP(AB420,'[1]GST Codes'!$A:$A,'[1]GST Codes'!$C:$C,0,0)</f>
        <v>18</v>
      </c>
      <c r="AD420">
        <f t="shared" si="13"/>
        <v>192930</v>
      </c>
      <c r="AE420" t="s">
        <v>13</v>
      </c>
      <c r="AF420" t="s">
        <v>0</v>
      </c>
      <c r="AG420" t="s">
        <v>14</v>
      </c>
      <c r="AH420" t="s">
        <v>15</v>
      </c>
      <c r="AI420" t="s">
        <v>16</v>
      </c>
      <c r="AJ420" t="s">
        <v>17</v>
      </c>
      <c r="AK420" t="s">
        <v>18</v>
      </c>
      <c r="AL420" t="s">
        <v>19</v>
      </c>
      <c r="AM420" t="s">
        <v>363</v>
      </c>
      <c r="AN420" t="s">
        <v>0</v>
      </c>
      <c r="AO420" t="s">
        <v>0</v>
      </c>
      <c r="AP420" t="s">
        <v>0</v>
      </c>
      <c r="AQ420" s="5">
        <v>3</v>
      </c>
      <c r="AR420" t="s">
        <v>11</v>
      </c>
      <c r="AS420" t="s">
        <v>0</v>
      </c>
      <c r="AT420" t="s">
        <v>17</v>
      </c>
      <c r="AU420" s="4">
        <v>0</v>
      </c>
      <c r="AV420" s="4">
        <v>0</v>
      </c>
      <c r="AW420" s="4">
        <v>0</v>
      </c>
      <c r="AX420" s="4">
        <v>0</v>
      </c>
      <c r="AY420" s="5">
        <v>0</v>
      </c>
      <c r="AZ420" s="5">
        <v>0</v>
      </c>
      <c r="BA420" s="5">
        <v>0</v>
      </c>
      <c r="BB420" s="2"/>
      <c r="BC420" t="s">
        <v>0</v>
      </c>
      <c r="BD420" s="5">
        <v>1</v>
      </c>
      <c r="BE420" t="s">
        <v>0</v>
      </c>
      <c r="BF420" t="s">
        <v>364</v>
      </c>
      <c r="BG420" t="s">
        <v>17</v>
      </c>
      <c r="BH420" t="s">
        <v>0</v>
      </c>
      <c r="BI420" t="s">
        <v>11</v>
      </c>
      <c r="BJ420" t="s">
        <v>0</v>
      </c>
      <c r="BK420" t="s">
        <v>0</v>
      </c>
      <c r="BL420" s="5">
        <v>0</v>
      </c>
      <c r="BM420" t="s">
        <v>0</v>
      </c>
      <c r="BN420" t="s">
        <v>0</v>
      </c>
      <c r="BO420" t="s">
        <v>0</v>
      </c>
      <c r="BP420" t="s">
        <v>17</v>
      </c>
      <c r="BQ420" t="s">
        <v>0</v>
      </c>
      <c r="BR420" t="s">
        <v>17</v>
      </c>
      <c r="BS420" t="s">
        <v>17</v>
      </c>
      <c r="BT420" t="s">
        <v>0</v>
      </c>
      <c r="BU420" t="s">
        <v>0</v>
      </c>
      <c r="BV420" t="s">
        <v>0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</row>
    <row r="421" spans="1:80" ht="13.95" customHeight="1" x14ac:dyDescent="0.25">
      <c r="A421" t="s">
        <v>362</v>
      </c>
      <c r="B421" s="2">
        <v>45611</v>
      </c>
      <c r="C421" s="2">
        <v>45677</v>
      </c>
      <c r="D421" s="2">
        <v>45736</v>
      </c>
      <c r="E421" t="s">
        <v>2</v>
      </c>
      <c r="F421" t="s">
        <v>3</v>
      </c>
      <c r="G421" t="s">
        <v>0</v>
      </c>
      <c r="H421" t="s">
        <v>4</v>
      </c>
      <c r="I421" t="s">
        <v>363</v>
      </c>
      <c r="J421" t="s">
        <v>6</v>
      </c>
      <c r="K421" t="s">
        <v>88</v>
      </c>
      <c r="L421" t="s">
        <v>43</v>
      </c>
      <c r="M421" t="s">
        <v>338</v>
      </c>
      <c r="N421" t="s">
        <v>10</v>
      </c>
      <c r="O421" t="s">
        <v>0</v>
      </c>
      <c r="P421" t="s">
        <v>11</v>
      </c>
      <c r="Q421" s="5">
        <v>29</v>
      </c>
      <c r="R421" s="4">
        <v>54500</v>
      </c>
      <c r="S421" s="5">
        <v>1</v>
      </c>
      <c r="T421" s="4">
        <v>1580500</v>
      </c>
      <c r="U421" s="5">
        <v>0</v>
      </c>
      <c r="V421" s="4">
        <v>0</v>
      </c>
      <c r="W421" s="5">
        <v>0</v>
      </c>
      <c r="X421" s="4">
        <v>0</v>
      </c>
      <c r="Y421" s="4">
        <f t="shared" si="12"/>
        <v>1580500</v>
      </c>
      <c r="Z421" s="6" t="s">
        <v>0</v>
      </c>
      <c r="AA421" t="s">
        <v>2</v>
      </c>
      <c r="AB421" t="s">
        <v>12</v>
      </c>
      <c r="AC421">
        <f>_xlfn.XLOOKUP(AB421,'[1]GST Codes'!$A:$A,'[1]GST Codes'!$C:$C,0,0)</f>
        <v>18</v>
      </c>
      <c r="AD421">
        <f t="shared" si="13"/>
        <v>1864990</v>
      </c>
      <c r="AE421" t="s">
        <v>13</v>
      </c>
      <c r="AF421" t="s">
        <v>0</v>
      </c>
      <c r="AG421" t="s">
        <v>14</v>
      </c>
      <c r="AH421" t="s">
        <v>15</v>
      </c>
      <c r="AI421" t="s">
        <v>16</v>
      </c>
      <c r="AJ421" t="s">
        <v>17</v>
      </c>
      <c r="AK421" t="s">
        <v>18</v>
      </c>
      <c r="AL421" t="s">
        <v>19</v>
      </c>
      <c r="AM421" t="s">
        <v>363</v>
      </c>
      <c r="AN421" t="s">
        <v>0</v>
      </c>
      <c r="AO421" t="s">
        <v>0</v>
      </c>
      <c r="AP421" t="s">
        <v>0</v>
      </c>
      <c r="AQ421" s="5">
        <v>29</v>
      </c>
      <c r="AR421" t="s">
        <v>11</v>
      </c>
      <c r="AS421" t="s">
        <v>0</v>
      </c>
      <c r="AT421" t="s">
        <v>17</v>
      </c>
      <c r="AU421" s="4">
        <v>0</v>
      </c>
      <c r="AV421" s="4">
        <v>0</v>
      </c>
      <c r="AW421" s="4">
        <v>0</v>
      </c>
      <c r="AX421" s="4">
        <v>0</v>
      </c>
      <c r="AY421" s="5">
        <v>0</v>
      </c>
      <c r="AZ421" s="5">
        <v>0</v>
      </c>
      <c r="BA421" s="5">
        <v>0</v>
      </c>
      <c r="BB421" s="2"/>
      <c r="BC421" t="s">
        <v>0</v>
      </c>
      <c r="BD421" s="5">
        <v>1</v>
      </c>
      <c r="BE421" t="s">
        <v>0</v>
      </c>
      <c r="BF421" t="s">
        <v>364</v>
      </c>
      <c r="BG421" t="s">
        <v>17</v>
      </c>
      <c r="BH421" t="s">
        <v>0</v>
      </c>
      <c r="BI421" t="s">
        <v>11</v>
      </c>
      <c r="BJ421" t="s">
        <v>0</v>
      </c>
      <c r="BK421" t="s">
        <v>0</v>
      </c>
      <c r="BL421" s="5">
        <v>0</v>
      </c>
      <c r="BM421" t="s">
        <v>0</v>
      </c>
      <c r="BN421" t="s">
        <v>0</v>
      </c>
      <c r="BO421" t="s">
        <v>0</v>
      </c>
      <c r="BP421" t="s">
        <v>17</v>
      </c>
      <c r="BQ421" t="s">
        <v>0</v>
      </c>
      <c r="BR421" t="s">
        <v>17</v>
      </c>
      <c r="BS421" t="s">
        <v>17</v>
      </c>
      <c r="BT421" t="s">
        <v>0</v>
      </c>
      <c r="BU421" t="s">
        <v>0</v>
      </c>
      <c r="BV421" t="s">
        <v>0</v>
      </c>
      <c r="BW421" t="s">
        <v>0</v>
      </c>
      <c r="BX421" t="s">
        <v>0</v>
      </c>
      <c r="BY421" t="s">
        <v>0</v>
      </c>
      <c r="BZ421" t="s">
        <v>0</v>
      </c>
      <c r="CA421" t="s">
        <v>0</v>
      </c>
      <c r="CB421" t="s">
        <v>0</v>
      </c>
    </row>
    <row r="422" spans="1:80" ht="13.95" customHeight="1" x14ac:dyDescent="0.25">
      <c r="A422" t="s">
        <v>362</v>
      </c>
      <c r="B422" s="2">
        <v>45611</v>
      </c>
      <c r="C422" s="2">
        <v>45677</v>
      </c>
      <c r="D422" s="2">
        <v>45736</v>
      </c>
      <c r="E422" t="s">
        <v>2</v>
      </c>
      <c r="F422" t="s">
        <v>3</v>
      </c>
      <c r="G422" t="s">
        <v>0</v>
      </c>
      <c r="H422" t="s">
        <v>4</v>
      </c>
      <c r="I422" t="s">
        <v>363</v>
      </c>
      <c r="J422" t="s">
        <v>6</v>
      </c>
      <c r="K422" t="s">
        <v>89</v>
      </c>
      <c r="L422" t="s">
        <v>43</v>
      </c>
      <c r="M422" t="s">
        <v>338</v>
      </c>
      <c r="N422" t="s">
        <v>10</v>
      </c>
      <c r="O422" t="s">
        <v>0</v>
      </c>
      <c r="P422" t="s">
        <v>11</v>
      </c>
      <c r="Q422" s="5">
        <v>29</v>
      </c>
      <c r="R422" s="4">
        <v>54500</v>
      </c>
      <c r="S422" s="5">
        <v>1</v>
      </c>
      <c r="T422" s="4">
        <v>1580500</v>
      </c>
      <c r="U422" s="5">
        <v>0</v>
      </c>
      <c r="V422" s="4">
        <v>0</v>
      </c>
      <c r="W422" s="5">
        <v>0</v>
      </c>
      <c r="X422" s="4">
        <v>0</v>
      </c>
      <c r="Y422" s="4">
        <f t="shared" si="12"/>
        <v>1580500</v>
      </c>
      <c r="Z422" s="6" t="s">
        <v>0</v>
      </c>
      <c r="AA422" t="s">
        <v>2</v>
      </c>
      <c r="AB422" t="s">
        <v>12</v>
      </c>
      <c r="AC422">
        <f>_xlfn.XLOOKUP(AB422,'[1]GST Codes'!$A:$A,'[1]GST Codes'!$C:$C,0,0)</f>
        <v>18</v>
      </c>
      <c r="AD422">
        <f t="shared" si="13"/>
        <v>1864990</v>
      </c>
      <c r="AE422" t="s">
        <v>13</v>
      </c>
      <c r="AF422" t="s">
        <v>0</v>
      </c>
      <c r="AG422" t="s">
        <v>14</v>
      </c>
      <c r="AH422" t="s">
        <v>15</v>
      </c>
      <c r="AI422" t="s">
        <v>16</v>
      </c>
      <c r="AJ422" t="s">
        <v>17</v>
      </c>
      <c r="AK422" t="s">
        <v>18</v>
      </c>
      <c r="AL422" t="s">
        <v>19</v>
      </c>
      <c r="AM422" t="s">
        <v>363</v>
      </c>
      <c r="AN422" t="s">
        <v>0</v>
      </c>
      <c r="AO422" t="s">
        <v>0</v>
      </c>
      <c r="AP422" t="s">
        <v>0</v>
      </c>
      <c r="AQ422" s="5">
        <v>29</v>
      </c>
      <c r="AR422" t="s">
        <v>11</v>
      </c>
      <c r="AS422" t="s">
        <v>0</v>
      </c>
      <c r="AT422" t="s">
        <v>17</v>
      </c>
      <c r="AU422" s="4">
        <v>0</v>
      </c>
      <c r="AV422" s="4">
        <v>0</v>
      </c>
      <c r="AW422" s="4">
        <v>0</v>
      </c>
      <c r="AX422" s="4">
        <v>0</v>
      </c>
      <c r="AY422" s="5">
        <v>0</v>
      </c>
      <c r="AZ422" s="5">
        <v>0</v>
      </c>
      <c r="BA422" s="5">
        <v>0</v>
      </c>
      <c r="BB422" s="2"/>
      <c r="BC422" t="s">
        <v>0</v>
      </c>
      <c r="BD422" s="5">
        <v>1</v>
      </c>
      <c r="BE422" t="s">
        <v>0</v>
      </c>
      <c r="BF422" t="s">
        <v>364</v>
      </c>
      <c r="BG422" t="s">
        <v>17</v>
      </c>
      <c r="BH422" t="s">
        <v>0</v>
      </c>
      <c r="BI422" t="s">
        <v>11</v>
      </c>
      <c r="BJ422" t="s">
        <v>0</v>
      </c>
      <c r="BK422" t="s">
        <v>0</v>
      </c>
      <c r="BL422" s="5">
        <v>0</v>
      </c>
      <c r="BM422" t="s">
        <v>0</v>
      </c>
      <c r="BN422" t="s">
        <v>0</v>
      </c>
      <c r="BO422" t="s">
        <v>0</v>
      </c>
      <c r="BP422" t="s">
        <v>17</v>
      </c>
      <c r="BQ422" t="s">
        <v>0</v>
      </c>
      <c r="BR422" t="s">
        <v>17</v>
      </c>
      <c r="BS422" t="s">
        <v>17</v>
      </c>
      <c r="BT422" t="s">
        <v>0</v>
      </c>
      <c r="BU422" t="s">
        <v>0</v>
      </c>
      <c r="BV422" t="s">
        <v>0</v>
      </c>
      <c r="BW422" t="s">
        <v>0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</row>
    <row r="423" spans="1:80" ht="13.95" customHeight="1" x14ac:dyDescent="0.25">
      <c r="A423" t="s">
        <v>362</v>
      </c>
      <c r="B423" s="2">
        <v>45611</v>
      </c>
      <c r="C423" s="2">
        <v>45677</v>
      </c>
      <c r="D423" s="2">
        <v>45736</v>
      </c>
      <c r="E423" t="s">
        <v>2</v>
      </c>
      <c r="F423" t="s">
        <v>3</v>
      </c>
      <c r="G423" t="s">
        <v>0</v>
      </c>
      <c r="H423" t="s">
        <v>4</v>
      </c>
      <c r="I423" t="s">
        <v>363</v>
      </c>
      <c r="J423" t="s">
        <v>6</v>
      </c>
      <c r="K423" t="s">
        <v>90</v>
      </c>
      <c r="L423" t="s">
        <v>43</v>
      </c>
      <c r="M423" t="s">
        <v>338</v>
      </c>
      <c r="N423" t="s">
        <v>10</v>
      </c>
      <c r="O423" t="s">
        <v>0</v>
      </c>
      <c r="P423" t="s">
        <v>11</v>
      </c>
      <c r="Q423" s="3">
        <v>11.5</v>
      </c>
      <c r="R423" s="4">
        <v>54500</v>
      </c>
      <c r="S423" s="5">
        <v>1</v>
      </c>
      <c r="T423" s="4">
        <v>626750</v>
      </c>
      <c r="U423" s="5">
        <v>0</v>
      </c>
      <c r="V423" s="4">
        <v>0</v>
      </c>
      <c r="W423" s="5">
        <v>0</v>
      </c>
      <c r="X423" s="4">
        <v>0</v>
      </c>
      <c r="Y423" s="4">
        <f t="shared" si="12"/>
        <v>626750</v>
      </c>
      <c r="Z423" s="6" t="s">
        <v>0</v>
      </c>
      <c r="AA423" t="s">
        <v>2</v>
      </c>
      <c r="AB423" t="s">
        <v>12</v>
      </c>
      <c r="AC423">
        <f>_xlfn.XLOOKUP(AB423,'[1]GST Codes'!$A:$A,'[1]GST Codes'!$C:$C,0,0)</f>
        <v>18</v>
      </c>
      <c r="AD423">
        <f t="shared" si="13"/>
        <v>739565</v>
      </c>
      <c r="AE423" t="s">
        <v>13</v>
      </c>
      <c r="AF423" t="s">
        <v>0</v>
      </c>
      <c r="AG423" t="s">
        <v>14</v>
      </c>
      <c r="AH423" t="s">
        <v>15</v>
      </c>
      <c r="AI423" t="s">
        <v>16</v>
      </c>
      <c r="AJ423" t="s">
        <v>17</v>
      </c>
      <c r="AK423" t="s">
        <v>18</v>
      </c>
      <c r="AL423" t="s">
        <v>19</v>
      </c>
      <c r="AM423" t="s">
        <v>363</v>
      </c>
      <c r="AN423" t="s">
        <v>0</v>
      </c>
      <c r="AO423" t="s">
        <v>0</v>
      </c>
      <c r="AP423" t="s">
        <v>0</v>
      </c>
      <c r="AQ423" s="3">
        <v>11.5</v>
      </c>
      <c r="AR423" t="s">
        <v>11</v>
      </c>
      <c r="AS423" t="s">
        <v>0</v>
      </c>
      <c r="AT423" t="s">
        <v>17</v>
      </c>
      <c r="AU423" s="4">
        <v>0</v>
      </c>
      <c r="AV423" s="4">
        <v>0</v>
      </c>
      <c r="AW423" s="4">
        <v>0</v>
      </c>
      <c r="AX423" s="4">
        <v>0</v>
      </c>
      <c r="AY423" s="5">
        <v>0</v>
      </c>
      <c r="AZ423" s="5">
        <v>0</v>
      </c>
      <c r="BA423" s="5">
        <v>0</v>
      </c>
      <c r="BB423" s="2"/>
      <c r="BC423" t="s">
        <v>0</v>
      </c>
      <c r="BD423" s="5">
        <v>1</v>
      </c>
      <c r="BE423" t="s">
        <v>0</v>
      </c>
      <c r="BF423" t="s">
        <v>364</v>
      </c>
      <c r="BG423" t="s">
        <v>17</v>
      </c>
      <c r="BH423" t="s">
        <v>0</v>
      </c>
      <c r="BI423" t="s">
        <v>11</v>
      </c>
      <c r="BJ423" t="s">
        <v>0</v>
      </c>
      <c r="BK423" t="s">
        <v>0</v>
      </c>
      <c r="BL423" s="5">
        <v>0</v>
      </c>
      <c r="BM423" t="s">
        <v>0</v>
      </c>
      <c r="BN423" t="s">
        <v>0</v>
      </c>
      <c r="BO423" t="s">
        <v>0</v>
      </c>
      <c r="BP423" t="s">
        <v>17</v>
      </c>
      <c r="BQ423" t="s">
        <v>0</v>
      </c>
      <c r="BR423" t="s">
        <v>17</v>
      </c>
      <c r="BS423" t="s">
        <v>17</v>
      </c>
      <c r="BT423" t="s">
        <v>0</v>
      </c>
      <c r="BU423" t="s">
        <v>0</v>
      </c>
      <c r="BV423" t="s">
        <v>0</v>
      </c>
      <c r="BW423" t="s">
        <v>0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</row>
    <row r="424" spans="1:80" ht="13.95" customHeight="1" x14ac:dyDescent="0.25">
      <c r="A424" t="s">
        <v>362</v>
      </c>
      <c r="B424" s="2">
        <v>45611</v>
      </c>
      <c r="C424" s="2">
        <v>45677</v>
      </c>
      <c r="D424" s="2">
        <v>45736</v>
      </c>
      <c r="E424" t="s">
        <v>2</v>
      </c>
      <c r="F424" t="s">
        <v>3</v>
      </c>
      <c r="G424" t="s">
        <v>0</v>
      </c>
      <c r="H424" t="s">
        <v>4</v>
      </c>
      <c r="I424" t="s">
        <v>363</v>
      </c>
      <c r="J424" t="s">
        <v>6</v>
      </c>
      <c r="K424" t="s">
        <v>177</v>
      </c>
      <c r="L424" t="s">
        <v>43</v>
      </c>
      <c r="M424" t="s">
        <v>338</v>
      </c>
      <c r="N424" t="s">
        <v>10</v>
      </c>
      <c r="O424" t="s">
        <v>0</v>
      </c>
      <c r="P424" t="s">
        <v>11</v>
      </c>
      <c r="Q424" s="3">
        <v>11.5</v>
      </c>
      <c r="R424" s="4">
        <v>54500</v>
      </c>
      <c r="S424" s="5">
        <v>1</v>
      </c>
      <c r="T424" s="4">
        <v>626750</v>
      </c>
      <c r="U424" s="5">
        <v>0</v>
      </c>
      <c r="V424" s="4">
        <v>0</v>
      </c>
      <c r="W424" s="5">
        <v>0</v>
      </c>
      <c r="X424" s="4">
        <v>0</v>
      </c>
      <c r="Y424" s="4">
        <f t="shared" si="12"/>
        <v>626750</v>
      </c>
      <c r="Z424" s="6" t="s">
        <v>0</v>
      </c>
      <c r="AA424" t="s">
        <v>2</v>
      </c>
      <c r="AB424" t="s">
        <v>12</v>
      </c>
      <c r="AC424">
        <f>_xlfn.XLOOKUP(AB424,'[1]GST Codes'!$A:$A,'[1]GST Codes'!$C:$C,0,0)</f>
        <v>18</v>
      </c>
      <c r="AD424">
        <f t="shared" si="13"/>
        <v>739565</v>
      </c>
      <c r="AE424" t="s">
        <v>13</v>
      </c>
      <c r="AF424" t="s">
        <v>0</v>
      </c>
      <c r="AG424" t="s">
        <v>14</v>
      </c>
      <c r="AH424" t="s">
        <v>15</v>
      </c>
      <c r="AI424" t="s">
        <v>16</v>
      </c>
      <c r="AJ424" t="s">
        <v>17</v>
      </c>
      <c r="AK424" t="s">
        <v>18</v>
      </c>
      <c r="AL424" t="s">
        <v>19</v>
      </c>
      <c r="AM424" t="s">
        <v>363</v>
      </c>
      <c r="AN424" t="s">
        <v>0</v>
      </c>
      <c r="AO424" t="s">
        <v>0</v>
      </c>
      <c r="AP424" t="s">
        <v>0</v>
      </c>
      <c r="AQ424" s="3">
        <v>11.5</v>
      </c>
      <c r="AR424" t="s">
        <v>11</v>
      </c>
      <c r="AS424" t="s">
        <v>0</v>
      </c>
      <c r="AT424" t="s">
        <v>17</v>
      </c>
      <c r="AU424" s="4">
        <v>0</v>
      </c>
      <c r="AV424" s="4">
        <v>0</v>
      </c>
      <c r="AW424" s="4">
        <v>0</v>
      </c>
      <c r="AX424" s="4">
        <v>0</v>
      </c>
      <c r="AY424" s="5">
        <v>0</v>
      </c>
      <c r="AZ424" s="5">
        <v>0</v>
      </c>
      <c r="BA424" s="5">
        <v>0</v>
      </c>
      <c r="BB424" s="2"/>
      <c r="BC424" t="s">
        <v>0</v>
      </c>
      <c r="BD424" s="5">
        <v>1</v>
      </c>
      <c r="BE424" t="s">
        <v>0</v>
      </c>
      <c r="BF424" t="s">
        <v>364</v>
      </c>
      <c r="BG424" t="s">
        <v>17</v>
      </c>
      <c r="BH424" t="s">
        <v>0</v>
      </c>
      <c r="BI424" t="s">
        <v>11</v>
      </c>
      <c r="BJ424" t="s">
        <v>0</v>
      </c>
      <c r="BK424" t="s">
        <v>0</v>
      </c>
      <c r="BL424" s="5">
        <v>0</v>
      </c>
      <c r="BM424" t="s">
        <v>0</v>
      </c>
      <c r="BN424" t="s">
        <v>0</v>
      </c>
      <c r="BO424" t="s">
        <v>0</v>
      </c>
      <c r="BP424" t="s">
        <v>17</v>
      </c>
      <c r="BQ424" t="s">
        <v>0</v>
      </c>
      <c r="BR424" t="s">
        <v>17</v>
      </c>
      <c r="BS424" t="s">
        <v>17</v>
      </c>
      <c r="BT424" t="s">
        <v>0</v>
      </c>
      <c r="BU424" t="s">
        <v>0</v>
      </c>
      <c r="BV424" t="s">
        <v>0</v>
      </c>
      <c r="BW424" t="s">
        <v>0</v>
      </c>
      <c r="BX424" t="s">
        <v>0</v>
      </c>
      <c r="BY424" t="s">
        <v>0</v>
      </c>
      <c r="BZ424" t="s">
        <v>0</v>
      </c>
      <c r="CA424" t="s">
        <v>0</v>
      </c>
      <c r="CB424" t="s">
        <v>0</v>
      </c>
    </row>
    <row r="425" spans="1:80" ht="13.95" customHeight="1" x14ac:dyDescent="0.25">
      <c r="A425" t="s">
        <v>362</v>
      </c>
      <c r="B425" s="2">
        <v>45611</v>
      </c>
      <c r="C425" s="2">
        <v>45677</v>
      </c>
      <c r="D425" s="2">
        <v>45736</v>
      </c>
      <c r="E425" t="s">
        <v>2</v>
      </c>
      <c r="F425" t="s">
        <v>3</v>
      </c>
      <c r="G425" t="s">
        <v>0</v>
      </c>
      <c r="H425" t="s">
        <v>4</v>
      </c>
      <c r="I425" t="s">
        <v>363</v>
      </c>
      <c r="J425" t="s">
        <v>6</v>
      </c>
      <c r="K425" t="s">
        <v>181</v>
      </c>
      <c r="L425" t="s">
        <v>43</v>
      </c>
      <c r="M425" t="s">
        <v>338</v>
      </c>
      <c r="N425" t="s">
        <v>10</v>
      </c>
      <c r="O425" t="s">
        <v>0</v>
      </c>
      <c r="P425" t="s">
        <v>11</v>
      </c>
      <c r="Q425" s="5">
        <v>24</v>
      </c>
      <c r="R425" s="4">
        <v>54500</v>
      </c>
      <c r="S425" s="5">
        <v>1</v>
      </c>
      <c r="T425" s="4">
        <v>1308000</v>
      </c>
      <c r="U425" s="5">
        <v>0</v>
      </c>
      <c r="V425" s="4">
        <v>0</v>
      </c>
      <c r="W425" s="5">
        <v>0</v>
      </c>
      <c r="X425" s="4">
        <v>0</v>
      </c>
      <c r="Y425" s="4">
        <f t="shared" si="12"/>
        <v>1308000</v>
      </c>
      <c r="Z425" s="6" t="s">
        <v>0</v>
      </c>
      <c r="AA425" t="s">
        <v>2</v>
      </c>
      <c r="AB425" t="s">
        <v>12</v>
      </c>
      <c r="AC425">
        <f>_xlfn.XLOOKUP(AB425,'[1]GST Codes'!$A:$A,'[1]GST Codes'!$C:$C,0,0)</f>
        <v>18</v>
      </c>
      <c r="AD425">
        <f t="shared" si="13"/>
        <v>1543440</v>
      </c>
      <c r="AE425" t="s">
        <v>13</v>
      </c>
      <c r="AF425" t="s">
        <v>0</v>
      </c>
      <c r="AG425" t="s">
        <v>14</v>
      </c>
      <c r="AH425" t="s">
        <v>15</v>
      </c>
      <c r="AI425" t="s">
        <v>16</v>
      </c>
      <c r="AJ425" t="s">
        <v>17</v>
      </c>
      <c r="AK425" t="s">
        <v>18</v>
      </c>
      <c r="AL425" t="s">
        <v>19</v>
      </c>
      <c r="AM425" t="s">
        <v>363</v>
      </c>
      <c r="AN425" t="s">
        <v>0</v>
      </c>
      <c r="AO425" t="s">
        <v>0</v>
      </c>
      <c r="AP425" t="s">
        <v>0</v>
      </c>
      <c r="AQ425" s="5">
        <v>24</v>
      </c>
      <c r="AR425" t="s">
        <v>11</v>
      </c>
      <c r="AS425" t="s">
        <v>0</v>
      </c>
      <c r="AT425" t="s">
        <v>17</v>
      </c>
      <c r="AU425" s="4">
        <v>0</v>
      </c>
      <c r="AV425" s="4">
        <v>0</v>
      </c>
      <c r="AW425" s="4">
        <v>0</v>
      </c>
      <c r="AX425" s="4">
        <v>0</v>
      </c>
      <c r="AY425" s="5">
        <v>0</v>
      </c>
      <c r="AZ425" s="5">
        <v>0</v>
      </c>
      <c r="BA425" s="5">
        <v>0</v>
      </c>
      <c r="BB425" s="2"/>
      <c r="BC425" t="s">
        <v>0</v>
      </c>
      <c r="BD425" s="5">
        <v>1</v>
      </c>
      <c r="BE425" t="s">
        <v>0</v>
      </c>
      <c r="BF425" t="s">
        <v>364</v>
      </c>
      <c r="BG425" t="s">
        <v>17</v>
      </c>
      <c r="BH425" t="s">
        <v>0</v>
      </c>
      <c r="BI425" t="s">
        <v>11</v>
      </c>
      <c r="BJ425" t="s">
        <v>0</v>
      </c>
      <c r="BK425" t="s">
        <v>0</v>
      </c>
      <c r="BL425" s="5">
        <v>0</v>
      </c>
      <c r="BM425" t="s">
        <v>0</v>
      </c>
      <c r="BN425" t="s">
        <v>0</v>
      </c>
      <c r="BO425" t="s">
        <v>0</v>
      </c>
      <c r="BP425" t="s">
        <v>17</v>
      </c>
      <c r="BQ425" t="s">
        <v>0</v>
      </c>
      <c r="BR425" t="s">
        <v>17</v>
      </c>
      <c r="BS425" t="s">
        <v>17</v>
      </c>
      <c r="BT425" t="s">
        <v>0</v>
      </c>
      <c r="BU425" t="s">
        <v>0</v>
      </c>
      <c r="BV425" t="s">
        <v>0</v>
      </c>
      <c r="BW425" t="s">
        <v>0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</row>
    <row r="426" spans="1:80" ht="13.95" customHeight="1" x14ac:dyDescent="0.25">
      <c r="A426" t="s">
        <v>362</v>
      </c>
      <c r="B426" s="2">
        <v>45611</v>
      </c>
      <c r="C426" s="2">
        <v>45677</v>
      </c>
      <c r="D426" s="2">
        <v>45736</v>
      </c>
      <c r="E426" t="s">
        <v>2</v>
      </c>
      <c r="F426" t="s">
        <v>3</v>
      </c>
      <c r="G426" t="s">
        <v>0</v>
      </c>
      <c r="H426" t="s">
        <v>4</v>
      </c>
      <c r="I426" t="s">
        <v>363</v>
      </c>
      <c r="J426" t="s">
        <v>6</v>
      </c>
      <c r="K426" t="s">
        <v>185</v>
      </c>
      <c r="L426" t="s">
        <v>329</v>
      </c>
      <c r="M426" t="s">
        <v>339</v>
      </c>
      <c r="N426" t="s">
        <v>10</v>
      </c>
      <c r="O426" t="s">
        <v>0</v>
      </c>
      <c r="P426" t="s">
        <v>11</v>
      </c>
      <c r="Q426" s="5">
        <v>27</v>
      </c>
      <c r="R426" s="4">
        <v>54500</v>
      </c>
      <c r="S426" s="5">
        <v>1</v>
      </c>
      <c r="T426" s="4">
        <v>1471500</v>
      </c>
      <c r="U426" s="5">
        <v>0</v>
      </c>
      <c r="V426" s="4">
        <v>0</v>
      </c>
      <c r="W426" s="5">
        <v>0</v>
      </c>
      <c r="X426" s="4">
        <v>0</v>
      </c>
      <c r="Y426" s="4">
        <f t="shared" si="12"/>
        <v>1471500</v>
      </c>
      <c r="Z426" s="6" t="s">
        <v>0</v>
      </c>
      <c r="AA426" t="s">
        <v>2</v>
      </c>
      <c r="AB426" t="s">
        <v>12</v>
      </c>
      <c r="AC426">
        <f>_xlfn.XLOOKUP(AB426,'[1]GST Codes'!$A:$A,'[1]GST Codes'!$C:$C,0,0)</f>
        <v>18</v>
      </c>
      <c r="AD426">
        <f t="shared" si="13"/>
        <v>1736370</v>
      </c>
      <c r="AE426" t="s">
        <v>13</v>
      </c>
      <c r="AF426" t="s">
        <v>0</v>
      </c>
      <c r="AG426" t="s">
        <v>14</v>
      </c>
      <c r="AH426" t="s">
        <v>15</v>
      </c>
      <c r="AI426" t="s">
        <v>16</v>
      </c>
      <c r="AJ426" t="s">
        <v>17</v>
      </c>
      <c r="AK426" t="s">
        <v>18</v>
      </c>
      <c r="AL426" t="s">
        <v>19</v>
      </c>
      <c r="AM426" t="s">
        <v>363</v>
      </c>
      <c r="AN426" t="s">
        <v>0</v>
      </c>
      <c r="AO426" t="s">
        <v>0</v>
      </c>
      <c r="AP426" t="s">
        <v>0</v>
      </c>
      <c r="AQ426" s="5">
        <v>27</v>
      </c>
      <c r="AR426" t="s">
        <v>11</v>
      </c>
      <c r="AS426" t="s">
        <v>0</v>
      </c>
      <c r="AT426" t="s">
        <v>17</v>
      </c>
      <c r="AU426" s="4">
        <v>0</v>
      </c>
      <c r="AV426" s="4">
        <v>0</v>
      </c>
      <c r="AW426" s="4">
        <v>0</v>
      </c>
      <c r="AX426" s="4">
        <v>0</v>
      </c>
      <c r="AY426" s="5">
        <v>0</v>
      </c>
      <c r="AZ426" s="5">
        <v>0</v>
      </c>
      <c r="BA426" s="5">
        <v>0</v>
      </c>
      <c r="BB426" s="2"/>
      <c r="BC426" t="s">
        <v>0</v>
      </c>
      <c r="BD426" s="5">
        <v>1</v>
      </c>
      <c r="BE426" t="s">
        <v>0</v>
      </c>
      <c r="BF426" t="s">
        <v>365</v>
      </c>
      <c r="BG426" t="s">
        <v>17</v>
      </c>
      <c r="BH426" t="s">
        <v>0</v>
      </c>
      <c r="BI426" t="s">
        <v>11</v>
      </c>
      <c r="BJ426" t="s">
        <v>0</v>
      </c>
      <c r="BK426" t="s">
        <v>0</v>
      </c>
      <c r="BL426" s="5">
        <v>0</v>
      </c>
      <c r="BM426" t="s">
        <v>0</v>
      </c>
      <c r="BN426" t="s">
        <v>0</v>
      </c>
      <c r="BO426" t="s">
        <v>0</v>
      </c>
      <c r="BP426" t="s">
        <v>17</v>
      </c>
      <c r="BQ426" t="s">
        <v>0</v>
      </c>
      <c r="BR426" t="s">
        <v>17</v>
      </c>
      <c r="BS426" t="s">
        <v>17</v>
      </c>
      <c r="BT426" t="s">
        <v>0</v>
      </c>
      <c r="BU426" t="s">
        <v>0</v>
      </c>
      <c r="BV426" t="s">
        <v>0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</row>
    <row r="427" spans="1:80" ht="13.95" customHeight="1" x14ac:dyDescent="0.25">
      <c r="A427" t="s">
        <v>362</v>
      </c>
      <c r="B427" s="2">
        <v>45611</v>
      </c>
      <c r="C427" s="2">
        <v>45677</v>
      </c>
      <c r="D427" s="2">
        <v>45736</v>
      </c>
      <c r="E427" t="s">
        <v>2</v>
      </c>
      <c r="F427" t="s">
        <v>3</v>
      </c>
      <c r="G427" t="s">
        <v>0</v>
      </c>
      <c r="H427" t="s">
        <v>4</v>
      </c>
      <c r="I427" t="s">
        <v>363</v>
      </c>
      <c r="J427" t="s">
        <v>6</v>
      </c>
      <c r="K427" t="s">
        <v>189</v>
      </c>
      <c r="L427" t="s">
        <v>329</v>
      </c>
      <c r="M427" t="s">
        <v>339</v>
      </c>
      <c r="N427" t="s">
        <v>10</v>
      </c>
      <c r="O427" t="s">
        <v>0</v>
      </c>
      <c r="P427" t="s">
        <v>11</v>
      </c>
      <c r="Q427" s="5">
        <v>27</v>
      </c>
      <c r="R427" s="4">
        <v>54500</v>
      </c>
      <c r="S427" s="5">
        <v>1</v>
      </c>
      <c r="T427" s="4">
        <v>1471500</v>
      </c>
      <c r="U427" s="5">
        <v>0</v>
      </c>
      <c r="V427" s="4">
        <v>0</v>
      </c>
      <c r="W427" s="5">
        <v>0</v>
      </c>
      <c r="X427" s="4">
        <v>0</v>
      </c>
      <c r="Y427" s="4">
        <f t="shared" si="12"/>
        <v>1471500</v>
      </c>
      <c r="Z427" s="6" t="s">
        <v>0</v>
      </c>
      <c r="AA427" t="s">
        <v>2</v>
      </c>
      <c r="AB427" t="s">
        <v>12</v>
      </c>
      <c r="AC427">
        <f>_xlfn.XLOOKUP(AB427,'[1]GST Codes'!$A:$A,'[1]GST Codes'!$C:$C,0,0)</f>
        <v>18</v>
      </c>
      <c r="AD427">
        <f t="shared" si="13"/>
        <v>1736370</v>
      </c>
      <c r="AE427" t="s">
        <v>13</v>
      </c>
      <c r="AF427" t="s">
        <v>0</v>
      </c>
      <c r="AG427" t="s">
        <v>14</v>
      </c>
      <c r="AH427" t="s">
        <v>15</v>
      </c>
      <c r="AI427" t="s">
        <v>16</v>
      </c>
      <c r="AJ427" t="s">
        <v>17</v>
      </c>
      <c r="AK427" t="s">
        <v>18</v>
      </c>
      <c r="AL427" t="s">
        <v>19</v>
      </c>
      <c r="AM427" t="s">
        <v>363</v>
      </c>
      <c r="AN427" t="s">
        <v>0</v>
      </c>
      <c r="AO427" t="s">
        <v>0</v>
      </c>
      <c r="AP427" t="s">
        <v>0</v>
      </c>
      <c r="AQ427" s="5">
        <v>27</v>
      </c>
      <c r="AR427" t="s">
        <v>11</v>
      </c>
      <c r="AS427" t="s">
        <v>0</v>
      </c>
      <c r="AT427" t="s">
        <v>17</v>
      </c>
      <c r="AU427" s="4">
        <v>0</v>
      </c>
      <c r="AV427" s="4">
        <v>0</v>
      </c>
      <c r="AW427" s="4">
        <v>0</v>
      </c>
      <c r="AX427" s="4">
        <v>0</v>
      </c>
      <c r="AY427" s="5">
        <v>0</v>
      </c>
      <c r="AZ427" s="5">
        <v>0</v>
      </c>
      <c r="BA427" s="5">
        <v>0</v>
      </c>
      <c r="BB427" s="2"/>
      <c r="BC427" t="s">
        <v>0</v>
      </c>
      <c r="BD427" s="5">
        <v>1</v>
      </c>
      <c r="BE427" t="s">
        <v>0</v>
      </c>
      <c r="BF427" t="s">
        <v>365</v>
      </c>
      <c r="BG427" t="s">
        <v>17</v>
      </c>
      <c r="BH427" t="s">
        <v>0</v>
      </c>
      <c r="BI427" t="s">
        <v>11</v>
      </c>
      <c r="BJ427" t="s">
        <v>0</v>
      </c>
      <c r="BK427" t="s">
        <v>0</v>
      </c>
      <c r="BL427" s="5">
        <v>0</v>
      </c>
      <c r="BM427" t="s">
        <v>0</v>
      </c>
      <c r="BN427" t="s">
        <v>0</v>
      </c>
      <c r="BO427" t="s">
        <v>0</v>
      </c>
      <c r="BP427" t="s">
        <v>17</v>
      </c>
      <c r="BQ427" t="s">
        <v>0</v>
      </c>
      <c r="BR427" t="s">
        <v>17</v>
      </c>
      <c r="BS427" t="s">
        <v>17</v>
      </c>
      <c r="BT427" t="s">
        <v>0</v>
      </c>
      <c r="BU427" t="s">
        <v>0</v>
      </c>
      <c r="BV427" t="s">
        <v>0</v>
      </c>
      <c r="BW427" t="s">
        <v>0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</row>
    <row r="428" spans="1:80" ht="13.95" customHeight="1" x14ac:dyDescent="0.25">
      <c r="A428" t="s">
        <v>362</v>
      </c>
      <c r="B428" s="2">
        <v>45611</v>
      </c>
      <c r="C428" s="2">
        <v>45677</v>
      </c>
      <c r="D428" s="2">
        <v>45736</v>
      </c>
      <c r="E428" t="s">
        <v>2</v>
      </c>
      <c r="F428" t="s">
        <v>3</v>
      </c>
      <c r="G428" t="s">
        <v>0</v>
      </c>
      <c r="H428" t="s">
        <v>4</v>
      </c>
      <c r="I428" t="s">
        <v>363</v>
      </c>
      <c r="J428" t="s">
        <v>6</v>
      </c>
      <c r="K428" t="s">
        <v>193</v>
      </c>
      <c r="L428" t="s">
        <v>329</v>
      </c>
      <c r="M428" t="s">
        <v>339</v>
      </c>
      <c r="N428" t="s">
        <v>10</v>
      </c>
      <c r="O428" t="s">
        <v>0</v>
      </c>
      <c r="P428" t="s">
        <v>11</v>
      </c>
      <c r="Q428" s="5">
        <v>131</v>
      </c>
      <c r="R428" s="4">
        <v>54500</v>
      </c>
      <c r="S428" s="5">
        <v>1</v>
      </c>
      <c r="T428" s="4">
        <v>7139500</v>
      </c>
      <c r="U428" s="5">
        <v>0</v>
      </c>
      <c r="V428" s="4">
        <v>0</v>
      </c>
      <c r="W428" s="5">
        <v>0</v>
      </c>
      <c r="X428" s="4">
        <v>0</v>
      </c>
      <c r="Y428" s="4">
        <f t="shared" si="12"/>
        <v>7139500</v>
      </c>
      <c r="Z428" s="6" t="s">
        <v>0</v>
      </c>
      <c r="AA428" t="s">
        <v>2</v>
      </c>
      <c r="AB428" t="s">
        <v>12</v>
      </c>
      <c r="AC428">
        <f>_xlfn.XLOOKUP(AB428,'[1]GST Codes'!$A:$A,'[1]GST Codes'!$C:$C,0,0)</f>
        <v>18</v>
      </c>
      <c r="AD428">
        <f t="shared" si="13"/>
        <v>8424610</v>
      </c>
      <c r="AE428" t="s">
        <v>13</v>
      </c>
      <c r="AF428" t="s">
        <v>0</v>
      </c>
      <c r="AG428" t="s">
        <v>14</v>
      </c>
      <c r="AH428" t="s">
        <v>15</v>
      </c>
      <c r="AI428" t="s">
        <v>16</v>
      </c>
      <c r="AJ428" t="s">
        <v>17</v>
      </c>
      <c r="AK428" t="s">
        <v>18</v>
      </c>
      <c r="AL428" t="s">
        <v>19</v>
      </c>
      <c r="AM428" t="s">
        <v>363</v>
      </c>
      <c r="AN428" t="s">
        <v>0</v>
      </c>
      <c r="AO428" t="s">
        <v>0</v>
      </c>
      <c r="AP428" t="s">
        <v>0</v>
      </c>
      <c r="AQ428" s="5">
        <v>131</v>
      </c>
      <c r="AR428" t="s">
        <v>11</v>
      </c>
      <c r="AS428" t="s">
        <v>0</v>
      </c>
      <c r="AT428" t="s">
        <v>17</v>
      </c>
      <c r="AU428" s="4">
        <v>0</v>
      </c>
      <c r="AV428" s="4">
        <v>0</v>
      </c>
      <c r="AW428" s="4">
        <v>0</v>
      </c>
      <c r="AX428" s="4">
        <v>0</v>
      </c>
      <c r="AY428" s="5">
        <v>0</v>
      </c>
      <c r="AZ428" s="5">
        <v>0</v>
      </c>
      <c r="BA428" s="5">
        <v>0</v>
      </c>
      <c r="BB428" s="2"/>
      <c r="BC428" t="s">
        <v>0</v>
      </c>
      <c r="BD428" s="5">
        <v>1</v>
      </c>
      <c r="BE428" t="s">
        <v>0</v>
      </c>
      <c r="BF428" t="s">
        <v>365</v>
      </c>
      <c r="BG428" t="s">
        <v>17</v>
      </c>
      <c r="BH428" t="s">
        <v>0</v>
      </c>
      <c r="BI428" t="s">
        <v>11</v>
      </c>
      <c r="BJ428" t="s">
        <v>0</v>
      </c>
      <c r="BK428" t="s">
        <v>0</v>
      </c>
      <c r="BL428" s="5">
        <v>0</v>
      </c>
      <c r="BM428" t="s">
        <v>0</v>
      </c>
      <c r="BN428" t="s">
        <v>0</v>
      </c>
      <c r="BO428" t="s">
        <v>0</v>
      </c>
      <c r="BP428" t="s">
        <v>17</v>
      </c>
      <c r="BQ428" t="s">
        <v>0</v>
      </c>
      <c r="BR428" t="s">
        <v>17</v>
      </c>
      <c r="BS428" t="s">
        <v>17</v>
      </c>
      <c r="BT428" t="s">
        <v>0</v>
      </c>
      <c r="BU428" t="s">
        <v>0</v>
      </c>
      <c r="BV428" t="s">
        <v>0</v>
      </c>
      <c r="BW428" t="s">
        <v>0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</row>
    <row r="429" spans="1:80" ht="13.95" customHeight="1" x14ac:dyDescent="0.25">
      <c r="A429" t="s">
        <v>362</v>
      </c>
      <c r="B429" s="2">
        <v>45611</v>
      </c>
      <c r="C429" s="2">
        <v>45677</v>
      </c>
      <c r="D429" s="2">
        <v>45736</v>
      </c>
      <c r="E429" t="s">
        <v>2</v>
      </c>
      <c r="F429" t="s">
        <v>3</v>
      </c>
      <c r="G429" t="s">
        <v>0</v>
      </c>
      <c r="H429" t="s">
        <v>4</v>
      </c>
      <c r="I429" t="s">
        <v>363</v>
      </c>
      <c r="J429" t="s">
        <v>6</v>
      </c>
      <c r="K429" t="s">
        <v>197</v>
      </c>
      <c r="L429" t="s">
        <v>329</v>
      </c>
      <c r="M429" t="s">
        <v>339</v>
      </c>
      <c r="N429" t="s">
        <v>10</v>
      </c>
      <c r="O429" t="s">
        <v>0</v>
      </c>
      <c r="P429" t="s">
        <v>11</v>
      </c>
      <c r="Q429" s="5">
        <v>131</v>
      </c>
      <c r="R429" s="4">
        <v>54500</v>
      </c>
      <c r="S429" s="5">
        <v>1</v>
      </c>
      <c r="T429" s="4">
        <v>7139500</v>
      </c>
      <c r="U429" s="5">
        <v>0</v>
      </c>
      <c r="V429" s="4">
        <v>0</v>
      </c>
      <c r="W429" s="5">
        <v>0</v>
      </c>
      <c r="X429" s="4">
        <v>0</v>
      </c>
      <c r="Y429" s="4">
        <f t="shared" si="12"/>
        <v>7139500</v>
      </c>
      <c r="Z429" s="6" t="s">
        <v>0</v>
      </c>
      <c r="AA429" t="s">
        <v>2</v>
      </c>
      <c r="AB429" t="s">
        <v>12</v>
      </c>
      <c r="AC429">
        <f>_xlfn.XLOOKUP(AB429,'[1]GST Codes'!$A:$A,'[1]GST Codes'!$C:$C,0,0)</f>
        <v>18</v>
      </c>
      <c r="AD429">
        <f t="shared" si="13"/>
        <v>8424610</v>
      </c>
      <c r="AE429" t="s">
        <v>13</v>
      </c>
      <c r="AF429" t="s">
        <v>0</v>
      </c>
      <c r="AG429" t="s">
        <v>14</v>
      </c>
      <c r="AH429" t="s">
        <v>15</v>
      </c>
      <c r="AI429" t="s">
        <v>16</v>
      </c>
      <c r="AJ429" t="s">
        <v>17</v>
      </c>
      <c r="AK429" t="s">
        <v>18</v>
      </c>
      <c r="AL429" t="s">
        <v>19</v>
      </c>
      <c r="AM429" t="s">
        <v>363</v>
      </c>
      <c r="AN429" t="s">
        <v>0</v>
      </c>
      <c r="AO429" t="s">
        <v>0</v>
      </c>
      <c r="AP429" t="s">
        <v>0</v>
      </c>
      <c r="AQ429" s="5">
        <v>131</v>
      </c>
      <c r="AR429" t="s">
        <v>11</v>
      </c>
      <c r="AS429" t="s">
        <v>0</v>
      </c>
      <c r="AT429" t="s">
        <v>17</v>
      </c>
      <c r="AU429" s="4">
        <v>0</v>
      </c>
      <c r="AV429" s="4">
        <v>0</v>
      </c>
      <c r="AW429" s="4">
        <v>0</v>
      </c>
      <c r="AX429" s="4">
        <v>0</v>
      </c>
      <c r="AY429" s="5">
        <v>0</v>
      </c>
      <c r="AZ429" s="5">
        <v>0</v>
      </c>
      <c r="BA429" s="5">
        <v>0</v>
      </c>
      <c r="BB429" s="2"/>
      <c r="BC429" t="s">
        <v>0</v>
      </c>
      <c r="BD429" s="5">
        <v>1</v>
      </c>
      <c r="BE429" t="s">
        <v>0</v>
      </c>
      <c r="BF429" t="s">
        <v>365</v>
      </c>
      <c r="BG429" t="s">
        <v>17</v>
      </c>
      <c r="BH429" t="s">
        <v>0</v>
      </c>
      <c r="BI429" t="s">
        <v>11</v>
      </c>
      <c r="BJ429" t="s">
        <v>0</v>
      </c>
      <c r="BK429" t="s">
        <v>0</v>
      </c>
      <c r="BL429" s="5">
        <v>0</v>
      </c>
      <c r="BM429" t="s">
        <v>0</v>
      </c>
      <c r="BN429" t="s">
        <v>0</v>
      </c>
      <c r="BO429" t="s">
        <v>0</v>
      </c>
      <c r="BP429" t="s">
        <v>17</v>
      </c>
      <c r="BQ429" t="s">
        <v>0</v>
      </c>
      <c r="BR429" t="s">
        <v>17</v>
      </c>
      <c r="BS429" t="s">
        <v>17</v>
      </c>
      <c r="BT429" t="s">
        <v>0</v>
      </c>
      <c r="BU429" t="s">
        <v>0</v>
      </c>
      <c r="BV429" t="s">
        <v>0</v>
      </c>
      <c r="BW429" t="s">
        <v>0</v>
      </c>
      <c r="BX429" t="s">
        <v>0</v>
      </c>
      <c r="BY429" t="s">
        <v>0</v>
      </c>
      <c r="BZ429" t="s">
        <v>0</v>
      </c>
      <c r="CA429" t="s">
        <v>0</v>
      </c>
      <c r="CB429" t="s">
        <v>0</v>
      </c>
    </row>
    <row r="430" spans="1:80" ht="13.95" customHeight="1" x14ac:dyDescent="0.25">
      <c r="A430" t="s">
        <v>362</v>
      </c>
      <c r="B430" s="2">
        <v>45611</v>
      </c>
      <c r="C430" s="2">
        <v>45677</v>
      </c>
      <c r="D430" s="2">
        <v>45736</v>
      </c>
      <c r="E430" t="s">
        <v>2</v>
      </c>
      <c r="F430" t="s">
        <v>3</v>
      </c>
      <c r="G430" t="s">
        <v>0</v>
      </c>
      <c r="H430" t="s">
        <v>4</v>
      </c>
      <c r="I430" t="s">
        <v>363</v>
      </c>
      <c r="J430" t="s">
        <v>6</v>
      </c>
      <c r="K430" t="s">
        <v>201</v>
      </c>
      <c r="L430" t="s">
        <v>329</v>
      </c>
      <c r="M430" t="s">
        <v>339</v>
      </c>
      <c r="N430" t="s">
        <v>10</v>
      </c>
      <c r="O430" t="s">
        <v>0</v>
      </c>
      <c r="P430" t="s">
        <v>11</v>
      </c>
      <c r="Q430" s="5">
        <v>8</v>
      </c>
      <c r="R430" s="4">
        <v>54500</v>
      </c>
      <c r="S430" s="5">
        <v>1</v>
      </c>
      <c r="T430" s="4">
        <v>436000</v>
      </c>
      <c r="U430" s="5">
        <v>0</v>
      </c>
      <c r="V430" s="4">
        <v>0</v>
      </c>
      <c r="W430" s="5">
        <v>0</v>
      </c>
      <c r="X430" s="4">
        <v>0</v>
      </c>
      <c r="Y430" s="4">
        <f t="shared" si="12"/>
        <v>436000</v>
      </c>
      <c r="Z430" s="6" t="s">
        <v>0</v>
      </c>
      <c r="AA430" t="s">
        <v>2</v>
      </c>
      <c r="AB430" t="s">
        <v>12</v>
      </c>
      <c r="AC430">
        <f>_xlfn.XLOOKUP(AB430,'[1]GST Codes'!$A:$A,'[1]GST Codes'!$C:$C,0,0)</f>
        <v>18</v>
      </c>
      <c r="AD430">
        <f t="shared" si="13"/>
        <v>514480</v>
      </c>
      <c r="AE430" t="s">
        <v>13</v>
      </c>
      <c r="AF430" t="s">
        <v>0</v>
      </c>
      <c r="AG430" t="s">
        <v>14</v>
      </c>
      <c r="AH430" t="s">
        <v>15</v>
      </c>
      <c r="AI430" t="s">
        <v>16</v>
      </c>
      <c r="AJ430" t="s">
        <v>17</v>
      </c>
      <c r="AK430" t="s">
        <v>18</v>
      </c>
      <c r="AL430" t="s">
        <v>19</v>
      </c>
      <c r="AM430" t="s">
        <v>363</v>
      </c>
      <c r="AN430" t="s">
        <v>0</v>
      </c>
      <c r="AO430" t="s">
        <v>0</v>
      </c>
      <c r="AP430" t="s">
        <v>0</v>
      </c>
      <c r="AQ430" s="5">
        <v>8</v>
      </c>
      <c r="AR430" t="s">
        <v>11</v>
      </c>
      <c r="AS430" t="s">
        <v>0</v>
      </c>
      <c r="AT430" t="s">
        <v>17</v>
      </c>
      <c r="AU430" s="4">
        <v>0</v>
      </c>
      <c r="AV430" s="4">
        <v>0</v>
      </c>
      <c r="AW430" s="4">
        <v>0</v>
      </c>
      <c r="AX430" s="4">
        <v>0</v>
      </c>
      <c r="AY430" s="5">
        <v>0</v>
      </c>
      <c r="AZ430" s="5">
        <v>0</v>
      </c>
      <c r="BA430" s="5">
        <v>0</v>
      </c>
      <c r="BB430" s="2"/>
      <c r="BC430" t="s">
        <v>0</v>
      </c>
      <c r="BD430" s="5">
        <v>1</v>
      </c>
      <c r="BE430" t="s">
        <v>0</v>
      </c>
      <c r="BF430" t="s">
        <v>365</v>
      </c>
      <c r="BG430" t="s">
        <v>17</v>
      </c>
      <c r="BH430" t="s">
        <v>0</v>
      </c>
      <c r="BI430" t="s">
        <v>11</v>
      </c>
      <c r="BJ430" t="s">
        <v>0</v>
      </c>
      <c r="BK430" t="s">
        <v>0</v>
      </c>
      <c r="BL430" s="5">
        <v>0</v>
      </c>
      <c r="BM430" t="s">
        <v>0</v>
      </c>
      <c r="BN430" t="s">
        <v>0</v>
      </c>
      <c r="BO430" t="s">
        <v>0</v>
      </c>
      <c r="BP430" t="s">
        <v>17</v>
      </c>
      <c r="BQ430" t="s">
        <v>0</v>
      </c>
      <c r="BR430" t="s">
        <v>17</v>
      </c>
      <c r="BS430" t="s">
        <v>17</v>
      </c>
      <c r="BT430" t="s">
        <v>0</v>
      </c>
      <c r="BU430" t="s">
        <v>0</v>
      </c>
      <c r="BV430" t="s">
        <v>0</v>
      </c>
      <c r="BW430" t="s">
        <v>0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</row>
    <row r="431" spans="1:80" ht="13.95" customHeight="1" x14ac:dyDescent="0.25">
      <c r="A431" t="s">
        <v>362</v>
      </c>
      <c r="B431" s="2">
        <v>45611</v>
      </c>
      <c r="C431" s="2">
        <v>45677</v>
      </c>
      <c r="D431" s="2">
        <v>45736</v>
      </c>
      <c r="E431" t="s">
        <v>2</v>
      </c>
      <c r="F431" t="s">
        <v>3</v>
      </c>
      <c r="G431" t="s">
        <v>0</v>
      </c>
      <c r="H431" t="s">
        <v>4</v>
      </c>
      <c r="I431" t="s">
        <v>363</v>
      </c>
      <c r="J431" t="s">
        <v>6</v>
      </c>
      <c r="K431" t="s">
        <v>205</v>
      </c>
      <c r="L431" t="s">
        <v>329</v>
      </c>
      <c r="M431" t="s">
        <v>339</v>
      </c>
      <c r="N431" t="s">
        <v>10</v>
      </c>
      <c r="O431" t="s">
        <v>0</v>
      </c>
      <c r="P431" t="s">
        <v>11</v>
      </c>
      <c r="Q431" s="5">
        <v>8</v>
      </c>
      <c r="R431" s="4">
        <v>54500</v>
      </c>
      <c r="S431" s="5">
        <v>1</v>
      </c>
      <c r="T431" s="4">
        <v>436000</v>
      </c>
      <c r="U431" s="5">
        <v>0</v>
      </c>
      <c r="V431" s="4">
        <v>0</v>
      </c>
      <c r="W431" s="5">
        <v>0</v>
      </c>
      <c r="X431" s="4">
        <v>0</v>
      </c>
      <c r="Y431" s="4">
        <f t="shared" si="12"/>
        <v>436000</v>
      </c>
      <c r="Z431" s="6" t="s">
        <v>0</v>
      </c>
      <c r="AA431" t="s">
        <v>2</v>
      </c>
      <c r="AB431" t="s">
        <v>12</v>
      </c>
      <c r="AC431">
        <f>_xlfn.XLOOKUP(AB431,'[1]GST Codes'!$A:$A,'[1]GST Codes'!$C:$C,0,0)</f>
        <v>18</v>
      </c>
      <c r="AD431">
        <f t="shared" si="13"/>
        <v>514480</v>
      </c>
      <c r="AE431" t="s">
        <v>13</v>
      </c>
      <c r="AF431" t="s">
        <v>0</v>
      </c>
      <c r="AG431" t="s">
        <v>14</v>
      </c>
      <c r="AH431" t="s">
        <v>15</v>
      </c>
      <c r="AI431" t="s">
        <v>16</v>
      </c>
      <c r="AJ431" t="s">
        <v>17</v>
      </c>
      <c r="AK431" t="s">
        <v>18</v>
      </c>
      <c r="AL431" t="s">
        <v>19</v>
      </c>
      <c r="AM431" t="s">
        <v>363</v>
      </c>
      <c r="AN431" t="s">
        <v>0</v>
      </c>
      <c r="AO431" t="s">
        <v>0</v>
      </c>
      <c r="AP431" t="s">
        <v>0</v>
      </c>
      <c r="AQ431" s="5">
        <v>8</v>
      </c>
      <c r="AR431" t="s">
        <v>11</v>
      </c>
      <c r="AS431" t="s">
        <v>0</v>
      </c>
      <c r="AT431" t="s">
        <v>17</v>
      </c>
      <c r="AU431" s="4">
        <v>0</v>
      </c>
      <c r="AV431" s="4">
        <v>0</v>
      </c>
      <c r="AW431" s="4">
        <v>0</v>
      </c>
      <c r="AX431" s="4">
        <v>0</v>
      </c>
      <c r="AY431" s="5">
        <v>0</v>
      </c>
      <c r="AZ431" s="5">
        <v>0</v>
      </c>
      <c r="BA431" s="5">
        <v>0</v>
      </c>
      <c r="BB431" s="2"/>
      <c r="BC431" t="s">
        <v>0</v>
      </c>
      <c r="BD431" s="5">
        <v>1</v>
      </c>
      <c r="BE431" t="s">
        <v>0</v>
      </c>
      <c r="BF431" t="s">
        <v>365</v>
      </c>
      <c r="BG431" t="s">
        <v>17</v>
      </c>
      <c r="BH431" t="s">
        <v>0</v>
      </c>
      <c r="BI431" t="s">
        <v>11</v>
      </c>
      <c r="BJ431" t="s">
        <v>0</v>
      </c>
      <c r="BK431" t="s">
        <v>0</v>
      </c>
      <c r="BL431" s="5">
        <v>0</v>
      </c>
      <c r="BM431" t="s">
        <v>0</v>
      </c>
      <c r="BN431" t="s">
        <v>0</v>
      </c>
      <c r="BO431" t="s">
        <v>0</v>
      </c>
      <c r="BP431" t="s">
        <v>17</v>
      </c>
      <c r="BQ431" t="s">
        <v>0</v>
      </c>
      <c r="BR431" t="s">
        <v>17</v>
      </c>
      <c r="BS431" t="s">
        <v>17</v>
      </c>
      <c r="BT431" t="s">
        <v>0</v>
      </c>
      <c r="BU431" t="s">
        <v>0</v>
      </c>
      <c r="BV431" t="s">
        <v>0</v>
      </c>
      <c r="BW431" t="s">
        <v>0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</row>
    <row r="432" spans="1:80" x14ac:dyDescent="0.25">
      <c r="A432" t="s">
        <v>362</v>
      </c>
      <c r="B432" s="2">
        <v>45611</v>
      </c>
      <c r="C432" s="2">
        <v>45677</v>
      </c>
      <c r="D432" s="2">
        <v>45736</v>
      </c>
      <c r="E432" t="s">
        <v>2</v>
      </c>
      <c r="F432" t="s">
        <v>3</v>
      </c>
      <c r="G432" t="s">
        <v>0</v>
      </c>
      <c r="H432" t="s">
        <v>4</v>
      </c>
      <c r="I432" t="s">
        <v>363</v>
      </c>
      <c r="J432" t="s">
        <v>6</v>
      </c>
      <c r="K432" t="s">
        <v>209</v>
      </c>
      <c r="L432" t="s">
        <v>329</v>
      </c>
      <c r="M432" t="s">
        <v>339</v>
      </c>
      <c r="N432" t="s">
        <v>10</v>
      </c>
      <c r="O432" t="s">
        <v>0</v>
      </c>
      <c r="P432" t="s">
        <v>11</v>
      </c>
      <c r="Q432" s="5">
        <v>2</v>
      </c>
      <c r="R432" s="4">
        <v>54500</v>
      </c>
      <c r="S432" s="5">
        <v>1</v>
      </c>
      <c r="T432" s="4">
        <v>109000</v>
      </c>
      <c r="U432" s="5">
        <v>2</v>
      </c>
      <c r="V432" s="4">
        <v>109000</v>
      </c>
      <c r="W432" s="5">
        <v>2</v>
      </c>
      <c r="X432" s="4">
        <v>109000</v>
      </c>
      <c r="Y432" s="4">
        <f t="shared" si="12"/>
        <v>0</v>
      </c>
      <c r="Z432" t="s">
        <v>0</v>
      </c>
      <c r="AA432" t="s">
        <v>2</v>
      </c>
      <c r="AB432" t="s">
        <v>12</v>
      </c>
      <c r="AC432">
        <f>_xlfn.XLOOKUP(AB432,'[1]GST Codes'!$A:$A,'[1]GST Codes'!$C:$C,0,0)</f>
        <v>18</v>
      </c>
      <c r="AD432">
        <f t="shared" si="13"/>
        <v>0</v>
      </c>
      <c r="AE432" t="s">
        <v>13</v>
      </c>
      <c r="AF432" t="s">
        <v>0</v>
      </c>
      <c r="AG432" t="s">
        <v>14</v>
      </c>
      <c r="AH432" t="s">
        <v>15</v>
      </c>
      <c r="AI432" t="s">
        <v>16</v>
      </c>
      <c r="AJ432" t="s">
        <v>17</v>
      </c>
      <c r="AK432" t="s">
        <v>18</v>
      </c>
      <c r="AL432" t="s">
        <v>19</v>
      </c>
      <c r="AM432" t="s">
        <v>363</v>
      </c>
      <c r="AN432" t="s">
        <v>0</v>
      </c>
      <c r="AO432" t="s">
        <v>0</v>
      </c>
      <c r="AP432" t="s">
        <v>0</v>
      </c>
      <c r="AQ432" s="5">
        <v>2</v>
      </c>
      <c r="AR432" t="s">
        <v>11</v>
      </c>
      <c r="AS432" t="s">
        <v>0</v>
      </c>
      <c r="AT432" t="s">
        <v>17</v>
      </c>
      <c r="AU432" s="4">
        <v>0</v>
      </c>
      <c r="AV432" s="4">
        <v>0</v>
      </c>
      <c r="AW432" s="4">
        <v>0</v>
      </c>
      <c r="AX432" s="4">
        <v>0</v>
      </c>
      <c r="AY432" s="5">
        <v>0</v>
      </c>
      <c r="AZ432" s="5">
        <v>0</v>
      </c>
      <c r="BA432" s="5">
        <v>0</v>
      </c>
      <c r="BB432" s="2"/>
      <c r="BC432" t="s">
        <v>0</v>
      </c>
      <c r="BD432" s="5">
        <v>1</v>
      </c>
      <c r="BE432" t="s">
        <v>0</v>
      </c>
      <c r="BF432" t="s">
        <v>365</v>
      </c>
      <c r="BG432" t="s">
        <v>17</v>
      </c>
      <c r="BH432" t="s">
        <v>0</v>
      </c>
      <c r="BI432" t="s">
        <v>11</v>
      </c>
      <c r="BJ432" t="s">
        <v>0</v>
      </c>
      <c r="BK432" t="s">
        <v>0</v>
      </c>
      <c r="BL432" s="5">
        <v>0</v>
      </c>
      <c r="BM432" t="s">
        <v>0</v>
      </c>
      <c r="BN432" t="s">
        <v>0</v>
      </c>
      <c r="BO432" t="s">
        <v>0</v>
      </c>
      <c r="BP432" t="s">
        <v>17</v>
      </c>
      <c r="BQ432" t="s">
        <v>0</v>
      </c>
      <c r="BR432" t="s">
        <v>17</v>
      </c>
      <c r="BS432" t="s">
        <v>17</v>
      </c>
      <c r="BT432" t="s">
        <v>0</v>
      </c>
      <c r="BU432" t="s">
        <v>0</v>
      </c>
      <c r="BV432" t="s">
        <v>0</v>
      </c>
      <c r="BW432" t="s">
        <v>0</v>
      </c>
      <c r="BX432" t="s">
        <v>0</v>
      </c>
      <c r="BY432" t="s">
        <v>0</v>
      </c>
      <c r="BZ432" t="s">
        <v>0</v>
      </c>
      <c r="CA432" t="s">
        <v>0</v>
      </c>
      <c r="CB432" t="s">
        <v>0</v>
      </c>
    </row>
    <row r="433" spans="1:80" ht="13.95" customHeight="1" x14ac:dyDescent="0.25">
      <c r="A433" t="s">
        <v>366</v>
      </c>
      <c r="B433" s="2">
        <v>45575</v>
      </c>
      <c r="C433" s="2">
        <v>45677</v>
      </c>
      <c r="D433" s="2">
        <v>45736</v>
      </c>
      <c r="E433" t="s">
        <v>2</v>
      </c>
      <c r="F433" t="s">
        <v>3</v>
      </c>
      <c r="G433" t="s">
        <v>0</v>
      </c>
      <c r="H433" t="s">
        <v>4</v>
      </c>
      <c r="I433" t="s">
        <v>363</v>
      </c>
      <c r="J433" t="s">
        <v>6</v>
      </c>
      <c r="K433" t="s">
        <v>7</v>
      </c>
      <c r="L433" t="s">
        <v>74</v>
      </c>
      <c r="M433" t="s">
        <v>344</v>
      </c>
      <c r="N433" t="s">
        <v>10</v>
      </c>
      <c r="O433" t="s">
        <v>0</v>
      </c>
      <c r="P433" t="s">
        <v>11</v>
      </c>
      <c r="Q433" s="5">
        <v>24</v>
      </c>
      <c r="R433" s="4">
        <v>53500</v>
      </c>
      <c r="S433" s="5">
        <v>1</v>
      </c>
      <c r="T433" s="4">
        <v>1284000</v>
      </c>
      <c r="U433" s="5">
        <v>0</v>
      </c>
      <c r="V433" s="4">
        <v>0</v>
      </c>
      <c r="W433" s="5">
        <v>0</v>
      </c>
      <c r="X433" s="4">
        <v>0</v>
      </c>
      <c r="Y433" s="4">
        <f t="shared" si="12"/>
        <v>1284000</v>
      </c>
      <c r="Z433" s="6" t="s">
        <v>0</v>
      </c>
      <c r="AA433" t="s">
        <v>2</v>
      </c>
      <c r="AB433" t="s">
        <v>12</v>
      </c>
      <c r="AC433">
        <f>_xlfn.XLOOKUP(AB433,'[1]GST Codes'!$A:$A,'[1]GST Codes'!$C:$C,0,0)</f>
        <v>18</v>
      </c>
      <c r="AD433">
        <f t="shared" si="13"/>
        <v>1515120</v>
      </c>
      <c r="AE433" t="s">
        <v>13</v>
      </c>
      <c r="AF433" t="s">
        <v>0</v>
      </c>
      <c r="AG433" t="s">
        <v>14</v>
      </c>
      <c r="AH433" t="s">
        <v>15</v>
      </c>
      <c r="AI433" t="s">
        <v>16</v>
      </c>
      <c r="AJ433" t="s">
        <v>17</v>
      </c>
      <c r="AK433" t="s">
        <v>18</v>
      </c>
      <c r="AL433" t="s">
        <v>19</v>
      </c>
      <c r="AM433" t="s">
        <v>363</v>
      </c>
      <c r="AN433" t="s">
        <v>0</v>
      </c>
      <c r="AO433" t="s">
        <v>20</v>
      </c>
      <c r="AP433" t="s">
        <v>0</v>
      </c>
      <c r="AQ433" s="5">
        <v>24</v>
      </c>
      <c r="AR433" t="s">
        <v>11</v>
      </c>
      <c r="AS433" t="s">
        <v>0</v>
      </c>
      <c r="AT433" t="s">
        <v>17</v>
      </c>
      <c r="AU433" s="4">
        <v>0</v>
      </c>
      <c r="AV433" s="4">
        <v>0</v>
      </c>
      <c r="AW433" s="4">
        <v>0</v>
      </c>
      <c r="AX433" s="4">
        <v>0</v>
      </c>
      <c r="AY433" s="5">
        <v>0</v>
      </c>
      <c r="AZ433" s="5">
        <v>0</v>
      </c>
      <c r="BA433" s="5">
        <v>0</v>
      </c>
      <c r="BB433" s="2"/>
      <c r="BC433" t="s">
        <v>0</v>
      </c>
      <c r="BD433" s="5">
        <v>1</v>
      </c>
      <c r="BE433" t="s">
        <v>0</v>
      </c>
      <c r="BF433" t="s">
        <v>367</v>
      </c>
      <c r="BG433" t="s">
        <v>17</v>
      </c>
      <c r="BH433" t="s">
        <v>0</v>
      </c>
      <c r="BI433" t="s">
        <v>11</v>
      </c>
      <c r="BJ433" t="s">
        <v>0</v>
      </c>
      <c r="BK433" t="s">
        <v>0</v>
      </c>
      <c r="BL433" s="5">
        <v>0</v>
      </c>
      <c r="BM433" t="s">
        <v>0</v>
      </c>
      <c r="BN433" t="s">
        <v>0</v>
      </c>
      <c r="BO433" t="s">
        <v>0</v>
      </c>
      <c r="BP433" t="s">
        <v>17</v>
      </c>
      <c r="BQ433" t="s">
        <v>0</v>
      </c>
      <c r="BR433" t="s">
        <v>17</v>
      </c>
      <c r="BS433" t="s">
        <v>17</v>
      </c>
      <c r="BT433" t="s">
        <v>0</v>
      </c>
      <c r="BU433" t="s">
        <v>0</v>
      </c>
      <c r="BV433" t="s">
        <v>0</v>
      </c>
      <c r="BW433" t="s">
        <v>0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</row>
    <row r="434" spans="1:80" ht="13.95" customHeight="1" x14ac:dyDescent="0.25">
      <c r="A434" t="s">
        <v>366</v>
      </c>
      <c r="B434" s="2">
        <v>45575</v>
      </c>
      <c r="C434" s="2">
        <v>45677</v>
      </c>
      <c r="D434" s="2">
        <v>45736</v>
      </c>
      <c r="E434" t="s">
        <v>2</v>
      </c>
      <c r="F434" t="s">
        <v>3</v>
      </c>
      <c r="G434" t="s">
        <v>0</v>
      </c>
      <c r="H434" t="s">
        <v>4</v>
      </c>
      <c r="I434" t="s">
        <v>363</v>
      </c>
      <c r="J434" t="s">
        <v>6</v>
      </c>
      <c r="K434" t="s">
        <v>22</v>
      </c>
      <c r="L434" t="s">
        <v>74</v>
      </c>
      <c r="M434" t="s">
        <v>344</v>
      </c>
      <c r="N434" t="s">
        <v>10</v>
      </c>
      <c r="O434" t="s">
        <v>0</v>
      </c>
      <c r="P434" t="s">
        <v>11</v>
      </c>
      <c r="Q434" s="5">
        <v>24</v>
      </c>
      <c r="R434" s="4">
        <v>53500</v>
      </c>
      <c r="S434" s="5">
        <v>1</v>
      </c>
      <c r="T434" s="4">
        <v>1284000</v>
      </c>
      <c r="U434" s="5">
        <v>0</v>
      </c>
      <c r="V434" s="4">
        <v>0</v>
      </c>
      <c r="W434" s="5">
        <v>0</v>
      </c>
      <c r="X434" s="4">
        <v>0</v>
      </c>
      <c r="Y434" s="4">
        <f t="shared" si="12"/>
        <v>1284000</v>
      </c>
      <c r="Z434" s="6" t="s">
        <v>0</v>
      </c>
      <c r="AA434" t="s">
        <v>2</v>
      </c>
      <c r="AB434" t="s">
        <v>12</v>
      </c>
      <c r="AC434">
        <f>_xlfn.XLOOKUP(AB434,'[1]GST Codes'!$A:$A,'[1]GST Codes'!$C:$C,0,0)</f>
        <v>18</v>
      </c>
      <c r="AD434">
        <f t="shared" si="13"/>
        <v>1515120</v>
      </c>
      <c r="AE434" t="s">
        <v>13</v>
      </c>
      <c r="AF434" t="s">
        <v>0</v>
      </c>
      <c r="AG434" t="s">
        <v>14</v>
      </c>
      <c r="AH434" t="s">
        <v>15</v>
      </c>
      <c r="AI434" t="s">
        <v>16</v>
      </c>
      <c r="AJ434" t="s">
        <v>17</v>
      </c>
      <c r="AK434" t="s">
        <v>18</v>
      </c>
      <c r="AL434" t="s">
        <v>19</v>
      </c>
      <c r="AM434" t="s">
        <v>363</v>
      </c>
      <c r="AN434" t="s">
        <v>0</v>
      </c>
      <c r="AO434" t="s">
        <v>20</v>
      </c>
      <c r="AP434" t="s">
        <v>0</v>
      </c>
      <c r="AQ434" s="5">
        <v>24</v>
      </c>
      <c r="AR434" t="s">
        <v>11</v>
      </c>
      <c r="AS434" t="s">
        <v>0</v>
      </c>
      <c r="AT434" t="s">
        <v>17</v>
      </c>
      <c r="AU434" s="4">
        <v>0</v>
      </c>
      <c r="AV434" s="4">
        <v>0</v>
      </c>
      <c r="AW434" s="4">
        <v>0</v>
      </c>
      <c r="AX434" s="4">
        <v>0</v>
      </c>
      <c r="AY434" s="5">
        <v>0</v>
      </c>
      <c r="AZ434" s="5">
        <v>0</v>
      </c>
      <c r="BA434" s="5">
        <v>0</v>
      </c>
      <c r="BB434" s="2"/>
      <c r="BC434" t="s">
        <v>0</v>
      </c>
      <c r="BD434" s="5">
        <v>1</v>
      </c>
      <c r="BE434" t="s">
        <v>0</v>
      </c>
      <c r="BF434" t="s">
        <v>367</v>
      </c>
      <c r="BG434" t="s">
        <v>17</v>
      </c>
      <c r="BH434" t="s">
        <v>0</v>
      </c>
      <c r="BI434" t="s">
        <v>11</v>
      </c>
      <c r="BJ434" t="s">
        <v>0</v>
      </c>
      <c r="BK434" t="s">
        <v>0</v>
      </c>
      <c r="BL434" s="5">
        <v>0</v>
      </c>
      <c r="BM434" t="s">
        <v>0</v>
      </c>
      <c r="BN434" t="s">
        <v>0</v>
      </c>
      <c r="BO434" t="s">
        <v>0</v>
      </c>
      <c r="BP434" t="s">
        <v>17</v>
      </c>
      <c r="BQ434" t="s">
        <v>0</v>
      </c>
      <c r="BR434" t="s">
        <v>17</v>
      </c>
      <c r="BS434" t="s">
        <v>17</v>
      </c>
      <c r="BT434" t="s">
        <v>0</v>
      </c>
      <c r="BU434" t="s">
        <v>0</v>
      </c>
      <c r="BV434" t="s">
        <v>0</v>
      </c>
      <c r="BW434" t="s">
        <v>0</v>
      </c>
      <c r="BX434" t="s">
        <v>0</v>
      </c>
      <c r="BY434" t="s">
        <v>0</v>
      </c>
      <c r="BZ434" t="s">
        <v>0</v>
      </c>
      <c r="CA434" t="s">
        <v>0</v>
      </c>
      <c r="CB434" t="s">
        <v>0</v>
      </c>
    </row>
    <row r="435" spans="1:80" ht="13.95" customHeight="1" x14ac:dyDescent="0.25">
      <c r="A435" t="s">
        <v>366</v>
      </c>
      <c r="B435" s="2">
        <v>45575</v>
      </c>
      <c r="C435" s="2">
        <v>45677</v>
      </c>
      <c r="D435" s="2">
        <v>45736</v>
      </c>
      <c r="E435" t="s">
        <v>2</v>
      </c>
      <c r="F435" t="s">
        <v>3</v>
      </c>
      <c r="G435" t="s">
        <v>0</v>
      </c>
      <c r="H435" t="s">
        <v>4</v>
      </c>
      <c r="I435" t="s">
        <v>363</v>
      </c>
      <c r="J435" t="s">
        <v>6</v>
      </c>
      <c r="K435" t="s">
        <v>26</v>
      </c>
      <c r="L435" t="s">
        <v>74</v>
      </c>
      <c r="M435" t="s">
        <v>344</v>
      </c>
      <c r="N435" t="s">
        <v>10</v>
      </c>
      <c r="O435" t="s">
        <v>0</v>
      </c>
      <c r="P435" t="s">
        <v>11</v>
      </c>
      <c r="Q435" s="5">
        <v>8</v>
      </c>
      <c r="R435" s="4">
        <v>53500</v>
      </c>
      <c r="S435" s="5">
        <v>1</v>
      </c>
      <c r="T435" s="4">
        <v>428000</v>
      </c>
      <c r="U435" s="5">
        <v>0</v>
      </c>
      <c r="V435" s="4">
        <v>0</v>
      </c>
      <c r="W435" s="5">
        <v>0</v>
      </c>
      <c r="X435" s="4">
        <v>0</v>
      </c>
      <c r="Y435" s="4">
        <f t="shared" si="12"/>
        <v>428000</v>
      </c>
      <c r="Z435" s="6" t="s">
        <v>0</v>
      </c>
      <c r="AA435" t="s">
        <v>2</v>
      </c>
      <c r="AB435" t="s">
        <v>12</v>
      </c>
      <c r="AC435">
        <f>_xlfn.XLOOKUP(AB435,'[1]GST Codes'!$A:$A,'[1]GST Codes'!$C:$C,0,0)</f>
        <v>18</v>
      </c>
      <c r="AD435">
        <f t="shared" si="13"/>
        <v>505040</v>
      </c>
      <c r="AE435" t="s">
        <v>13</v>
      </c>
      <c r="AF435" t="s">
        <v>0</v>
      </c>
      <c r="AG435" t="s">
        <v>14</v>
      </c>
      <c r="AH435" t="s">
        <v>15</v>
      </c>
      <c r="AI435" t="s">
        <v>16</v>
      </c>
      <c r="AJ435" t="s">
        <v>17</v>
      </c>
      <c r="AK435" t="s">
        <v>18</v>
      </c>
      <c r="AL435" t="s">
        <v>19</v>
      </c>
      <c r="AM435" t="s">
        <v>363</v>
      </c>
      <c r="AN435" t="s">
        <v>0</v>
      </c>
      <c r="AO435" t="s">
        <v>20</v>
      </c>
      <c r="AP435" t="s">
        <v>0</v>
      </c>
      <c r="AQ435" s="5">
        <v>8</v>
      </c>
      <c r="AR435" t="s">
        <v>11</v>
      </c>
      <c r="AS435" t="s">
        <v>0</v>
      </c>
      <c r="AT435" t="s">
        <v>17</v>
      </c>
      <c r="AU435" s="4">
        <v>0</v>
      </c>
      <c r="AV435" s="4">
        <v>0</v>
      </c>
      <c r="AW435" s="4">
        <v>0</v>
      </c>
      <c r="AX435" s="4">
        <v>0</v>
      </c>
      <c r="AY435" s="5">
        <v>0</v>
      </c>
      <c r="AZ435" s="5">
        <v>0</v>
      </c>
      <c r="BA435" s="5">
        <v>0</v>
      </c>
      <c r="BB435" s="2"/>
      <c r="BC435" t="s">
        <v>0</v>
      </c>
      <c r="BD435" s="5">
        <v>1</v>
      </c>
      <c r="BE435" t="s">
        <v>0</v>
      </c>
      <c r="BF435" t="s">
        <v>367</v>
      </c>
      <c r="BG435" t="s">
        <v>17</v>
      </c>
      <c r="BH435" t="s">
        <v>0</v>
      </c>
      <c r="BI435" t="s">
        <v>11</v>
      </c>
      <c r="BJ435" t="s">
        <v>0</v>
      </c>
      <c r="BK435" t="s">
        <v>0</v>
      </c>
      <c r="BL435" s="5">
        <v>0</v>
      </c>
      <c r="BM435" t="s">
        <v>0</v>
      </c>
      <c r="BN435" t="s">
        <v>0</v>
      </c>
      <c r="BO435" t="s">
        <v>0</v>
      </c>
      <c r="BP435" t="s">
        <v>17</v>
      </c>
      <c r="BQ435" t="s">
        <v>0</v>
      </c>
      <c r="BR435" t="s">
        <v>17</v>
      </c>
      <c r="BS435" t="s">
        <v>17</v>
      </c>
      <c r="BT435" t="s">
        <v>0</v>
      </c>
      <c r="BU435" t="s">
        <v>0</v>
      </c>
      <c r="BV435" t="s">
        <v>0</v>
      </c>
      <c r="BW435" t="s">
        <v>0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</row>
    <row r="436" spans="1:80" ht="13.95" customHeight="1" x14ac:dyDescent="0.25">
      <c r="A436" t="s">
        <v>366</v>
      </c>
      <c r="B436" s="2">
        <v>45575</v>
      </c>
      <c r="C436" s="2">
        <v>45677</v>
      </c>
      <c r="D436" s="2">
        <v>45736</v>
      </c>
      <c r="E436" t="s">
        <v>2</v>
      </c>
      <c r="F436" t="s">
        <v>3</v>
      </c>
      <c r="G436" t="s">
        <v>0</v>
      </c>
      <c r="H436" t="s">
        <v>4</v>
      </c>
      <c r="I436" t="s">
        <v>363</v>
      </c>
      <c r="J436" t="s">
        <v>6</v>
      </c>
      <c r="K436" t="s">
        <v>30</v>
      </c>
      <c r="L436" t="s">
        <v>39</v>
      </c>
      <c r="M436" t="s">
        <v>346</v>
      </c>
      <c r="N436" t="s">
        <v>10</v>
      </c>
      <c r="O436" t="s">
        <v>0</v>
      </c>
      <c r="P436" t="s">
        <v>11</v>
      </c>
      <c r="Q436" s="3">
        <v>5.4</v>
      </c>
      <c r="R436" s="4">
        <v>53500</v>
      </c>
      <c r="S436" s="5">
        <v>1</v>
      </c>
      <c r="T436" s="4">
        <v>288900</v>
      </c>
      <c r="U436" s="5">
        <v>0</v>
      </c>
      <c r="V436" s="4">
        <v>0</v>
      </c>
      <c r="W436" s="5">
        <v>0</v>
      </c>
      <c r="X436" s="4">
        <v>0</v>
      </c>
      <c r="Y436" s="4">
        <f t="shared" si="12"/>
        <v>288900</v>
      </c>
      <c r="Z436" s="6" t="s">
        <v>0</v>
      </c>
      <c r="AA436" t="s">
        <v>2</v>
      </c>
      <c r="AB436" t="s">
        <v>12</v>
      </c>
      <c r="AC436">
        <f>_xlfn.XLOOKUP(AB436,'[1]GST Codes'!$A:$A,'[1]GST Codes'!$C:$C,0,0)</f>
        <v>18</v>
      </c>
      <c r="AD436">
        <f t="shared" si="13"/>
        <v>340902</v>
      </c>
      <c r="AE436" t="s">
        <v>13</v>
      </c>
      <c r="AF436" t="s">
        <v>0</v>
      </c>
      <c r="AG436" t="s">
        <v>14</v>
      </c>
      <c r="AH436" t="s">
        <v>15</v>
      </c>
      <c r="AI436" t="s">
        <v>16</v>
      </c>
      <c r="AJ436" t="s">
        <v>17</v>
      </c>
      <c r="AK436" t="s">
        <v>18</v>
      </c>
      <c r="AL436" t="s">
        <v>19</v>
      </c>
      <c r="AM436" t="s">
        <v>363</v>
      </c>
      <c r="AN436" t="s">
        <v>0</v>
      </c>
      <c r="AO436" t="s">
        <v>20</v>
      </c>
      <c r="AP436" t="s">
        <v>0</v>
      </c>
      <c r="AQ436" s="3">
        <v>5.4</v>
      </c>
      <c r="AR436" t="s">
        <v>11</v>
      </c>
      <c r="AS436" t="s">
        <v>0</v>
      </c>
      <c r="AT436" t="s">
        <v>17</v>
      </c>
      <c r="AU436" s="4">
        <v>0</v>
      </c>
      <c r="AV436" s="4">
        <v>0</v>
      </c>
      <c r="AW436" s="4">
        <v>0</v>
      </c>
      <c r="AX436" s="4">
        <v>0</v>
      </c>
      <c r="AY436" s="5">
        <v>0</v>
      </c>
      <c r="AZ436" s="5">
        <v>0</v>
      </c>
      <c r="BA436" s="5">
        <v>0</v>
      </c>
      <c r="BB436" s="2"/>
      <c r="BC436" t="s">
        <v>0</v>
      </c>
      <c r="BD436" s="5">
        <v>1</v>
      </c>
      <c r="BE436" t="s">
        <v>0</v>
      </c>
      <c r="BF436" t="s">
        <v>368</v>
      </c>
      <c r="BG436" t="s">
        <v>17</v>
      </c>
      <c r="BH436" t="s">
        <v>0</v>
      </c>
      <c r="BI436" t="s">
        <v>11</v>
      </c>
      <c r="BJ436" t="s">
        <v>0</v>
      </c>
      <c r="BK436" t="s">
        <v>0</v>
      </c>
      <c r="BL436" s="5">
        <v>0</v>
      </c>
      <c r="BM436" t="s">
        <v>0</v>
      </c>
      <c r="BN436" t="s">
        <v>0</v>
      </c>
      <c r="BO436" t="s">
        <v>0</v>
      </c>
      <c r="BP436" t="s">
        <v>17</v>
      </c>
      <c r="BQ436" t="s">
        <v>0</v>
      </c>
      <c r="BR436" t="s">
        <v>17</v>
      </c>
      <c r="BS436" t="s">
        <v>17</v>
      </c>
      <c r="BT436" t="s">
        <v>0</v>
      </c>
      <c r="BU436" t="s">
        <v>0</v>
      </c>
      <c r="BV436" t="s">
        <v>0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</row>
    <row r="437" spans="1:80" ht="13.95" customHeight="1" x14ac:dyDescent="0.25">
      <c r="A437" t="s">
        <v>366</v>
      </c>
      <c r="B437" s="2">
        <v>45575</v>
      </c>
      <c r="C437" s="2">
        <v>45677</v>
      </c>
      <c r="D437" s="2">
        <v>45736</v>
      </c>
      <c r="E437" t="s">
        <v>2</v>
      </c>
      <c r="F437" t="s">
        <v>3</v>
      </c>
      <c r="G437" t="s">
        <v>0</v>
      </c>
      <c r="H437" t="s">
        <v>4</v>
      </c>
      <c r="I437" t="s">
        <v>363</v>
      </c>
      <c r="J437" t="s">
        <v>6</v>
      </c>
      <c r="K437" t="s">
        <v>34</v>
      </c>
      <c r="L437" t="s">
        <v>39</v>
      </c>
      <c r="M437" t="s">
        <v>346</v>
      </c>
      <c r="N437" t="s">
        <v>10</v>
      </c>
      <c r="O437" t="s">
        <v>0</v>
      </c>
      <c r="P437" t="s">
        <v>11</v>
      </c>
      <c r="Q437" s="3">
        <v>5.4</v>
      </c>
      <c r="R437" s="4">
        <v>53500</v>
      </c>
      <c r="S437" s="5">
        <v>1</v>
      </c>
      <c r="T437" s="4">
        <v>288900</v>
      </c>
      <c r="U437" s="5">
        <v>0</v>
      </c>
      <c r="V437" s="4">
        <v>0</v>
      </c>
      <c r="W437" s="5">
        <v>0</v>
      </c>
      <c r="X437" s="4">
        <v>0</v>
      </c>
      <c r="Y437" s="4">
        <f t="shared" si="12"/>
        <v>288900</v>
      </c>
      <c r="Z437" s="6" t="s">
        <v>0</v>
      </c>
      <c r="AA437" t="s">
        <v>2</v>
      </c>
      <c r="AB437" t="s">
        <v>12</v>
      </c>
      <c r="AC437">
        <f>_xlfn.XLOOKUP(AB437,'[1]GST Codes'!$A:$A,'[1]GST Codes'!$C:$C,0,0)</f>
        <v>18</v>
      </c>
      <c r="AD437">
        <f t="shared" si="13"/>
        <v>340902</v>
      </c>
      <c r="AE437" t="s">
        <v>13</v>
      </c>
      <c r="AF437" t="s">
        <v>0</v>
      </c>
      <c r="AG437" t="s">
        <v>14</v>
      </c>
      <c r="AH437" t="s">
        <v>15</v>
      </c>
      <c r="AI437" t="s">
        <v>16</v>
      </c>
      <c r="AJ437" t="s">
        <v>17</v>
      </c>
      <c r="AK437" t="s">
        <v>18</v>
      </c>
      <c r="AL437" t="s">
        <v>19</v>
      </c>
      <c r="AM437" t="s">
        <v>363</v>
      </c>
      <c r="AN437" t="s">
        <v>0</v>
      </c>
      <c r="AO437" t="s">
        <v>20</v>
      </c>
      <c r="AP437" t="s">
        <v>0</v>
      </c>
      <c r="AQ437" s="3">
        <v>5.4</v>
      </c>
      <c r="AR437" t="s">
        <v>11</v>
      </c>
      <c r="AS437" t="s">
        <v>0</v>
      </c>
      <c r="AT437" t="s">
        <v>17</v>
      </c>
      <c r="AU437" s="4">
        <v>0</v>
      </c>
      <c r="AV437" s="4">
        <v>0</v>
      </c>
      <c r="AW437" s="4">
        <v>0</v>
      </c>
      <c r="AX437" s="4">
        <v>0</v>
      </c>
      <c r="AY437" s="5">
        <v>0</v>
      </c>
      <c r="AZ437" s="5">
        <v>0</v>
      </c>
      <c r="BA437" s="5">
        <v>0</v>
      </c>
      <c r="BB437" s="2"/>
      <c r="BC437" t="s">
        <v>0</v>
      </c>
      <c r="BD437" s="5">
        <v>1</v>
      </c>
      <c r="BE437" t="s">
        <v>0</v>
      </c>
      <c r="BF437" t="s">
        <v>368</v>
      </c>
      <c r="BG437" t="s">
        <v>17</v>
      </c>
      <c r="BH437" t="s">
        <v>0</v>
      </c>
      <c r="BI437" t="s">
        <v>11</v>
      </c>
      <c r="BJ437" t="s">
        <v>0</v>
      </c>
      <c r="BK437" t="s">
        <v>0</v>
      </c>
      <c r="BL437" s="5">
        <v>0</v>
      </c>
      <c r="BM437" t="s">
        <v>0</v>
      </c>
      <c r="BN437" t="s">
        <v>0</v>
      </c>
      <c r="BO437" t="s">
        <v>0</v>
      </c>
      <c r="BP437" t="s">
        <v>17</v>
      </c>
      <c r="BQ437" t="s">
        <v>0</v>
      </c>
      <c r="BR437" t="s">
        <v>17</v>
      </c>
      <c r="BS437" t="s">
        <v>17</v>
      </c>
      <c r="BT437" t="s">
        <v>0</v>
      </c>
      <c r="BU437" t="s">
        <v>0</v>
      </c>
      <c r="BV437" t="s">
        <v>0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</row>
    <row r="438" spans="1:80" ht="13.95" customHeight="1" x14ac:dyDescent="0.25">
      <c r="A438" t="s">
        <v>366</v>
      </c>
      <c r="B438" s="2">
        <v>45575</v>
      </c>
      <c r="C438" s="2">
        <v>45677</v>
      </c>
      <c r="D438" s="2">
        <v>45736</v>
      </c>
      <c r="E438" t="s">
        <v>2</v>
      </c>
      <c r="F438" t="s">
        <v>3</v>
      </c>
      <c r="G438" t="s">
        <v>0</v>
      </c>
      <c r="H438" t="s">
        <v>4</v>
      </c>
      <c r="I438" t="s">
        <v>363</v>
      </c>
      <c r="J438" t="s">
        <v>6</v>
      </c>
      <c r="K438" t="s">
        <v>38</v>
      </c>
      <c r="L438" t="s">
        <v>39</v>
      </c>
      <c r="M438" t="s">
        <v>346</v>
      </c>
      <c r="N438" t="s">
        <v>10</v>
      </c>
      <c r="O438" t="s">
        <v>0</v>
      </c>
      <c r="P438" t="s">
        <v>11</v>
      </c>
      <c r="Q438" s="5">
        <v>7</v>
      </c>
      <c r="R438" s="4">
        <v>53500</v>
      </c>
      <c r="S438" s="5">
        <v>1</v>
      </c>
      <c r="T438" s="4">
        <v>374500</v>
      </c>
      <c r="U438" s="3">
        <v>1.508</v>
      </c>
      <c r="V438" s="4">
        <v>80678</v>
      </c>
      <c r="W438" s="3">
        <v>1.508</v>
      </c>
      <c r="X438" s="4">
        <v>80678</v>
      </c>
      <c r="Y438" s="4">
        <f t="shared" si="12"/>
        <v>293822</v>
      </c>
      <c r="Z438" s="6" t="s">
        <v>0</v>
      </c>
      <c r="AA438" t="s">
        <v>2</v>
      </c>
      <c r="AB438" t="s">
        <v>12</v>
      </c>
      <c r="AC438">
        <f>_xlfn.XLOOKUP(AB438,'[1]GST Codes'!$A:$A,'[1]GST Codes'!$C:$C,0,0)</f>
        <v>18</v>
      </c>
      <c r="AD438">
        <f t="shared" si="13"/>
        <v>346709.96</v>
      </c>
      <c r="AE438" t="s">
        <v>13</v>
      </c>
      <c r="AF438" t="s">
        <v>0</v>
      </c>
      <c r="AG438" t="s">
        <v>14</v>
      </c>
      <c r="AH438" t="s">
        <v>15</v>
      </c>
      <c r="AI438" t="s">
        <v>16</v>
      </c>
      <c r="AJ438" t="s">
        <v>17</v>
      </c>
      <c r="AK438" t="s">
        <v>18</v>
      </c>
      <c r="AL438" t="s">
        <v>19</v>
      </c>
      <c r="AM438" t="s">
        <v>363</v>
      </c>
      <c r="AN438" t="s">
        <v>0</v>
      </c>
      <c r="AO438" t="s">
        <v>20</v>
      </c>
      <c r="AP438" t="s">
        <v>0</v>
      </c>
      <c r="AQ438" s="5">
        <v>7</v>
      </c>
      <c r="AR438" t="s">
        <v>11</v>
      </c>
      <c r="AS438" t="s">
        <v>0</v>
      </c>
      <c r="AT438" t="s">
        <v>17</v>
      </c>
      <c r="AU438" s="4">
        <v>0</v>
      </c>
      <c r="AV438" s="4">
        <v>0</v>
      </c>
      <c r="AW438" s="4">
        <v>0</v>
      </c>
      <c r="AX438" s="4">
        <v>0</v>
      </c>
      <c r="AY438" s="5">
        <v>0</v>
      </c>
      <c r="AZ438" s="5">
        <v>0</v>
      </c>
      <c r="BA438" s="5">
        <v>0</v>
      </c>
      <c r="BB438" s="2"/>
      <c r="BC438" t="s">
        <v>0</v>
      </c>
      <c r="BD438" s="5">
        <v>1</v>
      </c>
      <c r="BE438" t="s">
        <v>0</v>
      </c>
      <c r="BF438" t="s">
        <v>368</v>
      </c>
      <c r="BG438" t="s">
        <v>17</v>
      </c>
      <c r="BH438" t="s">
        <v>0</v>
      </c>
      <c r="BI438" t="s">
        <v>11</v>
      </c>
      <c r="BJ438" t="s">
        <v>0</v>
      </c>
      <c r="BK438" t="s">
        <v>0</v>
      </c>
      <c r="BL438" s="5">
        <v>0</v>
      </c>
      <c r="BM438" t="s">
        <v>0</v>
      </c>
      <c r="BN438" t="s">
        <v>0</v>
      </c>
      <c r="BO438" t="s">
        <v>0</v>
      </c>
      <c r="BP438" t="s">
        <v>17</v>
      </c>
      <c r="BQ438" t="s">
        <v>0</v>
      </c>
      <c r="BR438" t="s">
        <v>17</v>
      </c>
      <c r="BS438" t="s">
        <v>17</v>
      </c>
      <c r="BT438" t="s">
        <v>0</v>
      </c>
      <c r="BU438" t="s">
        <v>0</v>
      </c>
      <c r="BV438" t="s">
        <v>0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</row>
    <row r="439" spans="1:80" ht="13.95" customHeight="1" x14ac:dyDescent="0.25">
      <c r="A439" t="s">
        <v>366</v>
      </c>
      <c r="B439" s="2">
        <v>45575</v>
      </c>
      <c r="C439" s="2">
        <v>45677</v>
      </c>
      <c r="D439" s="2">
        <v>45736</v>
      </c>
      <c r="E439" t="s">
        <v>2</v>
      </c>
      <c r="F439" t="s">
        <v>3</v>
      </c>
      <c r="G439" t="s">
        <v>0</v>
      </c>
      <c r="H439" t="s">
        <v>4</v>
      </c>
      <c r="I439" t="s">
        <v>363</v>
      </c>
      <c r="J439" t="s">
        <v>6</v>
      </c>
      <c r="K439" t="s">
        <v>42</v>
      </c>
      <c r="L439" t="s">
        <v>43</v>
      </c>
      <c r="M439" t="s">
        <v>348</v>
      </c>
      <c r="N439" t="s">
        <v>10</v>
      </c>
      <c r="O439" t="s">
        <v>0</v>
      </c>
      <c r="P439" t="s">
        <v>11</v>
      </c>
      <c r="Q439" s="3">
        <v>41.25</v>
      </c>
      <c r="R439" s="4">
        <v>53500</v>
      </c>
      <c r="S439" s="5">
        <v>1</v>
      </c>
      <c r="T439" s="4">
        <v>2206875</v>
      </c>
      <c r="U439" s="5">
        <v>0</v>
      </c>
      <c r="V439" s="4">
        <v>0</v>
      </c>
      <c r="W439" s="5">
        <v>0</v>
      </c>
      <c r="X439" s="4">
        <v>0</v>
      </c>
      <c r="Y439" s="4">
        <f t="shared" si="12"/>
        <v>2206875</v>
      </c>
      <c r="Z439" s="6" t="s">
        <v>0</v>
      </c>
      <c r="AA439" t="s">
        <v>2</v>
      </c>
      <c r="AB439" t="s">
        <v>12</v>
      </c>
      <c r="AC439">
        <f>_xlfn.XLOOKUP(AB439,'[1]GST Codes'!$A:$A,'[1]GST Codes'!$C:$C,0,0)</f>
        <v>18</v>
      </c>
      <c r="AD439">
        <f t="shared" si="13"/>
        <v>2604112.5</v>
      </c>
      <c r="AE439" t="s">
        <v>13</v>
      </c>
      <c r="AF439" t="s">
        <v>0</v>
      </c>
      <c r="AG439" t="s">
        <v>14</v>
      </c>
      <c r="AH439" t="s">
        <v>15</v>
      </c>
      <c r="AI439" t="s">
        <v>16</v>
      </c>
      <c r="AJ439" t="s">
        <v>17</v>
      </c>
      <c r="AK439" t="s">
        <v>18</v>
      </c>
      <c r="AL439" t="s">
        <v>19</v>
      </c>
      <c r="AM439" t="s">
        <v>363</v>
      </c>
      <c r="AN439" t="s">
        <v>0</v>
      </c>
      <c r="AO439" t="s">
        <v>20</v>
      </c>
      <c r="AP439" t="s">
        <v>0</v>
      </c>
      <c r="AQ439" s="3">
        <v>41.25</v>
      </c>
      <c r="AR439" t="s">
        <v>11</v>
      </c>
      <c r="AS439" t="s">
        <v>0</v>
      </c>
      <c r="AT439" t="s">
        <v>17</v>
      </c>
      <c r="AU439" s="4">
        <v>0</v>
      </c>
      <c r="AV439" s="4">
        <v>0</v>
      </c>
      <c r="AW439" s="4">
        <v>0</v>
      </c>
      <c r="AX439" s="4">
        <v>0</v>
      </c>
      <c r="AY439" s="5">
        <v>0</v>
      </c>
      <c r="AZ439" s="5">
        <v>0</v>
      </c>
      <c r="BA439" s="5">
        <v>0</v>
      </c>
      <c r="BB439" s="2"/>
      <c r="BC439" t="s">
        <v>0</v>
      </c>
      <c r="BD439" s="5">
        <v>1</v>
      </c>
      <c r="BE439" t="s">
        <v>0</v>
      </c>
      <c r="BF439" t="s">
        <v>364</v>
      </c>
      <c r="BG439" t="s">
        <v>17</v>
      </c>
      <c r="BH439" t="s">
        <v>0</v>
      </c>
      <c r="BI439" t="s">
        <v>11</v>
      </c>
      <c r="BJ439" t="s">
        <v>0</v>
      </c>
      <c r="BK439" t="s">
        <v>0</v>
      </c>
      <c r="BL439" s="5">
        <v>0</v>
      </c>
      <c r="BM439" t="s">
        <v>0</v>
      </c>
      <c r="BN439" t="s">
        <v>0</v>
      </c>
      <c r="BO439" t="s">
        <v>0</v>
      </c>
      <c r="BP439" t="s">
        <v>17</v>
      </c>
      <c r="BQ439" t="s">
        <v>0</v>
      </c>
      <c r="BR439" t="s">
        <v>17</v>
      </c>
      <c r="BS439" t="s">
        <v>17</v>
      </c>
      <c r="BT439" t="s">
        <v>0</v>
      </c>
      <c r="BU439" t="s">
        <v>0</v>
      </c>
      <c r="BV439" t="s">
        <v>0</v>
      </c>
      <c r="BW439" t="s">
        <v>0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</row>
    <row r="440" spans="1:80" ht="13.95" customHeight="1" x14ac:dyDescent="0.25">
      <c r="A440" t="s">
        <v>366</v>
      </c>
      <c r="B440" s="2">
        <v>45575</v>
      </c>
      <c r="C440" s="2">
        <v>45677</v>
      </c>
      <c r="D440" s="2">
        <v>45736</v>
      </c>
      <c r="E440" t="s">
        <v>2</v>
      </c>
      <c r="F440" t="s">
        <v>3</v>
      </c>
      <c r="G440" t="s">
        <v>0</v>
      </c>
      <c r="H440" t="s">
        <v>4</v>
      </c>
      <c r="I440" t="s">
        <v>363</v>
      </c>
      <c r="J440" t="s">
        <v>6</v>
      </c>
      <c r="K440" t="s">
        <v>86</v>
      </c>
      <c r="L440" t="s">
        <v>43</v>
      </c>
      <c r="M440" t="s">
        <v>348</v>
      </c>
      <c r="N440" t="s">
        <v>10</v>
      </c>
      <c r="O440" t="s">
        <v>0</v>
      </c>
      <c r="P440" t="s">
        <v>11</v>
      </c>
      <c r="Q440" s="3">
        <v>41.25</v>
      </c>
      <c r="R440" s="4">
        <v>53500</v>
      </c>
      <c r="S440" s="5">
        <v>1</v>
      </c>
      <c r="T440" s="4">
        <v>2206875</v>
      </c>
      <c r="U440" s="5">
        <v>0</v>
      </c>
      <c r="V440" s="4">
        <v>0</v>
      </c>
      <c r="W440" s="5">
        <v>0</v>
      </c>
      <c r="X440" s="4">
        <v>0</v>
      </c>
      <c r="Y440" s="4">
        <f t="shared" si="12"/>
        <v>2206875</v>
      </c>
      <c r="Z440" s="6" t="s">
        <v>0</v>
      </c>
      <c r="AA440" t="s">
        <v>2</v>
      </c>
      <c r="AB440" t="s">
        <v>12</v>
      </c>
      <c r="AC440">
        <f>_xlfn.XLOOKUP(AB440,'[1]GST Codes'!$A:$A,'[1]GST Codes'!$C:$C,0,0)</f>
        <v>18</v>
      </c>
      <c r="AD440">
        <f t="shared" si="13"/>
        <v>2604112.5</v>
      </c>
      <c r="AE440" t="s">
        <v>13</v>
      </c>
      <c r="AF440" t="s">
        <v>0</v>
      </c>
      <c r="AG440" t="s">
        <v>14</v>
      </c>
      <c r="AH440" t="s">
        <v>15</v>
      </c>
      <c r="AI440" t="s">
        <v>16</v>
      </c>
      <c r="AJ440" t="s">
        <v>17</v>
      </c>
      <c r="AK440" t="s">
        <v>18</v>
      </c>
      <c r="AL440" t="s">
        <v>19</v>
      </c>
      <c r="AM440" t="s">
        <v>363</v>
      </c>
      <c r="AN440" t="s">
        <v>0</v>
      </c>
      <c r="AO440" t="s">
        <v>20</v>
      </c>
      <c r="AP440" t="s">
        <v>0</v>
      </c>
      <c r="AQ440" s="3">
        <v>41.25</v>
      </c>
      <c r="AR440" t="s">
        <v>11</v>
      </c>
      <c r="AS440" t="s">
        <v>0</v>
      </c>
      <c r="AT440" t="s">
        <v>17</v>
      </c>
      <c r="AU440" s="4">
        <v>0</v>
      </c>
      <c r="AV440" s="4">
        <v>0</v>
      </c>
      <c r="AW440" s="4">
        <v>0</v>
      </c>
      <c r="AX440" s="4">
        <v>0</v>
      </c>
      <c r="AY440" s="5">
        <v>0</v>
      </c>
      <c r="AZ440" s="5">
        <v>0</v>
      </c>
      <c r="BA440" s="5">
        <v>0</v>
      </c>
      <c r="BB440" s="2"/>
      <c r="BC440" t="s">
        <v>0</v>
      </c>
      <c r="BD440" s="5">
        <v>1</v>
      </c>
      <c r="BE440" t="s">
        <v>0</v>
      </c>
      <c r="BF440" t="s">
        <v>364</v>
      </c>
      <c r="BG440" t="s">
        <v>17</v>
      </c>
      <c r="BH440" t="s">
        <v>0</v>
      </c>
      <c r="BI440" t="s">
        <v>11</v>
      </c>
      <c r="BJ440" t="s">
        <v>0</v>
      </c>
      <c r="BK440" t="s">
        <v>0</v>
      </c>
      <c r="BL440" s="5">
        <v>0</v>
      </c>
      <c r="BM440" t="s">
        <v>0</v>
      </c>
      <c r="BN440" t="s">
        <v>0</v>
      </c>
      <c r="BO440" t="s">
        <v>0</v>
      </c>
      <c r="BP440" t="s">
        <v>17</v>
      </c>
      <c r="BQ440" t="s">
        <v>0</v>
      </c>
      <c r="BR440" t="s">
        <v>17</v>
      </c>
      <c r="BS440" t="s">
        <v>17</v>
      </c>
      <c r="BT440" t="s">
        <v>0</v>
      </c>
      <c r="BU440" t="s">
        <v>0</v>
      </c>
      <c r="BV440" t="s">
        <v>0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</row>
    <row r="441" spans="1:80" ht="13.95" customHeight="1" x14ac:dyDescent="0.25">
      <c r="A441" t="s">
        <v>366</v>
      </c>
      <c r="B441" s="2">
        <v>45575</v>
      </c>
      <c r="C441" s="2">
        <v>45677</v>
      </c>
      <c r="D441" s="2">
        <v>45736</v>
      </c>
      <c r="E441" t="s">
        <v>2</v>
      </c>
      <c r="F441" t="s">
        <v>3</v>
      </c>
      <c r="G441" t="s">
        <v>0</v>
      </c>
      <c r="H441" t="s">
        <v>4</v>
      </c>
      <c r="I441" t="s">
        <v>363</v>
      </c>
      <c r="J441" t="s">
        <v>6</v>
      </c>
      <c r="K441" t="s">
        <v>87</v>
      </c>
      <c r="L441" t="s">
        <v>43</v>
      </c>
      <c r="M441" t="s">
        <v>348</v>
      </c>
      <c r="N441" t="s">
        <v>10</v>
      </c>
      <c r="O441" t="s">
        <v>0</v>
      </c>
      <c r="P441" t="s">
        <v>11</v>
      </c>
      <c r="Q441" s="3">
        <v>47.5</v>
      </c>
      <c r="R441" s="4">
        <v>53500</v>
      </c>
      <c r="S441" s="5">
        <v>1</v>
      </c>
      <c r="T441" s="4">
        <v>2541250</v>
      </c>
      <c r="U441" s="5">
        <v>0</v>
      </c>
      <c r="V441" s="4">
        <v>0</v>
      </c>
      <c r="W441" s="5">
        <v>0</v>
      </c>
      <c r="X441" s="4">
        <v>0</v>
      </c>
      <c r="Y441" s="4">
        <f t="shared" si="12"/>
        <v>2541250</v>
      </c>
      <c r="Z441" s="6" t="s">
        <v>0</v>
      </c>
      <c r="AA441" t="s">
        <v>2</v>
      </c>
      <c r="AB441" t="s">
        <v>12</v>
      </c>
      <c r="AC441">
        <f>_xlfn.XLOOKUP(AB441,'[1]GST Codes'!$A:$A,'[1]GST Codes'!$C:$C,0,0)</f>
        <v>18</v>
      </c>
      <c r="AD441">
        <f t="shared" si="13"/>
        <v>2998675</v>
      </c>
      <c r="AE441" t="s">
        <v>13</v>
      </c>
      <c r="AF441" t="s">
        <v>0</v>
      </c>
      <c r="AG441" t="s">
        <v>14</v>
      </c>
      <c r="AH441" t="s">
        <v>15</v>
      </c>
      <c r="AI441" t="s">
        <v>16</v>
      </c>
      <c r="AJ441" t="s">
        <v>17</v>
      </c>
      <c r="AK441" t="s">
        <v>18</v>
      </c>
      <c r="AL441" t="s">
        <v>19</v>
      </c>
      <c r="AM441" t="s">
        <v>363</v>
      </c>
      <c r="AN441" t="s">
        <v>0</v>
      </c>
      <c r="AO441" t="s">
        <v>20</v>
      </c>
      <c r="AP441" t="s">
        <v>0</v>
      </c>
      <c r="AQ441" s="3">
        <v>47.5</v>
      </c>
      <c r="AR441" t="s">
        <v>11</v>
      </c>
      <c r="AS441" t="s">
        <v>0</v>
      </c>
      <c r="AT441" t="s">
        <v>17</v>
      </c>
      <c r="AU441" s="4">
        <v>0</v>
      </c>
      <c r="AV441" s="4">
        <v>0</v>
      </c>
      <c r="AW441" s="4">
        <v>0</v>
      </c>
      <c r="AX441" s="4">
        <v>0</v>
      </c>
      <c r="AY441" s="5">
        <v>0</v>
      </c>
      <c r="AZ441" s="5">
        <v>0</v>
      </c>
      <c r="BA441" s="5">
        <v>0</v>
      </c>
      <c r="BB441" s="2"/>
      <c r="BC441" t="s">
        <v>0</v>
      </c>
      <c r="BD441" s="5">
        <v>1</v>
      </c>
      <c r="BE441" t="s">
        <v>0</v>
      </c>
      <c r="BF441" t="s">
        <v>364</v>
      </c>
      <c r="BG441" t="s">
        <v>17</v>
      </c>
      <c r="BH441" t="s">
        <v>0</v>
      </c>
      <c r="BI441" t="s">
        <v>11</v>
      </c>
      <c r="BJ441" t="s">
        <v>0</v>
      </c>
      <c r="BK441" t="s">
        <v>0</v>
      </c>
      <c r="BL441" s="5">
        <v>0</v>
      </c>
      <c r="BM441" t="s">
        <v>0</v>
      </c>
      <c r="BN441" t="s">
        <v>0</v>
      </c>
      <c r="BO441" t="s">
        <v>0</v>
      </c>
      <c r="BP441" t="s">
        <v>17</v>
      </c>
      <c r="BQ441" t="s">
        <v>0</v>
      </c>
      <c r="BR441" t="s">
        <v>17</v>
      </c>
      <c r="BS441" t="s">
        <v>17</v>
      </c>
      <c r="BT441" t="s">
        <v>0</v>
      </c>
      <c r="BU441" t="s">
        <v>0</v>
      </c>
      <c r="BV441" t="s">
        <v>0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</row>
    <row r="442" spans="1:80" ht="13.95" customHeight="1" x14ac:dyDescent="0.25">
      <c r="A442" t="s">
        <v>366</v>
      </c>
      <c r="B442" s="2">
        <v>45575</v>
      </c>
      <c r="C442" s="2">
        <v>45677</v>
      </c>
      <c r="D442" s="2">
        <v>45736</v>
      </c>
      <c r="E442" t="s">
        <v>2</v>
      </c>
      <c r="F442" t="s">
        <v>3</v>
      </c>
      <c r="G442" t="s">
        <v>0</v>
      </c>
      <c r="H442" t="s">
        <v>4</v>
      </c>
      <c r="I442" t="s">
        <v>363</v>
      </c>
      <c r="J442" t="s">
        <v>6</v>
      </c>
      <c r="K442" t="s">
        <v>88</v>
      </c>
      <c r="L442" t="s">
        <v>43</v>
      </c>
      <c r="M442" t="s">
        <v>350</v>
      </c>
      <c r="N442" t="s">
        <v>10</v>
      </c>
      <c r="O442" t="s">
        <v>0</v>
      </c>
      <c r="P442" t="s">
        <v>11</v>
      </c>
      <c r="Q442" s="3">
        <v>99.25</v>
      </c>
      <c r="R442" s="4">
        <v>53500</v>
      </c>
      <c r="S442" s="5">
        <v>1</v>
      </c>
      <c r="T442" s="4">
        <v>5309875</v>
      </c>
      <c r="U442" s="5">
        <v>0</v>
      </c>
      <c r="V442" s="4">
        <v>0</v>
      </c>
      <c r="W442" s="5">
        <v>0</v>
      </c>
      <c r="X442" s="4">
        <v>0</v>
      </c>
      <c r="Y442" s="4">
        <f t="shared" si="12"/>
        <v>5309875</v>
      </c>
      <c r="Z442" s="6" t="s">
        <v>0</v>
      </c>
      <c r="AA442" t="s">
        <v>2</v>
      </c>
      <c r="AB442" t="s">
        <v>12</v>
      </c>
      <c r="AC442">
        <f>_xlfn.XLOOKUP(AB442,'[1]GST Codes'!$A:$A,'[1]GST Codes'!$C:$C,0,0)</f>
        <v>18</v>
      </c>
      <c r="AD442">
        <f t="shared" si="13"/>
        <v>6265652.5</v>
      </c>
      <c r="AE442" t="s">
        <v>13</v>
      </c>
      <c r="AF442" t="s">
        <v>0</v>
      </c>
      <c r="AG442" t="s">
        <v>14</v>
      </c>
      <c r="AH442" t="s">
        <v>15</v>
      </c>
      <c r="AI442" t="s">
        <v>16</v>
      </c>
      <c r="AJ442" t="s">
        <v>17</v>
      </c>
      <c r="AK442" t="s">
        <v>18</v>
      </c>
      <c r="AL442" t="s">
        <v>19</v>
      </c>
      <c r="AM442" t="s">
        <v>363</v>
      </c>
      <c r="AN442" t="s">
        <v>0</v>
      </c>
      <c r="AO442" t="s">
        <v>20</v>
      </c>
      <c r="AP442" t="s">
        <v>0</v>
      </c>
      <c r="AQ442" s="3">
        <v>99.25</v>
      </c>
      <c r="AR442" t="s">
        <v>11</v>
      </c>
      <c r="AS442" t="s">
        <v>0</v>
      </c>
      <c r="AT442" t="s">
        <v>17</v>
      </c>
      <c r="AU442" s="4">
        <v>0</v>
      </c>
      <c r="AV442" s="4">
        <v>0</v>
      </c>
      <c r="AW442" s="4">
        <v>0</v>
      </c>
      <c r="AX442" s="4">
        <v>0</v>
      </c>
      <c r="AY442" s="5">
        <v>0</v>
      </c>
      <c r="AZ442" s="5">
        <v>0</v>
      </c>
      <c r="BA442" s="5">
        <v>0</v>
      </c>
      <c r="BB442" s="2"/>
      <c r="BC442" t="s">
        <v>0</v>
      </c>
      <c r="BD442" s="5">
        <v>1</v>
      </c>
      <c r="BE442" t="s">
        <v>0</v>
      </c>
      <c r="BF442" t="s">
        <v>364</v>
      </c>
      <c r="BG442" t="s">
        <v>17</v>
      </c>
      <c r="BH442" t="s">
        <v>0</v>
      </c>
      <c r="BI442" t="s">
        <v>11</v>
      </c>
      <c r="BJ442" t="s">
        <v>0</v>
      </c>
      <c r="BK442" t="s">
        <v>0</v>
      </c>
      <c r="BL442" s="5">
        <v>0</v>
      </c>
      <c r="BM442" t="s">
        <v>0</v>
      </c>
      <c r="BN442" t="s">
        <v>0</v>
      </c>
      <c r="BO442" t="s">
        <v>0</v>
      </c>
      <c r="BP442" t="s">
        <v>17</v>
      </c>
      <c r="BQ442" t="s">
        <v>0</v>
      </c>
      <c r="BR442" t="s">
        <v>17</v>
      </c>
      <c r="BS442" t="s">
        <v>17</v>
      </c>
      <c r="BT442" t="s">
        <v>0</v>
      </c>
      <c r="BU442" t="s">
        <v>0</v>
      </c>
      <c r="BV442" t="s">
        <v>0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</row>
    <row r="443" spans="1:80" ht="13.95" customHeight="1" x14ac:dyDescent="0.25">
      <c r="A443" t="s">
        <v>366</v>
      </c>
      <c r="B443" s="2">
        <v>45575</v>
      </c>
      <c r="C443" s="2">
        <v>45677</v>
      </c>
      <c r="D443" s="2">
        <v>45736</v>
      </c>
      <c r="E443" t="s">
        <v>2</v>
      </c>
      <c r="F443" t="s">
        <v>3</v>
      </c>
      <c r="G443" t="s">
        <v>0</v>
      </c>
      <c r="H443" t="s">
        <v>4</v>
      </c>
      <c r="I443" t="s">
        <v>363</v>
      </c>
      <c r="J443" t="s">
        <v>6</v>
      </c>
      <c r="K443" t="s">
        <v>89</v>
      </c>
      <c r="L443" t="s">
        <v>43</v>
      </c>
      <c r="M443" t="s">
        <v>350</v>
      </c>
      <c r="N443" t="s">
        <v>10</v>
      </c>
      <c r="O443" t="s">
        <v>0</v>
      </c>
      <c r="P443" t="s">
        <v>11</v>
      </c>
      <c r="Q443" s="3">
        <v>99.25</v>
      </c>
      <c r="R443" s="4">
        <v>53500</v>
      </c>
      <c r="S443" s="5">
        <v>1</v>
      </c>
      <c r="T443" s="4">
        <v>5309875</v>
      </c>
      <c r="U443" s="5">
        <v>0</v>
      </c>
      <c r="V443" s="4">
        <v>0</v>
      </c>
      <c r="W443" s="5">
        <v>0</v>
      </c>
      <c r="X443" s="4">
        <v>0</v>
      </c>
      <c r="Y443" s="4">
        <f t="shared" si="12"/>
        <v>5309875</v>
      </c>
      <c r="Z443" s="6" t="s">
        <v>0</v>
      </c>
      <c r="AA443" t="s">
        <v>2</v>
      </c>
      <c r="AB443" t="s">
        <v>12</v>
      </c>
      <c r="AC443">
        <f>_xlfn.XLOOKUP(AB443,'[1]GST Codes'!$A:$A,'[1]GST Codes'!$C:$C,0,0)</f>
        <v>18</v>
      </c>
      <c r="AD443">
        <f t="shared" si="13"/>
        <v>6265652.5</v>
      </c>
      <c r="AE443" t="s">
        <v>13</v>
      </c>
      <c r="AF443" t="s">
        <v>0</v>
      </c>
      <c r="AG443" t="s">
        <v>14</v>
      </c>
      <c r="AH443" t="s">
        <v>15</v>
      </c>
      <c r="AI443" t="s">
        <v>16</v>
      </c>
      <c r="AJ443" t="s">
        <v>17</v>
      </c>
      <c r="AK443" t="s">
        <v>18</v>
      </c>
      <c r="AL443" t="s">
        <v>19</v>
      </c>
      <c r="AM443" t="s">
        <v>363</v>
      </c>
      <c r="AN443" t="s">
        <v>0</v>
      </c>
      <c r="AO443" t="s">
        <v>20</v>
      </c>
      <c r="AP443" t="s">
        <v>0</v>
      </c>
      <c r="AQ443" s="3">
        <v>99.25</v>
      </c>
      <c r="AR443" t="s">
        <v>11</v>
      </c>
      <c r="AS443" t="s">
        <v>0</v>
      </c>
      <c r="AT443" t="s">
        <v>17</v>
      </c>
      <c r="AU443" s="4">
        <v>0</v>
      </c>
      <c r="AV443" s="4">
        <v>0</v>
      </c>
      <c r="AW443" s="4">
        <v>0</v>
      </c>
      <c r="AX443" s="4">
        <v>0</v>
      </c>
      <c r="AY443" s="5">
        <v>0</v>
      </c>
      <c r="AZ443" s="5">
        <v>0</v>
      </c>
      <c r="BA443" s="5">
        <v>0</v>
      </c>
      <c r="BB443" s="2"/>
      <c r="BC443" t="s">
        <v>0</v>
      </c>
      <c r="BD443" s="5">
        <v>1</v>
      </c>
      <c r="BE443" t="s">
        <v>0</v>
      </c>
      <c r="BF443" t="s">
        <v>364</v>
      </c>
      <c r="BG443" t="s">
        <v>17</v>
      </c>
      <c r="BH443" t="s">
        <v>0</v>
      </c>
      <c r="BI443" t="s">
        <v>11</v>
      </c>
      <c r="BJ443" t="s">
        <v>0</v>
      </c>
      <c r="BK443" t="s">
        <v>0</v>
      </c>
      <c r="BL443" s="5">
        <v>0</v>
      </c>
      <c r="BM443" t="s">
        <v>0</v>
      </c>
      <c r="BN443" t="s">
        <v>0</v>
      </c>
      <c r="BO443" t="s">
        <v>0</v>
      </c>
      <c r="BP443" t="s">
        <v>17</v>
      </c>
      <c r="BQ443" t="s">
        <v>0</v>
      </c>
      <c r="BR443" t="s">
        <v>17</v>
      </c>
      <c r="BS443" t="s">
        <v>17</v>
      </c>
      <c r="BT443" t="s">
        <v>0</v>
      </c>
      <c r="BU443" t="s">
        <v>0</v>
      </c>
      <c r="BV443" t="s">
        <v>0</v>
      </c>
      <c r="BW443" t="s">
        <v>0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</row>
    <row r="444" spans="1:80" ht="13.95" customHeight="1" x14ac:dyDescent="0.25">
      <c r="A444" t="s">
        <v>366</v>
      </c>
      <c r="B444" s="2">
        <v>45575</v>
      </c>
      <c r="C444" s="2">
        <v>45677</v>
      </c>
      <c r="D444" s="2">
        <v>45736</v>
      </c>
      <c r="E444" t="s">
        <v>2</v>
      </c>
      <c r="F444" t="s">
        <v>3</v>
      </c>
      <c r="G444" t="s">
        <v>0</v>
      </c>
      <c r="H444" t="s">
        <v>4</v>
      </c>
      <c r="I444" t="s">
        <v>363</v>
      </c>
      <c r="J444" t="s">
        <v>6</v>
      </c>
      <c r="K444" t="s">
        <v>90</v>
      </c>
      <c r="L444" t="s">
        <v>43</v>
      </c>
      <c r="M444" t="s">
        <v>350</v>
      </c>
      <c r="N444" t="s">
        <v>10</v>
      </c>
      <c r="O444" t="s">
        <v>0</v>
      </c>
      <c r="P444" t="s">
        <v>11</v>
      </c>
      <c r="Q444" s="3">
        <v>12.5</v>
      </c>
      <c r="R444" s="4">
        <v>53500</v>
      </c>
      <c r="S444" s="5">
        <v>1</v>
      </c>
      <c r="T444" s="4">
        <v>668750</v>
      </c>
      <c r="U444" s="3">
        <v>3.8940000000000001</v>
      </c>
      <c r="V444" s="4">
        <v>208329</v>
      </c>
      <c r="W444" s="3">
        <v>3.8940000000000001</v>
      </c>
      <c r="X444" s="4">
        <v>208329</v>
      </c>
      <c r="Y444" s="4">
        <f t="shared" si="12"/>
        <v>460421</v>
      </c>
      <c r="Z444" s="6" t="s">
        <v>0</v>
      </c>
      <c r="AA444" t="s">
        <v>2</v>
      </c>
      <c r="AB444" t="s">
        <v>12</v>
      </c>
      <c r="AC444">
        <f>_xlfn.XLOOKUP(AB444,'[1]GST Codes'!$A:$A,'[1]GST Codes'!$C:$C,0,0)</f>
        <v>18</v>
      </c>
      <c r="AD444">
        <f t="shared" si="13"/>
        <v>543296.78</v>
      </c>
      <c r="AE444" t="s">
        <v>13</v>
      </c>
      <c r="AF444" t="s">
        <v>0</v>
      </c>
      <c r="AG444" t="s">
        <v>14</v>
      </c>
      <c r="AH444" t="s">
        <v>15</v>
      </c>
      <c r="AI444" t="s">
        <v>16</v>
      </c>
      <c r="AJ444" t="s">
        <v>17</v>
      </c>
      <c r="AK444" t="s">
        <v>18</v>
      </c>
      <c r="AL444" t="s">
        <v>19</v>
      </c>
      <c r="AM444" t="s">
        <v>363</v>
      </c>
      <c r="AN444" t="s">
        <v>0</v>
      </c>
      <c r="AO444" t="s">
        <v>20</v>
      </c>
      <c r="AP444" t="s">
        <v>0</v>
      </c>
      <c r="AQ444" s="3">
        <v>12.5</v>
      </c>
      <c r="AR444" t="s">
        <v>11</v>
      </c>
      <c r="AS444" t="s">
        <v>0</v>
      </c>
      <c r="AT444" t="s">
        <v>17</v>
      </c>
      <c r="AU444" s="4">
        <v>0</v>
      </c>
      <c r="AV444" s="4">
        <v>0</v>
      </c>
      <c r="AW444" s="4">
        <v>0</v>
      </c>
      <c r="AX444" s="4">
        <v>0</v>
      </c>
      <c r="AY444" s="5">
        <v>0</v>
      </c>
      <c r="AZ444" s="5">
        <v>0</v>
      </c>
      <c r="BA444" s="5">
        <v>0</v>
      </c>
      <c r="BB444" s="2"/>
      <c r="BC444" t="s">
        <v>0</v>
      </c>
      <c r="BD444" s="5">
        <v>1</v>
      </c>
      <c r="BE444" t="s">
        <v>0</v>
      </c>
      <c r="BF444" t="s">
        <v>364</v>
      </c>
      <c r="BG444" t="s">
        <v>17</v>
      </c>
      <c r="BH444" t="s">
        <v>0</v>
      </c>
      <c r="BI444" t="s">
        <v>11</v>
      </c>
      <c r="BJ444" t="s">
        <v>0</v>
      </c>
      <c r="BK444" t="s">
        <v>0</v>
      </c>
      <c r="BL444" s="5">
        <v>0</v>
      </c>
      <c r="BM444" t="s">
        <v>0</v>
      </c>
      <c r="BN444" t="s">
        <v>0</v>
      </c>
      <c r="BO444" t="s">
        <v>0</v>
      </c>
      <c r="BP444" t="s">
        <v>17</v>
      </c>
      <c r="BQ444" t="s">
        <v>0</v>
      </c>
      <c r="BR444" t="s">
        <v>17</v>
      </c>
      <c r="BS444" t="s">
        <v>17</v>
      </c>
      <c r="BT444" t="s">
        <v>0</v>
      </c>
      <c r="BU444" t="s">
        <v>0</v>
      </c>
      <c r="BV444" t="s">
        <v>0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</row>
    <row r="445" spans="1:80" ht="13.95" customHeight="1" x14ac:dyDescent="0.25">
      <c r="A445" t="s">
        <v>366</v>
      </c>
      <c r="B445" s="2">
        <v>45575</v>
      </c>
      <c r="C445" s="2">
        <v>45677</v>
      </c>
      <c r="D445" s="2">
        <v>45736</v>
      </c>
      <c r="E445" t="s">
        <v>2</v>
      </c>
      <c r="F445" t="s">
        <v>3</v>
      </c>
      <c r="G445" t="s">
        <v>0</v>
      </c>
      <c r="H445" t="s">
        <v>4</v>
      </c>
      <c r="I445" t="s">
        <v>363</v>
      </c>
      <c r="J445" t="s">
        <v>6</v>
      </c>
      <c r="K445" t="s">
        <v>177</v>
      </c>
      <c r="L445" t="s">
        <v>329</v>
      </c>
      <c r="M445" t="s">
        <v>351</v>
      </c>
      <c r="N445" t="s">
        <v>10</v>
      </c>
      <c r="O445" t="s">
        <v>0</v>
      </c>
      <c r="P445" t="s">
        <v>11</v>
      </c>
      <c r="Q445" s="3">
        <v>611.62</v>
      </c>
      <c r="R445" s="4">
        <v>53500</v>
      </c>
      <c r="S445" s="5">
        <v>1</v>
      </c>
      <c r="T445" s="4">
        <v>32721670</v>
      </c>
      <c r="U445" s="5">
        <v>0</v>
      </c>
      <c r="V445" s="4">
        <v>0</v>
      </c>
      <c r="W445" s="5">
        <v>0</v>
      </c>
      <c r="X445" s="4">
        <v>0</v>
      </c>
      <c r="Y445" s="4">
        <f t="shared" si="12"/>
        <v>32721670</v>
      </c>
      <c r="Z445" s="6" t="s">
        <v>0</v>
      </c>
      <c r="AA445" t="s">
        <v>2</v>
      </c>
      <c r="AB445" t="s">
        <v>12</v>
      </c>
      <c r="AC445">
        <f>_xlfn.XLOOKUP(AB445,'[1]GST Codes'!$A:$A,'[1]GST Codes'!$C:$C,0,0)</f>
        <v>18</v>
      </c>
      <c r="AD445">
        <f t="shared" si="13"/>
        <v>38611570.600000001</v>
      </c>
      <c r="AE445" t="s">
        <v>13</v>
      </c>
      <c r="AF445" t="s">
        <v>0</v>
      </c>
      <c r="AG445" t="s">
        <v>14</v>
      </c>
      <c r="AH445" t="s">
        <v>15</v>
      </c>
      <c r="AI445" t="s">
        <v>16</v>
      </c>
      <c r="AJ445" t="s">
        <v>17</v>
      </c>
      <c r="AK445" t="s">
        <v>18</v>
      </c>
      <c r="AL445" t="s">
        <v>19</v>
      </c>
      <c r="AM445" t="s">
        <v>363</v>
      </c>
      <c r="AN445" t="s">
        <v>0</v>
      </c>
      <c r="AO445" t="s">
        <v>20</v>
      </c>
      <c r="AP445" t="s">
        <v>0</v>
      </c>
      <c r="AQ445" s="3">
        <v>611.62</v>
      </c>
      <c r="AR445" t="s">
        <v>11</v>
      </c>
      <c r="AS445" t="s">
        <v>0</v>
      </c>
      <c r="AT445" t="s">
        <v>17</v>
      </c>
      <c r="AU445" s="4">
        <v>0</v>
      </c>
      <c r="AV445" s="4">
        <v>0</v>
      </c>
      <c r="AW445" s="4">
        <v>0</v>
      </c>
      <c r="AX445" s="4">
        <v>0</v>
      </c>
      <c r="AY445" s="5">
        <v>0</v>
      </c>
      <c r="AZ445" s="5">
        <v>0</v>
      </c>
      <c r="BA445" s="5">
        <v>0</v>
      </c>
      <c r="BB445" s="2"/>
      <c r="BC445" t="s">
        <v>0</v>
      </c>
      <c r="BD445" s="5">
        <v>1</v>
      </c>
      <c r="BE445" t="s">
        <v>0</v>
      </c>
      <c r="BF445" t="s">
        <v>365</v>
      </c>
      <c r="BG445" t="s">
        <v>17</v>
      </c>
      <c r="BH445" t="s">
        <v>0</v>
      </c>
      <c r="BI445" t="s">
        <v>11</v>
      </c>
      <c r="BJ445" t="s">
        <v>0</v>
      </c>
      <c r="BK445" t="s">
        <v>0</v>
      </c>
      <c r="BL445" s="5">
        <v>0</v>
      </c>
      <c r="BM445" t="s">
        <v>0</v>
      </c>
      <c r="BN445" t="s">
        <v>0</v>
      </c>
      <c r="BO445" t="s">
        <v>0</v>
      </c>
      <c r="BP445" t="s">
        <v>17</v>
      </c>
      <c r="BQ445" t="s">
        <v>0</v>
      </c>
      <c r="BR445" t="s">
        <v>17</v>
      </c>
      <c r="BS445" t="s">
        <v>17</v>
      </c>
      <c r="BT445" t="s">
        <v>0</v>
      </c>
      <c r="BU445" t="s">
        <v>0</v>
      </c>
      <c r="BV445" t="s">
        <v>0</v>
      </c>
      <c r="BW445" t="s">
        <v>0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</row>
    <row r="446" spans="1:80" ht="13.95" customHeight="1" x14ac:dyDescent="0.25">
      <c r="A446" t="s">
        <v>366</v>
      </c>
      <c r="B446" s="2">
        <v>45575</v>
      </c>
      <c r="C446" s="2">
        <v>45677</v>
      </c>
      <c r="D446" s="2">
        <v>45736</v>
      </c>
      <c r="E446" t="s">
        <v>2</v>
      </c>
      <c r="F446" t="s">
        <v>3</v>
      </c>
      <c r="G446" t="s">
        <v>0</v>
      </c>
      <c r="H446" t="s">
        <v>4</v>
      </c>
      <c r="I446" t="s">
        <v>363</v>
      </c>
      <c r="J446" t="s">
        <v>6</v>
      </c>
      <c r="K446" t="s">
        <v>181</v>
      </c>
      <c r="L446" t="s">
        <v>329</v>
      </c>
      <c r="M446" t="s">
        <v>351</v>
      </c>
      <c r="N446" t="s">
        <v>10</v>
      </c>
      <c r="O446" t="s">
        <v>0</v>
      </c>
      <c r="P446" t="s">
        <v>11</v>
      </c>
      <c r="Q446" s="3">
        <v>611.62</v>
      </c>
      <c r="R446" s="4">
        <v>53500</v>
      </c>
      <c r="S446" s="5">
        <v>1</v>
      </c>
      <c r="T446" s="4">
        <v>32721670</v>
      </c>
      <c r="U446" s="5">
        <v>0</v>
      </c>
      <c r="V446" s="4">
        <v>0</v>
      </c>
      <c r="W446" s="5">
        <v>0</v>
      </c>
      <c r="X446" s="4">
        <v>0</v>
      </c>
      <c r="Y446" s="4">
        <f t="shared" si="12"/>
        <v>32721670</v>
      </c>
      <c r="Z446" s="6" t="s">
        <v>0</v>
      </c>
      <c r="AA446" t="s">
        <v>2</v>
      </c>
      <c r="AB446" t="s">
        <v>12</v>
      </c>
      <c r="AC446">
        <f>_xlfn.XLOOKUP(AB446,'[1]GST Codes'!$A:$A,'[1]GST Codes'!$C:$C,0,0)</f>
        <v>18</v>
      </c>
      <c r="AD446">
        <f t="shared" si="13"/>
        <v>38611570.600000001</v>
      </c>
      <c r="AE446" t="s">
        <v>13</v>
      </c>
      <c r="AF446" t="s">
        <v>0</v>
      </c>
      <c r="AG446" t="s">
        <v>14</v>
      </c>
      <c r="AH446" t="s">
        <v>15</v>
      </c>
      <c r="AI446" t="s">
        <v>16</v>
      </c>
      <c r="AJ446" t="s">
        <v>17</v>
      </c>
      <c r="AK446" t="s">
        <v>18</v>
      </c>
      <c r="AL446" t="s">
        <v>19</v>
      </c>
      <c r="AM446" t="s">
        <v>363</v>
      </c>
      <c r="AN446" t="s">
        <v>0</v>
      </c>
      <c r="AO446" t="s">
        <v>20</v>
      </c>
      <c r="AP446" t="s">
        <v>0</v>
      </c>
      <c r="AQ446" s="3">
        <v>611.62</v>
      </c>
      <c r="AR446" t="s">
        <v>11</v>
      </c>
      <c r="AS446" t="s">
        <v>0</v>
      </c>
      <c r="AT446" t="s">
        <v>17</v>
      </c>
      <c r="AU446" s="4">
        <v>0</v>
      </c>
      <c r="AV446" s="4">
        <v>0</v>
      </c>
      <c r="AW446" s="4">
        <v>0</v>
      </c>
      <c r="AX446" s="4">
        <v>0</v>
      </c>
      <c r="AY446" s="5">
        <v>0</v>
      </c>
      <c r="AZ446" s="5">
        <v>0</v>
      </c>
      <c r="BA446" s="5">
        <v>0</v>
      </c>
      <c r="BB446" s="2"/>
      <c r="BC446" t="s">
        <v>0</v>
      </c>
      <c r="BD446" s="5">
        <v>1</v>
      </c>
      <c r="BE446" t="s">
        <v>0</v>
      </c>
      <c r="BF446" t="s">
        <v>365</v>
      </c>
      <c r="BG446" t="s">
        <v>17</v>
      </c>
      <c r="BH446" t="s">
        <v>0</v>
      </c>
      <c r="BI446" t="s">
        <v>11</v>
      </c>
      <c r="BJ446" t="s">
        <v>0</v>
      </c>
      <c r="BK446" t="s">
        <v>0</v>
      </c>
      <c r="BL446" s="5">
        <v>0</v>
      </c>
      <c r="BM446" t="s">
        <v>0</v>
      </c>
      <c r="BN446" t="s">
        <v>0</v>
      </c>
      <c r="BO446" t="s">
        <v>0</v>
      </c>
      <c r="BP446" t="s">
        <v>17</v>
      </c>
      <c r="BQ446" t="s">
        <v>0</v>
      </c>
      <c r="BR446" t="s">
        <v>17</v>
      </c>
      <c r="BS446" t="s">
        <v>17</v>
      </c>
      <c r="BT446" t="s">
        <v>0</v>
      </c>
      <c r="BU446" t="s">
        <v>0</v>
      </c>
      <c r="BV446" t="s">
        <v>0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</row>
    <row r="447" spans="1:80" ht="13.95" customHeight="1" x14ac:dyDescent="0.25">
      <c r="A447" t="s">
        <v>369</v>
      </c>
      <c r="B447" s="2">
        <v>45703</v>
      </c>
      <c r="C447" s="2"/>
      <c r="D447" s="2"/>
      <c r="E447" t="s">
        <v>2</v>
      </c>
      <c r="F447" t="s">
        <v>3</v>
      </c>
      <c r="G447" t="s">
        <v>0</v>
      </c>
      <c r="H447" t="s">
        <v>4</v>
      </c>
      <c r="I447" t="s">
        <v>363</v>
      </c>
      <c r="J447" t="s">
        <v>6</v>
      </c>
      <c r="K447" t="s">
        <v>7</v>
      </c>
      <c r="L447" t="s">
        <v>74</v>
      </c>
      <c r="M447" t="s">
        <v>75</v>
      </c>
      <c r="N447" t="s">
        <v>10</v>
      </c>
      <c r="O447" t="s">
        <v>0</v>
      </c>
      <c r="P447" t="s">
        <v>11</v>
      </c>
      <c r="Q447" s="5">
        <v>29</v>
      </c>
      <c r="R447" s="4">
        <v>50900</v>
      </c>
      <c r="S447" s="5">
        <v>1</v>
      </c>
      <c r="T447" s="4">
        <v>1476100</v>
      </c>
      <c r="U447" s="5">
        <v>0</v>
      </c>
      <c r="V447" s="4">
        <v>0</v>
      </c>
      <c r="W447" s="5">
        <v>0</v>
      </c>
      <c r="X447" s="4">
        <v>0</v>
      </c>
      <c r="Y447" s="4">
        <f t="shared" si="12"/>
        <v>1476100</v>
      </c>
      <c r="Z447" s="6" t="s">
        <v>0</v>
      </c>
      <c r="AA447" t="s">
        <v>2</v>
      </c>
      <c r="AB447" t="s">
        <v>12</v>
      </c>
      <c r="AC447">
        <f>_xlfn.XLOOKUP(AB447,'[1]GST Codes'!$A:$A,'[1]GST Codes'!$C:$C,0,0)</f>
        <v>18</v>
      </c>
      <c r="AD447">
        <f t="shared" si="13"/>
        <v>1741798</v>
      </c>
      <c r="AE447" t="s">
        <v>13</v>
      </c>
      <c r="AF447" t="s">
        <v>0</v>
      </c>
      <c r="AG447" t="s">
        <v>14</v>
      </c>
      <c r="AH447" t="s">
        <v>15</v>
      </c>
      <c r="AI447" t="s">
        <v>16</v>
      </c>
      <c r="AJ447" t="s">
        <v>17</v>
      </c>
      <c r="AK447" t="s">
        <v>18</v>
      </c>
      <c r="AL447" t="s">
        <v>19</v>
      </c>
      <c r="AM447" t="s">
        <v>363</v>
      </c>
      <c r="AN447" t="s">
        <v>0</v>
      </c>
      <c r="AO447" t="s">
        <v>0</v>
      </c>
      <c r="AP447" t="s">
        <v>0</v>
      </c>
      <c r="AQ447" s="5">
        <v>29</v>
      </c>
      <c r="AR447" t="s">
        <v>11</v>
      </c>
      <c r="AS447" t="s">
        <v>0</v>
      </c>
      <c r="AT447" t="s">
        <v>17</v>
      </c>
      <c r="AU447" s="4">
        <v>0</v>
      </c>
      <c r="AV447" s="4">
        <v>0</v>
      </c>
      <c r="AW447" s="4">
        <v>0</v>
      </c>
      <c r="AX447" s="4">
        <v>0</v>
      </c>
      <c r="AY447" s="5">
        <v>0</v>
      </c>
      <c r="AZ447" s="5">
        <v>0</v>
      </c>
      <c r="BA447" s="5">
        <v>0</v>
      </c>
      <c r="BB447" s="2"/>
      <c r="BC447" t="s">
        <v>0</v>
      </c>
      <c r="BD447" s="5">
        <v>1</v>
      </c>
      <c r="BE447" t="s">
        <v>0</v>
      </c>
      <c r="BF447" t="s">
        <v>367</v>
      </c>
      <c r="BG447" t="s">
        <v>17</v>
      </c>
      <c r="BH447" t="s">
        <v>0</v>
      </c>
      <c r="BI447" t="s">
        <v>11</v>
      </c>
      <c r="BJ447" t="s">
        <v>0</v>
      </c>
      <c r="BK447" t="s">
        <v>0</v>
      </c>
      <c r="BL447" s="5">
        <v>0</v>
      </c>
      <c r="BM447" t="s">
        <v>0</v>
      </c>
      <c r="BN447" t="s">
        <v>0</v>
      </c>
      <c r="BO447" t="s">
        <v>0</v>
      </c>
      <c r="BP447" t="s">
        <v>17</v>
      </c>
      <c r="BQ447" t="s">
        <v>0</v>
      </c>
      <c r="BR447" t="s">
        <v>17</v>
      </c>
      <c r="BS447" t="s">
        <v>17</v>
      </c>
      <c r="BT447" t="s">
        <v>0</v>
      </c>
      <c r="BU447" t="s">
        <v>0</v>
      </c>
      <c r="BV447" t="s">
        <v>0</v>
      </c>
      <c r="BW447" t="s">
        <v>0</v>
      </c>
      <c r="BX447" t="s">
        <v>0</v>
      </c>
      <c r="BY447" t="s">
        <v>0</v>
      </c>
      <c r="BZ447" t="s">
        <v>0</v>
      </c>
      <c r="CA447" t="s">
        <v>0</v>
      </c>
      <c r="CB447" t="s">
        <v>0</v>
      </c>
    </row>
    <row r="448" spans="1:80" ht="13.95" customHeight="1" x14ac:dyDescent="0.25">
      <c r="A448" t="s">
        <v>369</v>
      </c>
      <c r="B448" s="2">
        <v>45703</v>
      </c>
      <c r="C448" s="2"/>
      <c r="D448" s="2"/>
      <c r="E448" t="s">
        <v>2</v>
      </c>
      <c r="F448" t="s">
        <v>3</v>
      </c>
      <c r="G448" t="s">
        <v>0</v>
      </c>
      <c r="H448" t="s">
        <v>4</v>
      </c>
      <c r="I448" t="s">
        <v>363</v>
      </c>
      <c r="J448" t="s">
        <v>6</v>
      </c>
      <c r="K448" t="s">
        <v>22</v>
      </c>
      <c r="L448" t="s">
        <v>74</v>
      </c>
      <c r="M448" t="s">
        <v>75</v>
      </c>
      <c r="N448" t="s">
        <v>10</v>
      </c>
      <c r="O448" t="s">
        <v>0</v>
      </c>
      <c r="P448" t="s">
        <v>11</v>
      </c>
      <c r="Q448" s="5">
        <v>30</v>
      </c>
      <c r="R448" s="4">
        <v>50900</v>
      </c>
      <c r="S448" s="5">
        <v>1</v>
      </c>
      <c r="T448" s="4">
        <v>1527000</v>
      </c>
      <c r="U448" s="5">
        <v>0</v>
      </c>
      <c r="V448" s="4">
        <v>0</v>
      </c>
      <c r="W448" s="5">
        <v>0</v>
      </c>
      <c r="X448" s="4">
        <v>0</v>
      </c>
      <c r="Y448" s="4">
        <f t="shared" si="12"/>
        <v>1527000</v>
      </c>
      <c r="Z448" s="6" t="s">
        <v>0</v>
      </c>
      <c r="AA448" t="s">
        <v>2</v>
      </c>
      <c r="AB448" t="s">
        <v>12</v>
      </c>
      <c r="AC448">
        <f>_xlfn.XLOOKUP(AB448,'[1]GST Codes'!$A:$A,'[1]GST Codes'!$C:$C,0,0)</f>
        <v>18</v>
      </c>
      <c r="AD448">
        <f t="shared" si="13"/>
        <v>1801860</v>
      </c>
      <c r="AE448" t="s">
        <v>13</v>
      </c>
      <c r="AF448" t="s">
        <v>0</v>
      </c>
      <c r="AG448" t="s">
        <v>14</v>
      </c>
      <c r="AH448" t="s">
        <v>15</v>
      </c>
      <c r="AI448" t="s">
        <v>16</v>
      </c>
      <c r="AJ448" t="s">
        <v>17</v>
      </c>
      <c r="AK448" t="s">
        <v>18</v>
      </c>
      <c r="AL448" t="s">
        <v>19</v>
      </c>
      <c r="AM448" t="s">
        <v>363</v>
      </c>
      <c r="AN448" t="s">
        <v>0</v>
      </c>
      <c r="AO448" t="s">
        <v>0</v>
      </c>
      <c r="AP448" t="s">
        <v>0</v>
      </c>
      <c r="AQ448" s="5">
        <v>30</v>
      </c>
      <c r="AR448" t="s">
        <v>11</v>
      </c>
      <c r="AS448" t="s">
        <v>0</v>
      </c>
      <c r="AT448" t="s">
        <v>17</v>
      </c>
      <c r="AU448" s="4">
        <v>0</v>
      </c>
      <c r="AV448" s="4">
        <v>0</v>
      </c>
      <c r="AW448" s="4">
        <v>0</v>
      </c>
      <c r="AX448" s="4">
        <v>0</v>
      </c>
      <c r="AY448" s="5">
        <v>0</v>
      </c>
      <c r="AZ448" s="5">
        <v>0</v>
      </c>
      <c r="BA448" s="5">
        <v>0</v>
      </c>
      <c r="BB448" s="2"/>
      <c r="BC448" t="s">
        <v>0</v>
      </c>
      <c r="BD448" s="5">
        <v>1</v>
      </c>
      <c r="BE448" t="s">
        <v>0</v>
      </c>
      <c r="BF448" t="s">
        <v>367</v>
      </c>
      <c r="BG448" t="s">
        <v>17</v>
      </c>
      <c r="BH448" t="s">
        <v>0</v>
      </c>
      <c r="BI448" t="s">
        <v>11</v>
      </c>
      <c r="BJ448" t="s">
        <v>0</v>
      </c>
      <c r="BK448" t="s">
        <v>0</v>
      </c>
      <c r="BL448" s="5">
        <v>0</v>
      </c>
      <c r="BM448" t="s">
        <v>0</v>
      </c>
      <c r="BN448" t="s">
        <v>0</v>
      </c>
      <c r="BO448" t="s">
        <v>0</v>
      </c>
      <c r="BP448" t="s">
        <v>17</v>
      </c>
      <c r="BQ448" t="s">
        <v>0</v>
      </c>
      <c r="BR448" t="s">
        <v>17</v>
      </c>
      <c r="BS448" t="s">
        <v>17</v>
      </c>
      <c r="BT448" t="s">
        <v>0</v>
      </c>
      <c r="BU448" t="s">
        <v>0</v>
      </c>
      <c r="BV448" t="s">
        <v>0</v>
      </c>
      <c r="BW448" t="s">
        <v>0</v>
      </c>
      <c r="BX448" t="s">
        <v>0</v>
      </c>
      <c r="BY448" t="s">
        <v>0</v>
      </c>
      <c r="BZ448" t="s">
        <v>0</v>
      </c>
      <c r="CA448" t="s">
        <v>0</v>
      </c>
      <c r="CB448" t="s">
        <v>0</v>
      </c>
    </row>
    <row r="449" spans="1:80" ht="13.95" customHeight="1" x14ac:dyDescent="0.25">
      <c r="A449" t="s">
        <v>369</v>
      </c>
      <c r="B449" s="2">
        <v>45703</v>
      </c>
      <c r="C449" s="2"/>
      <c r="D449" s="2"/>
      <c r="E449" t="s">
        <v>2</v>
      </c>
      <c r="F449" t="s">
        <v>3</v>
      </c>
      <c r="G449" t="s">
        <v>0</v>
      </c>
      <c r="H449" t="s">
        <v>4</v>
      </c>
      <c r="I449" t="s">
        <v>363</v>
      </c>
      <c r="J449" t="s">
        <v>6</v>
      </c>
      <c r="K449" t="s">
        <v>26</v>
      </c>
      <c r="L449" t="s">
        <v>39</v>
      </c>
      <c r="M449" t="s">
        <v>40</v>
      </c>
      <c r="N449" t="s">
        <v>10</v>
      </c>
      <c r="O449" t="s">
        <v>0</v>
      </c>
      <c r="P449" t="s">
        <v>11</v>
      </c>
      <c r="Q449" s="5">
        <v>42</v>
      </c>
      <c r="R449" s="4">
        <v>50900</v>
      </c>
      <c r="S449" s="5">
        <v>1</v>
      </c>
      <c r="T449" s="4">
        <v>2137800</v>
      </c>
      <c r="U449" s="5">
        <v>0</v>
      </c>
      <c r="V449" s="4">
        <v>0</v>
      </c>
      <c r="W449" s="5">
        <v>0</v>
      </c>
      <c r="X449" s="4">
        <v>0</v>
      </c>
      <c r="Y449" s="4">
        <f t="shared" si="12"/>
        <v>2137800</v>
      </c>
      <c r="Z449" s="6" t="s">
        <v>0</v>
      </c>
      <c r="AA449" t="s">
        <v>2</v>
      </c>
      <c r="AB449" t="s">
        <v>12</v>
      </c>
      <c r="AC449">
        <f>_xlfn.XLOOKUP(AB449,'[1]GST Codes'!$A:$A,'[1]GST Codes'!$C:$C,0,0)</f>
        <v>18</v>
      </c>
      <c r="AD449">
        <f t="shared" si="13"/>
        <v>2522604</v>
      </c>
      <c r="AE449" t="s">
        <v>13</v>
      </c>
      <c r="AF449" t="s">
        <v>0</v>
      </c>
      <c r="AG449" t="s">
        <v>14</v>
      </c>
      <c r="AH449" t="s">
        <v>15</v>
      </c>
      <c r="AI449" t="s">
        <v>16</v>
      </c>
      <c r="AJ449" t="s">
        <v>17</v>
      </c>
      <c r="AK449" t="s">
        <v>18</v>
      </c>
      <c r="AL449" t="s">
        <v>19</v>
      </c>
      <c r="AM449" t="s">
        <v>363</v>
      </c>
      <c r="AN449" t="s">
        <v>0</v>
      </c>
      <c r="AO449" t="s">
        <v>0</v>
      </c>
      <c r="AP449" t="s">
        <v>0</v>
      </c>
      <c r="AQ449" s="5">
        <v>42</v>
      </c>
      <c r="AR449" t="s">
        <v>11</v>
      </c>
      <c r="AS449" t="s">
        <v>0</v>
      </c>
      <c r="AT449" t="s">
        <v>17</v>
      </c>
      <c r="AU449" s="4">
        <v>0</v>
      </c>
      <c r="AV449" s="4">
        <v>0</v>
      </c>
      <c r="AW449" s="4">
        <v>0</v>
      </c>
      <c r="AX449" s="4">
        <v>0</v>
      </c>
      <c r="AY449" s="5">
        <v>0</v>
      </c>
      <c r="AZ449" s="5">
        <v>0</v>
      </c>
      <c r="BA449" s="5">
        <v>0</v>
      </c>
      <c r="BB449" s="2"/>
      <c r="BC449" t="s">
        <v>0</v>
      </c>
      <c r="BD449" s="5">
        <v>1</v>
      </c>
      <c r="BE449" t="s">
        <v>0</v>
      </c>
      <c r="BF449" t="s">
        <v>368</v>
      </c>
      <c r="BG449" t="s">
        <v>17</v>
      </c>
      <c r="BH449" t="s">
        <v>0</v>
      </c>
      <c r="BI449" t="s">
        <v>11</v>
      </c>
      <c r="BJ449" t="s">
        <v>0</v>
      </c>
      <c r="BK449" t="s">
        <v>0</v>
      </c>
      <c r="BL449" s="5">
        <v>0</v>
      </c>
      <c r="BM449" t="s">
        <v>0</v>
      </c>
      <c r="BN449" t="s">
        <v>0</v>
      </c>
      <c r="BO449" t="s">
        <v>0</v>
      </c>
      <c r="BP449" t="s">
        <v>17</v>
      </c>
      <c r="BQ449" t="s">
        <v>0</v>
      </c>
      <c r="BR449" t="s">
        <v>17</v>
      </c>
      <c r="BS449" t="s">
        <v>17</v>
      </c>
      <c r="BT449" t="s">
        <v>0</v>
      </c>
      <c r="BU449" t="s">
        <v>0</v>
      </c>
      <c r="BV449" t="s">
        <v>0</v>
      </c>
      <c r="BW449" t="s">
        <v>0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</row>
    <row r="450" spans="1:80" ht="13.95" customHeight="1" x14ac:dyDescent="0.25">
      <c r="A450" t="s">
        <v>369</v>
      </c>
      <c r="B450" s="2">
        <v>45703</v>
      </c>
      <c r="C450" s="2"/>
      <c r="D450" s="2"/>
      <c r="E450" t="s">
        <v>2</v>
      </c>
      <c r="F450" t="s">
        <v>3</v>
      </c>
      <c r="G450" t="s">
        <v>0</v>
      </c>
      <c r="H450" t="s">
        <v>4</v>
      </c>
      <c r="I450" t="s">
        <v>363</v>
      </c>
      <c r="J450" t="s">
        <v>6</v>
      </c>
      <c r="K450" t="s">
        <v>30</v>
      </c>
      <c r="L450" t="s">
        <v>39</v>
      </c>
      <c r="M450" t="s">
        <v>40</v>
      </c>
      <c r="N450" t="s">
        <v>10</v>
      </c>
      <c r="O450" t="s">
        <v>0</v>
      </c>
      <c r="P450" t="s">
        <v>11</v>
      </c>
      <c r="Q450" s="5">
        <v>42</v>
      </c>
      <c r="R450" s="4">
        <v>50900</v>
      </c>
      <c r="S450" s="5">
        <v>1</v>
      </c>
      <c r="T450" s="4">
        <v>2137800</v>
      </c>
      <c r="U450" s="5">
        <v>0</v>
      </c>
      <c r="V450" s="4">
        <v>0</v>
      </c>
      <c r="W450" s="5">
        <v>0</v>
      </c>
      <c r="X450" s="4">
        <v>0</v>
      </c>
      <c r="Y450" s="4">
        <f t="shared" si="12"/>
        <v>2137800</v>
      </c>
      <c r="Z450" s="6" t="s">
        <v>0</v>
      </c>
      <c r="AA450" t="s">
        <v>2</v>
      </c>
      <c r="AB450" t="s">
        <v>12</v>
      </c>
      <c r="AC450">
        <f>_xlfn.XLOOKUP(AB450,'[1]GST Codes'!$A:$A,'[1]GST Codes'!$C:$C,0,0)</f>
        <v>18</v>
      </c>
      <c r="AD450">
        <f t="shared" si="13"/>
        <v>2522604</v>
      </c>
      <c r="AE450" t="s">
        <v>13</v>
      </c>
      <c r="AF450" t="s">
        <v>0</v>
      </c>
      <c r="AG450" t="s">
        <v>14</v>
      </c>
      <c r="AH450" t="s">
        <v>15</v>
      </c>
      <c r="AI450" t="s">
        <v>16</v>
      </c>
      <c r="AJ450" t="s">
        <v>17</v>
      </c>
      <c r="AK450" t="s">
        <v>18</v>
      </c>
      <c r="AL450" t="s">
        <v>19</v>
      </c>
      <c r="AM450" t="s">
        <v>363</v>
      </c>
      <c r="AN450" t="s">
        <v>0</v>
      </c>
      <c r="AO450" t="s">
        <v>0</v>
      </c>
      <c r="AP450" t="s">
        <v>0</v>
      </c>
      <c r="AQ450" s="5">
        <v>42</v>
      </c>
      <c r="AR450" t="s">
        <v>11</v>
      </c>
      <c r="AS450" t="s">
        <v>0</v>
      </c>
      <c r="AT450" t="s">
        <v>17</v>
      </c>
      <c r="AU450" s="4">
        <v>0</v>
      </c>
      <c r="AV450" s="4">
        <v>0</v>
      </c>
      <c r="AW450" s="4">
        <v>0</v>
      </c>
      <c r="AX450" s="4">
        <v>0</v>
      </c>
      <c r="AY450" s="5">
        <v>0</v>
      </c>
      <c r="AZ450" s="5">
        <v>0</v>
      </c>
      <c r="BA450" s="5">
        <v>0</v>
      </c>
      <c r="BB450" s="2"/>
      <c r="BC450" t="s">
        <v>0</v>
      </c>
      <c r="BD450" s="5">
        <v>1</v>
      </c>
      <c r="BE450" t="s">
        <v>0</v>
      </c>
      <c r="BF450" t="s">
        <v>368</v>
      </c>
      <c r="BG450" t="s">
        <v>17</v>
      </c>
      <c r="BH450" t="s">
        <v>0</v>
      </c>
      <c r="BI450" t="s">
        <v>11</v>
      </c>
      <c r="BJ450" t="s">
        <v>0</v>
      </c>
      <c r="BK450" t="s">
        <v>0</v>
      </c>
      <c r="BL450" s="5">
        <v>0</v>
      </c>
      <c r="BM450" t="s">
        <v>0</v>
      </c>
      <c r="BN450" t="s">
        <v>0</v>
      </c>
      <c r="BO450" t="s">
        <v>0</v>
      </c>
      <c r="BP450" t="s">
        <v>17</v>
      </c>
      <c r="BQ450" t="s">
        <v>0</v>
      </c>
      <c r="BR450" t="s">
        <v>17</v>
      </c>
      <c r="BS450" t="s">
        <v>17</v>
      </c>
      <c r="BT450" t="s">
        <v>0</v>
      </c>
      <c r="BU450" t="s">
        <v>0</v>
      </c>
      <c r="BV450" t="s">
        <v>0</v>
      </c>
      <c r="BW450" t="s">
        <v>0</v>
      </c>
      <c r="BX450" t="s">
        <v>0</v>
      </c>
      <c r="BY450" t="s">
        <v>0</v>
      </c>
      <c r="BZ450" t="s">
        <v>0</v>
      </c>
      <c r="CA450" t="s">
        <v>0</v>
      </c>
      <c r="CB450" t="s">
        <v>0</v>
      </c>
    </row>
    <row r="451" spans="1:80" ht="13.95" customHeight="1" x14ac:dyDescent="0.25">
      <c r="A451" t="s">
        <v>369</v>
      </c>
      <c r="B451" s="2">
        <v>45703</v>
      </c>
      <c r="C451" s="2"/>
      <c r="D451" s="2"/>
      <c r="E451" t="s">
        <v>2</v>
      </c>
      <c r="F451" t="s">
        <v>3</v>
      </c>
      <c r="G451" t="s">
        <v>0</v>
      </c>
      <c r="H451" t="s">
        <v>4</v>
      </c>
      <c r="I451" t="s">
        <v>363</v>
      </c>
      <c r="J451" t="s">
        <v>6</v>
      </c>
      <c r="K451" t="s">
        <v>34</v>
      </c>
      <c r="L451" t="s">
        <v>39</v>
      </c>
      <c r="M451" t="s">
        <v>40</v>
      </c>
      <c r="N451" t="s">
        <v>10</v>
      </c>
      <c r="O451" t="s">
        <v>0</v>
      </c>
      <c r="P451" t="s">
        <v>11</v>
      </c>
      <c r="Q451" s="5">
        <v>16</v>
      </c>
      <c r="R451" s="4">
        <v>50900</v>
      </c>
      <c r="S451" s="5">
        <v>1</v>
      </c>
      <c r="T451" s="4">
        <v>814400</v>
      </c>
      <c r="U451" s="5">
        <v>0</v>
      </c>
      <c r="V451" s="4">
        <v>0</v>
      </c>
      <c r="W451" s="5">
        <v>0</v>
      </c>
      <c r="X451" s="4">
        <v>0</v>
      </c>
      <c r="Y451" s="4">
        <f t="shared" ref="Y451:Y514" si="14">T451-V451</f>
        <v>814400</v>
      </c>
      <c r="Z451" s="6" t="s">
        <v>0</v>
      </c>
      <c r="AA451" t="s">
        <v>2</v>
      </c>
      <c r="AB451" t="s">
        <v>12</v>
      </c>
      <c r="AC451">
        <f>_xlfn.XLOOKUP(AB451,'[1]GST Codes'!$A:$A,'[1]GST Codes'!$C:$C,0,0)</f>
        <v>18</v>
      </c>
      <c r="AD451">
        <f t="shared" ref="AD451:AD514" si="15">Y451+(Y451*AC451/100)</f>
        <v>960992</v>
      </c>
      <c r="AE451" t="s">
        <v>13</v>
      </c>
      <c r="AF451" t="s">
        <v>0</v>
      </c>
      <c r="AG451" t="s">
        <v>14</v>
      </c>
      <c r="AH451" t="s">
        <v>15</v>
      </c>
      <c r="AI451" t="s">
        <v>16</v>
      </c>
      <c r="AJ451" t="s">
        <v>17</v>
      </c>
      <c r="AK451" t="s">
        <v>18</v>
      </c>
      <c r="AL451" t="s">
        <v>19</v>
      </c>
      <c r="AM451" t="s">
        <v>363</v>
      </c>
      <c r="AN451" t="s">
        <v>0</v>
      </c>
      <c r="AO451" t="s">
        <v>0</v>
      </c>
      <c r="AP451" t="s">
        <v>0</v>
      </c>
      <c r="AQ451" s="5">
        <v>16</v>
      </c>
      <c r="AR451" t="s">
        <v>11</v>
      </c>
      <c r="AS451" t="s">
        <v>0</v>
      </c>
      <c r="AT451" t="s">
        <v>17</v>
      </c>
      <c r="AU451" s="4">
        <v>0</v>
      </c>
      <c r="AV451" s="4">
        <v>0</v>
      </c>
      <c r="AW451" s="4">
        <v>0</v>
      </c>
      <c r="AX451" s="4">
        <v>0</v>
      </c>
      <c r="AY451" s="5">
        <v>0</v>
      </c>
      <c r="AZ451" s="5">
        <v>0</v>
      </c>
      <c r="BA451" s="5">
        <v>0</v>
      </c>
      <c r="BB451" s="2"/>
      <c r="BC451" t="s">
        <v>0</v>
      </c>
      <c r="BD451" s="5">
        <v>1</v>
      </c>
      <c r="BE451" t="s">
        <v>0</v>
      </c>
      <c r="BF451" t="s">
        <v>368</v>
      </c>
      <c r="BG451" t="s">
        <v>17</v>
      </c>
      <c r="BH451" t="s">
        <v>0</v>
      </c>
      <c r="BI451" t="s">
        <v>11</v>
      </c>
      <c r="BJ451" t="s">
        <v>0</v>
      </c>
      <c r="BK451" t="s">
        <v>0</v>
      </c>
      <c r="BL451" s="5">
        <v>0</v>
      </c>
      <c r="BM451" t="s">
        <v>0</v>
      </c>
      <c r="BN451" t="s">
        <v>0</v>
      </c>
      <c r="BO451" t="s">
        <v>0</v>
      </c>
      <c r="BP451" t="s">
        <v>17</v>
      </c>
      <c r="BQ451" t="s">
        <v>0</v>
      </c>
      <c r="BR451" t="s">
        <v>17</v>
      </c>
      <c r="BS451" t="s">
        <v>17</v>
      </c>
      <c r="BT451" t="s">
        <v>0</v>
      </c>
      <c r="BU451" t="s">
        <v>0</v>
      </c>
      <c r="BV451" t="s">
        <v>0</v>
      </c>
      <c r="BW451" t="s">
        <v>0</v>
      </c>
      <c r="BX451" t="s">
        <v>0</v>
      </c>
      <c r="BY451" t="s">
        <v>0</v>
      </c>
      <c r="BZ451" t="s">
        <v>0</v>
      </c>
      <c r="CA451" t="s">
        <v>0</v>
      </c>
      <c r="CB451" t="s">
        <v>0</v>
      </c>
    </row>
    <row r="452" spans="1:80" ht="13.95" customHeight="1" x14ac:dyDescent="0.25">
      <c r="A452" t="s">
        <v>369</v>
      </c>
      <c r="B452" s="2">
        <v>45703</v>
      </c>
      <c r="C452" s="2"/>
      <c r="D452" s="2"/>
      <c r="E452" t="s">
        <v>2</v>
      </c>
      <c r="F452" t="s">
        <v>3</v>
      </c>
      <c r="G452" t="s">
        <v>0</v>
      </c>
      <c r="H452" t="s">
        <v>4</v>
      </c>
      <c r="I452" t="s">
        <v>363</v>
      </c>
      <c r="J452" t="s">
        <v>6</v>
      </c>
      <c r="K452" t="s">
        <v>38</v>
      </c>
      <c r="L452" t="s">
        <v>43</v>
      </c>
      <c r="M452" t="s">
        <v>44</v>
      </c>
      <c r="N452" t="s">
        <v>10</v>
      </c>
      <c r="O452" t="s">
        <v>0</v>
      </c>
      <c r="P452" t="s">
        <v>11</v>
      </c>
      <c r="Q452" s="5">
        <v>17</v>
      </c>
      <c r="R452" s="4">
        <v>50900</v>
      </c>
      <c r="S452" s="5">
        <v>1</v>
      </c>
      <c r="T452" s="4">
        <v>865300</v>
      </c>
      <c r="U452" s="3">
        <v>3.5790000000000002</v>
      </c>
      <c r="V452" s="4">
        <v>182171.1</v>
      </c>
      <c r="W452" s="3">
        <v>3.5790000000000002</v>
      </c>
      <c r="X452" s="4">
        <v>182171.1</v>
      </c>
      <c r="Y452" s="4">
        <f t="shared" si="14"/>
        <v>683128.9</v>
      </c>
      <c r="Z452" s="6" t="s">
        <v>0</v>
      </c>
      <c r="AA452" t="s">
        <v>2</v>
      </c>
      <c r="AB452" t="s">
        <v>12</v>
      </c>
      <c r="AC452">
        <f>_xlfn.XLOOKUP(AB452,'[1]GST Codes'!$A:$A,'[1]GST Codes'!$C:$C,0,0)</f>
        <v>18</v>
      </c>
      <c r="AD452">
        <f t="shared" si="15"/>
        <v>806092.10200000007</v>
      </c>
      <c r="AE452" t="s">
        <v>13</v>
      </c>
      <c r="AF452" t="s">
        <v>0</v>
      </c>
      <c r="AG452" t="s">
        <v>14</v>
      </c>
      <c r="AH452" t="s">
        <v>15</v>
      </c>
      <c r="AI452" t="s">
        <v>16</v>
      </c>
      <c r="AJ452" t="s">
        <v>17</v>
      </c>
      <c r="AK452" t="s">
        <v>18</v>
      </c>
      <c r="AL452" t="s">
        <v>19</v>
      </c>
      <c r="AM452" t="s">
        <v>363</v>
      </c>
      <c r="AN452" t="s">
        <v>0</v>
      </c>
      <c r="AO452" t="s">
        <v>0</v>
      </c>
      <c r="AP452" t="s">
        <v>0</v>
      </c>
      <c r="AQ452" s="5">
        <v>17</v>
      </c>
      <c r="AR452" t="s">
        <v>11</v>
      </c>
      <c r="AS452" t="s">
        <v>0</v>
      </c>
      <c r="AT452" t="s">
        <v>17</v>
      </c>
      <c r="AU452" s="4">
        <v>0</v>
      </c>
      <c r="AV452" s="4">
        <v>0</v>
      </c>
      <c r="AW452" s="4">
        <v>0</v>
      </c>
      <c r="AX452" s="4">
        <v>0</v>
      </c>
      <c r="AY452" s="5">
        <v>0</v>
      </c>
      <c r="AZ452" s="5">
        <v>0</v>
      </c>
      <c r="BA452" s="5">
        <v>0</v>
      </c>
      <c r="BB452" s="2"/>
      <c r="BC452" t="s">
        <v>0</v>
      </c>
      <c r="BD452" s="5">
        <v>1</v>
      </c>
      <c r="BE452" t="s">
        <v>0</v>
      </c>
      <c r="BF452" t="s">
        <v>364</v>
      </c>
      <c r="BG452" t="s">
        <v>17</v>
      </c>
      <c r="BH452" t="s">
        <v>0</v>
      </c>
      <c r="BI452" t="s">
        <v>11</v>
      </c>
      <c r="BJ452" t="s">
        <v>0</v>
      </c>
      <c r="BK452" t="s">
        <v>0</v>
      </c>
      <c r="BL452" s="5">
        <v>0</v>
      </c>
      <c r="BM452" t="s">
        <v>0</v>
      </c>
      <c r="BN452" t="s">
        <v>0</v>
      </c>
      <c r="BO452" t="s">
        <v>0</v>
      </c>
      <c r="BP452" t="s">
        <v>17</v>
      </c>
      <c r="BQ452" t="s">
        <v>0</v>
      </c>
      <c r="BR452" t="s">
        <v>17</v>
      </c>
      <c r="BS452" t="s">
        <v>17</v>
      </c>
      <c r="BT452" t="s">
        <v>0</v>
      </c>
      <c r="BU452" t="s">
        <v>0</v>
      </c>
      <c r="BV452" t="s">
        <v>0</v>
      </c>
      <c r="BW452" t="s">
        <v>0</v>
      </c>
      <c r="BX452" t="s">
        <v>0</v>
      </c>
      <c r="BY452" t="s">
        <v>0</v>
      </c>
      <c r="BZ452" t="s">
        <v>0</v>
      </c>
      <c r="CA452" t="s">
        <v>0</v>
      </c>
      <c r="CB452" t="s">
        <v>0</v>
      </c>
    </row>
    <row r="453" spans="1:80" ht="13.95" customHeight="1" x14ac:dyDescent="0.25">
      <c r="A453" t="s">
        <v>369</v>
      </c>
      <c r="B453" s="2">
        <v>45703</v>
      </c>
      <c r="C453" s="2"/>
      <c r="D453" s="2"/>
      <c r="E453" t="s">
        <v>2</v>
      </c>
      <c r="F453" t="s">
        <v>3</v>
      </c>
      <c r="G453" t="s">
        <v>0</v>
      </c>
      <c r="H453" t="s">
        <v>4</v>
      </c>
      <c r="I453" t="s">
        <v>363</v>
      </c>
      <c r="J453" t="s">
        <v>6</v>
      </c>
      <c r="K453" t="s">
        <v>42</v>
      </c>
      <c r="L453" t="s">
        <v>43</v>
      </c>
      <c r="M453" t="s">
        <v>44</v>
      </c>
      <c r="N453" t="s">
        <v>10</v>
      </c>
      <c r="O453" t="s">
        <v>0</v>
      </c>
      <c r="P453" t="s">
        <v>11</v>
      </c>
      <c r="Q453" s="5">
        <v>22</v>
      </c>
      <c r="R453" s="4">
        <v>50900</v>
      </c>
      <c r="S453" s="5">
        <v>1</v>
      </c>
      <c r="T453" s="4">
        <v>1119800</v>
      </c>
      <c r="U453" s="5">
        <v>0</v>
      </c>
      <c r="V453" s="4">
        <v>0</v>
      </c>
      <c r="W453" s="5">
        <v>0</v>
      </c>
      <c r="X453" s="4">
        <v>0</v>
      </c>
      <c r="Y453" s="4">
        <f t="shared" si="14"/>
        <v>1119800</v>
      </c>
      <c r="Z453" s="6" t="s">
        <v>0</v>
      </c>
      <c r="AA453" t="s">
        <v>2</v>
      </c>
      <c r="AB453" t="s">
        <v>12</v>
      </c>
      <c r="AC453">
        <f>_xlfn.XLOOKUP(AB453,'[1]GST Codes'!$A:$A,'[1]GST Codes'!$C:$C,0,0)</f>
        <v>18</v>
      </c>
      <c r="AD453">
        <f t="shared" si="15"/>
        <v>1321364</v>
      </c>
      <c r="AE453" t="s">
        <v>13</v>
      </c>
      <c r="AF453" t="s">
        <v>0</v>
      </c>
      <c r="AG453" t="s">
        <v>14</v>
      </c>
      <c r="AH453" t="s">
        <v>15</v>
      </c>
      <c r="AI453" t="s">
        <v>16</v>
      </c>
      <c r="AJ453" t="s">
        <v>17</v>
      </c>
      <c r="AK453" t="s">
        <v>18</v>
      </c>
      <c r="AL453" t="s">
        <v>19</v>
      </c>
      <c r="AM453" t="s">
        <v>363</v>
      </c>
      <c r="AN453" t="s">
        <v>0</v>
      </c>
      <c r="AO453" t="s">
        <v>0</v>
      </c>
      <c r="AP453" t="s">
        <v>0</v>
      </c>
      <c r="AQ453" s="5">
        <v>22</v>
      </c>
      <c r="AR453" t="s">
        <v>11</v>
      </c>
      <c r="AS453" t="s">
        <v>0</v>
      </c>
      <c r="AT453" t="s">
        <v>17</v>
      </c>
      <c r="AU453" s="4">
        <v>0</v>
      </c>
      <c r="AV453" s="4">
        <v>0</v>
      </c>
      <c r="AW453" s="4">
        <v>0</v>
      </c>
      <c r="AX453" s="4">
        <v>0</v>
      </c>
      <c r="AY453" s="5">
        <v>0</v>
      </c>
      <c r="AZ453" s="5">
        <v>0</v>
      </c>
      <c r="BA453" s="5">
        <v>0</v>
      </c>
      <c r="BB453" s="2"/>
      <c r="BC453" t="s">
        <v>0</v>
      </c>
      <c r="BD453" s="5">
        <v>1</v>
      </c>
      <c r="BE453" t="s">
        <v>0</v>
      </c>
      <c r="BF453" t="s">
        <v>364</v>
      </c>
      <c r="BG453" t="s">
        <v>17</v>
      </c>
      <c r="BH453" t="s">
        <v>0</v>
      </c>
      <c r="BI453" t="s">
        <v>11</v>
      </c>
      <c r="BJ453" t="s">
        <v>0</v>
      </c>
      <c r="BK453" t="s">
        <v>0</v>
      </c>
      <c r="BL453" s="5">
        <v>0</v>
      </c>
      <c r="BM453" t="s">
        <v>0</v>
      </c>
      <c r="BN453" t="s">
        <v>0</v>
      </c>
      <c r="BO453" t="s">
        <v>0</v>
      </c>
      <c r="BP453" t="s">
        <v>17</v>
      </c>
      <c r="BQ453" t="s">
        <v>0</v>
      </c>
      <c r="BR453" t="s">
        <v>17</v>
      </c>
      <c r="BS453" t="s">
        <v>17</v>
      </c>
      <c r="BT453" t="s">
        <v>0</v>
      </c>
      <c r="BU453" t="s">
        <v>0</v>
      </c>
      <c r="BV453" t="s">
        <v>0</v>
      </c>
      <c r="BW453" t="s">
        <v>0</v>
      </c>
      <c r="BX453" t="s">
        <v>0</v>
      </c>
      <c r="BY453" t="s">
        <v>0</v>
      </c>
      <c r="BZ453" t="s">
        <v>0</v>
      </c>
      <c r="CA453" t="s">
        <v>0</v>
      </c>
      <c r="CB453" t="s">
        <v>0</v>
      </c>
    </row>
    <row r="454" spans="1:80" ht="13.95" customHeight="1" x14ac:dyDescent="0.25">
      <c r="A454" t="s">
        <v>369</v>
      </c>
      <c r="B454" s="2">
        <v>45703</v>
      </c>
      <c r="C454" s="2"/>
      <c r="D454" s="2"/>
      <c r="E454" t="s">
        <v>2</v>
      </c>
      <c r="F454" t="s">
        <v>3</v>
      </c>
      <c r="G454" t="s">
        <v>0</v>
      </c>
      <c r="H454" t="s">
        <v>4</v>
      </c>
      <c r="I454" t="s">
        <v>363</v>
      </c>
      <c r="J454" t="s">
        <v>6</v>
      </c>
      <c r="K454" t="s">
        <v>86</v>
      </c>
      <c r="L454" t="s">
        <v>43</v>
      </c>
      <c r="M454" t="s">
        <v>44</v>
      </c>
      <c r="N454" t="s">
        <v>10</v>
      </c>
      <c r="O454" t="s">
        <v>0</v>
      </c>
      <c r="P454" t="s">
        <v>11</v>
      </c>
      <c r="Q454" s="5">
        <v>42</v>
      </c>
      <c r="R454" s="4">
        <v>50900</v>
      </c>
      <c r="S454" s="5">
        <v>1</v>
      </c>
      <c r="T454" s="4">
        <v>2137800</v>
      </c>
      <c r="U454" s="5">
        <v>0</v>
      </c>
      <c r="V454" s="4">
        <v>0</v>
      </c>
      <c r="W454" s="5">
        <v>0</v>
      </c>
      <c r="X454" s="4">
        <v>0</v>
      </c>
      <c r="Y454" s="4">
        <f t="shared" si="14"/>
        <v>2137800</v>
      </c>
      <c r="Z454" s="6" t="s">
        <v>0</v>
      </c>
      <c r="AA454" t="s">
        <v>2</v>
      </c>
      <c r="AB454" t="s">
        <v>12</v>
      </c>
      <c r="AC454">
        <f>_xlfn.XLOOKUP(AB454,'[1]GST Codes'!$A:$A,'[1]GST Codes'!$C:$C,0,0)</f>
        <v>18</v>
      </c>
      <c r="AD454">
        <f t="shared" si="15"/>
        <v>2522604</v>
      </c>
      <c r="AE454" t="s">
        <v>13</v>
      </c>
      <c r="AF454" t="s">
        <v>0</v>
      </c>
      <c r="AG454" t="s">
        <v>14</v>
      </c>
      <c r="AH454" t="s">
        <v>15</v>
      </c>
      <c r="AI454" t="s">
        <v>16</v>
      </c>
      <c r="AJ454" t="s">
        <v>17</v>
      </c>
      <c r="AK454" t="s">
        <v>18</v>
      </c>
      <c r="AL454" t="s">
        <v>19</v>
      </c>
      <c r="AM454" t="s">
        <v>363</v>
      </c>
      <c r="AN454" t="s">
        <v>0</v>
      </c>
      <c r="AO454" t="s">
        <v>0</v>
      </c>
      <c r="AP454" t="s">
        <v>0</v>
      </c>
      <c r="AQ454" s="5">
        <v>42</v>
      </c>
      <c r="AR454" t="s">
        <v>11</v>
      </c>
      <c r="AS454" t="s">
        <v>0</v>
      </c>
      <c r="AT454" t="s">
        <v>17</v>
      </c>
      <c r="AU454" s="4">
        <v>0</v>
      </c>
      <c r="AV454" s="4">
        <v>0</v>
      </c>
      <c r="AW454" s="4">
        <v>0</v>
      </c>
      <c r="AX454" s="4">
        <v>0</v>
      </c>
      <c r="AY454" s="5">
        <v>0</v>
      </c>
      <c r="AZ454" s="5">
        <v>0</v>
      </c>
      <c r="BA454" s="5">
        <v>0</v>
      </c>
      <c r="BB454" s="2"/>
      <c r="BC454" t="s">
        <v>0</v>
      </c>
      <c r="BD454" s="5">
        <v>1</v>
      </c>
      <c r="BE454" t="s">
        <v>0</v>
      </c>
      <c r="BF454" t="s">
        <v>364</v>
      </c>
      <c r="BG454" t="s">
        <v>17</v>
      </c>
      <c r="BH454" t="s">
        <v>0</v>
      </c>
      <c r="BI454" t="s">
        <v>11</v>
      </c>
      <c r="BJ454" t="s">
        <v>0</v>
      </c>
      <c r="BK454" t="s">
        <v>0</v>
      </c>
      <c r="BL454" s="5">
        <v>0</v>
      </c>
      <c r="BM454" t="s">
        <v>0</v>
      </c>
      <c r="BN454" t="s">
        <v>0</v>
      </c>
      <c r="BO454" t="s">
        <v>0</v>
      </c>
      <c r="BP454" t="s">
        <v>17</v>
      </c>
      <c r="BQ454" t="s">
        <v>0</v>
      </c>
      <c r="BR454" t="s">
        <v>17</v>
      </c>
      <c r="BS454" t="s">
        <v>17</v>
      </c>
      <c r="BT454" t="s">
        <v>0</v>
      </c>
      <c r="BU454" t="s">
        <v>0</v>
      </c>
      <c r="BV454" t="s">
        <v>0</v>
      </c>
      <c r="BW454" t="s">
        <v>0</v>
      </c>
      <c r="BX454" t="s">
        <v>0</v>
      </c>
      <c r="BY454" t="s">
        <v>0</v>
      </c>
      <c r="BZ454" t="s">
        <v>0</v>
      </c>
      <c r="CA454" t="s">
        <v>0</v>
      </c>
      <c r="CB454" t="s">
        <v>0</v>
      </c>
    </row>
    <row r="455" spans="1:80" ht="13.95" customHeight="1" x14ac:dyDescent="0.25">
      <c r="A455" t="s">
        <v>370</v>
      </c>
      <c r="B455" s="2">
        <v>45728</v>
      </c>
      <c r="C455" s="2"/>
      <c r="D455" s="2"/>
      <c r="E455" t="s">
        <v>2</v>
      </c>
      <c r="F455" t="s">
        <v>3</v>
      </c>
      <c r="G455" t="s">
        <v>0</v>
      </c>
      <c r="H455" t="s">
        <v>4</v>
      </c>
      <c r="I455" t="s">
        <v>363</v>
      </c>
      <c r="J455" t="s">
        <v>6</v>
      </c>
      <c r="K455" t="s">
        <v>7</v>
      </c>
      <c r="L455" t="s">
        <v>74</v>
      </c>
      <c r="M455" t="s">
        <v>75</v>
      </c>
      <c r="N455" t="s">
        <v>10</v>
      </c>
      <c r="O455" t="s">
        <v>0</v>
      </c>
      <c r="P455" t="s">
        <v>11</v>
      </c>
      <c r="Q455" s="5">
        <v>50</v>
      </c>
      <c r="R455" s="4">
        <v>54750</v>
      </c>
      <c r="S455" s="5">
        <v>1</v>
      </c>
      <c r="T455" s="4">
        <v>2737500</v>
      </c>
      <c r="U455" s="5">
        <v>0</v>
      </c>
      <c r="V455" s="4">
        <v>0</v>
      </c>
      <c r="W455" s="5">
        <v>0</v>
      </c>
      <c r="X455" s="4">
        <v>0</v>
      </c>
      <c r="Y455" s="4">
        <f t="shared" si="14"/>
        <v>2737500</v>
      </c>
      <c r="Z455" s="6" t="s">
        <v>0</v>
      </c>
      <c r="AA455" t="s">
        <v>2</v>
      </c>
      <c r="AB455" t="s">
        <v>12</v>
      </c>
      <c r="AC455">
        <f>_xlfn.XLOOKUP(AB455,'[1]GST Codes'!$A:$A,'[1]GST Codes'!$C:$C,0,0)</f>
        <v>18</v>
      </c>
      <c r="AD455">
        <f t="shared" si="15"/>
        <v>3230250</v>
      </c>
      <c r="AE455" t="s">
        <v>13</v>
      </c>
      <c r="AF455" t="s">
        <v>0</v>
      </c>
      <c r="AG455" t="s">
        <v>14</v>
      </c>
      <c r="AH455" t="s">
        <v>15</v>
      </c>
      <c r="AI455" t="s">
        <v>16</v>
      </c>
      <c r="AJ455" t="s">
        <v>17</v>
      </c>
      <c r="AK455" t="s">
        <v>18</v>
      </c>
      <c r="AL455" t="s">
        <v>19</v>
      </c>
      <c r="AM455" t="s">
        <v>363</v>
      </c>
      <c r="AN455" t="s">
        <v>0</v>
      </c>
      <c r="AO455" t="s">
        <v>0</v>
      </c>
      <c r="AP455" t="s">
        <v>0</v>
      </c>
      <c r="AQ455" s="5">
        <v>50</v>
      </c>
      <c r="AR455" t="s">
        <v>11</v>
      </c>
      <c r="AS455" t="s">
        <v>0</v>
      </c>
      <c r="AT455" t="s">
        <v>17</v>
      </c>
      <c r="AU455" s="4">
        <v>0</v>
      </c>
      <c r="AV455" s="4">
        <v>0</v>
      </c>
      <c r="AW455" s="4">
        <v>0</v>
      </c>
      <c r="AX455" s="4">
        <v>0</v>
      </c>
      <c r="AY455" s="5">
        <v>0</v>
      </c>
      <c r="AZ455" s="5">
        <v>0</v>
      </c>
      <c r="BA455" s="5">
        <v>0</v>
      </c>
      <c r="BB455" s="2"/>
      <c r="BC455" t="s">
        <v>0</v>
      </c>
      <c r="BD455" s="5">
        <v>1</v>
      </c>
      <c r="BE455" t="s">
        <v>0</v>
      </c>
      <c r="BF455" t="s">
        <v>367</v>
      </c>
      <c r="BG455" t="s">
        <v>17</v>
      </c>
      <c r="BH455" t="s">
        <v>0</v>
      </c>
      <c r="BI455" t="s">
        <v>11</v>
      </c>
      <c r="BJ455" t="s">
        <v>0</v>
      </c>
      <c r="BK455" t="s">
        <v>0</v>
      </c>
      <c r="BL455" s="5">
        <v>0</v>
      </c>
      <c r="BM455" t="s">
        <v>0</v>
      </c>
      <c r="BN455" t="s">
        <v>0</v>
      </c>
      <c r="BO455" t="s">
        <v>0</v>
      </c>
      <c r="BP455" t="s">
        <v>17</v>
      </c>
      <c r="BQ455" t="s">
        <v>0</v>
      </c>
      <c r="BR455" t="s">
        <v>17</v>
      </c>
      <c r="BS455" t="s">
        <v>17</v>
      </c>
      <c r="BT455" t="s">
        <v>0</v>
      </c>
      <c r="BU455" t="s">
        <v>0</v>
      </c>
      <c r="BV455" t="s">
        <v>0</v>
      </c>
      <c r="BW455" t="s">
        <v>0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</row>
    <row r="456" spans="1:80" ht="13.95" customHeight="1" x14ac:dyDescent="0.25">
      <c r="A456" t="s">
        <v>370</v>
      </c>
      <c r="B456" s="2">
        <v>45728</v>
      </c>
      <c r="C456" s="2"/>
      <c r="D456" s="2"/>
      <c r="E456" t="s">
        <v>2</v>
      </c>
      <c r="F456" t="s">
        <v>3</v>
      </c>
      <c r="G456" t="s">
        <v>0</v>
      </c>
      <c r="H456" t="s">
        <v>4</v>
      </c>
      <c r="I456" t="s">
        <v>363</v>
      </c>
      <c r="J456" t="s">
        <v>6</v>
      </c>
      <c r="K456" t="s">
        <v>22</v>
      </c>
      <c r="L456" t="s">
        <v>74</v>
      </c>
      <c r="M456" t="s">
        <v>75</v>
      </c>
      <c r="N456" t="s">
        <v>10</v>
      </c>
      <c r="O456" t="s">
        <v>0</v>
      </c>
      <c r="P456" t="s">
        <v>11</v>
      </c>
      <c r="Q456" s="5">
        <v>50</v>
      </c>
      <c r="R456" s="4">
        <v>54750</v>
      </c>
      <c r="S456" s="5">
        <v>1</v>
      </c>
      <c r="T456" s="4">
        <v>2737500</v>
      </c>
      <c r="U456" s="5">
        <v>0</v>
      </c>
      <c r="V456" s="4">
        <v>0</v>
      </c>
      <c r="W456" s="5">
        <v>0</v>
      </c>
      <c r="X456" s="4">
        <v>0</v>
      </c>
      <c r="Y456" s="4">
        <f t="shared" si="14"/>
        <v>2737500</v>
      </c>
      <c r="Z456" s="6" t="s">
        <v>0</v>
      </c>
      <c r="AA456" t="s">
        <v>2</v>
      </c>
      <c r="AB456" t="s">
        <v>12</v>
      </c>
      <c r="AC456">
        <f>_xlfn.XLOOKUP(AB456,'[1]GST Codes'!$A:$A,'[1]GST Codes'!$C:$C,0,0)</f>
        <v>18</v>
      </c>
      <c r="AD456">
        <f t="shared" si="15"/>
        <v>3230250</v>
      </c>
      <c r="AE456" t="s">
        <v>13</v>
      </c>
      <c r="AF456" t="s">
        <v>0</v>
      </c>
      <c r="AG456" t="s">
        <v>14</v>
      </c>
      <c r="AH456" t="s">
        <v>15</v>
      </c>
      <c r="AI456" t="s">
        <v>16</v>
      </c>
      <c r="AJ456" t="s">
        <v>17</v>
      </c>
      <c r="AK456" t="s">
        <v>18</v>
      </c>
      <c r="AL456" t="s">
        <v>19</v>
      </c>
      <c r="AM456" t="s">
        <v>363</v>
      </c>
      <c r="AN456" t="s">
        <v>0</v>
      </c>
      <c r="AO456" t="s">
        <v>0</v>
      </c>
      <c r="AP456" t="s">
        <v>0</v>
      </c>
      <c r="AQ456" s="5">
        <v>50</v>
      </c>
      <c r="AR456" t="s">
        <v>11</v>
      </c>
      <c r="AS456" t="s">
        <v>0</v>
      </c>
      <c r="AT456" t="s">
        <v>17</v>
      </c>
      <c r="AU456" s="4">
        <v>0</v>
      </c>
      <c r="AV456" s="4">
        <v>0</v>
      </c>
      <c r="AW456" s="4">
        <v>0</v>
      </c>
      <c r="AX456" s="4">
        <v>0</v>
      </c>
      <c r="AY456" s="5">
        <v>0</v>
      </c>
      <c r="AZ456" s="5">
        <v>0</v>
      </c>
      <c r="BA456" s="5">
        <v>0</v>
      </c>
      <c r="BB456" s="2"/>
      <c r="BC456" t="s">
        <v>0</v>
      </c>
      <c r="BD456" s="5">
        <v>1</v>
      </c>
      <c r="BE456" t="s">
        <v>0</v>
      </c>
      <c r="BF456" t="s">
        <v>367</v>
      </c>
      <c r="BG456" t="s">
        <v>17</v>
      </c>
      <c r="BH456" t="s">
        <v>0</v>
      </c>
      <c r="BI456" t="s">
        <v>11</v>
      </c>
      <c r="BJ456" t="s">
        <v>0</v>
      </c>
      <c r="BK456" t="s">
        <v>0</v>
      </c>
      <c r="BL456" s="5">
        <v>0</v>
      </c>
      <c r="BM456" t="s">
        <v>0</v>
      </c>
      <c r="BN456" t="s">
        <v>0</v>
      </c>
      <c r="BO456" t="s">
        <v>0</v>
      </c>
      <c r="BP456" t="s">
        <v>17</v>
      </c>
      <c r="BQ456" t="s">
        <v>0</v>
      </c>
      <c r="BR456" t="s">
        <v>17</v>
      </c>
      <c r="BS456" t="s">
        <v>17</v>
      </c>
      <c r="BT456" t="s">
        <v>0</v>
      </c>
      <c r="BU456" t="s">
        <v>0</v>
      </c>
      <c r="BV456" t="s">
        <v>0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</row>
    <row r="457" spans="1:80" ht="13.95" customHeight="1" x14ac:dyDescent="0.25">
      <c r="A457" t="s">
        <v>370</v>
      </c>
      <c r="B457" s="2">
        <v>45728</v>
      </c>
      <c r="C457" s="2"/>
      <c r="D457" s="2"/>
      <c r="E457" t="s">
        <v>2</v>
      </c>
      <c r="F457" t="s">
        <v>3</v>
      </c>
      <c r="G457" t="s">
        <v>0</v>
      </c>
      <c r="H457" t="s">
        <v>4</v>
      </c>
      <c r="I457" t="s">
        <v>363</v>
      </c>
      <c r="J457" t="s">
        <v>6</v>
      </c>
      <c r="K457" t="s">
        <v>26</v>
      </c>
      <c r="L457" t="s">
        <v>74</v>
      </c>
      <c r="M457" t="s">
        <v>75</v>
      </c>
      <c r="N457" t="s">
        <v>10</v>
      </c>
      <c r="O457" t="s">
        <v>0</v>
      </c>
      <c r="P457" t="s">
        <v>11</v>
      </c>
      <c r="Q457" s="5">
        <v>15</v>
      </c>
      <c r="R457" s="4">
        <v>54750</v>
      </c>
      <c r="S457" s="5">
        <v>1</v>
      </c>
      <c r="T457" s="4">
        <v>821250</v>
      </c>
      <c r="U457" s="5">
        <v>0</v>
      </c>
      <c r="V457" s="4">
        <v>0</v>
      </c>
      <c r="W457" s="5">
        <v>0</v>
      </c>
      <c r="X457" s="4">
        <v>0</v>
      </c>
      <c r="Y457" s="4">
        <f t="shared" si="14"/>
        <v>821250</v>
      </c>
      <c r="Z457" s="6" t="s">
        <v>0</v>
      </c>
      <c r="AA457" t="s">
        <v>2</v>
      </c>
      <c r="AB457" t="s">
        <v>12</v>
      </c>
      <c r="AC457">
        <f>_xlfn.XLOOKUP(AB457,'[1]GST Codes'!$A:$A,'[1]GST Codes'!$C:$C,0,0)</f>
        <v>18</v>
      </c>
      <c r="AD457">
        <f t="shared" si="15"/>
        <v>969075</v>
      </c>
      <c r="AE457" t="s">
        <v>13</v>
      </c>
      <c r="AF457" t="s">
        <v>0</v>
      </c>
      <c r="AG457" t="s">
        <v>14</v>
      </c>
      <c r="AH457" t="s">
        <v>15</v>
      </c>
      <c r="AI457" t="s">
        <v>16</v>
      </c>
      <c r="AJ457" t="s">
        <v>17</v>
      </c>
      <c r="AK457" t="s">
        <v>18</v>
      </c>
      <c r="AL457" t="s">
        <v>19</v>
      </c>
      <c r="AM457" t="s">
        <v>363</v>
      </c>
      <c r="AN457" t="s">
        <v>0</v>
      </c>
      <c r="AO457" t="s">
        <v>0</v>
      </c>
      <c r="AP457" t="s">
        <v>0</v>
      </c>
      <c r="AQ457" s="5">
        <v>15</v>
      </c>
      <c r="AR457" t="s">
        <v>11</v>
      </c>
      <c r="AS457" t="s">
        <v>0</v>
      </c>
      <c r="AT457" t="s">
        <v>17</v>
      </c>
      <c r="AU457" s="4">
        <v>0</v>
      </c>
      <c r="AV457" s="4">
        <v>0</v>
      </c>
      <c r="AW457" s="4">
        <v>0</v>
      </c>
      <c r="AX457" s="4">
        <v>0</v>
      </c>
      <c r="AY457" s="5">
        <v>0</v>
      </c>
      <c r="AZ457" s="5">
        <v>0</v>
      </c>
      <c r="BA457" s="5">
        <v>0</v>
      </c>
      <c r="BB457" s="2"/>
      <c r="BC457" t="s">
        <v>0</v>
      </c>
      <c r="BD457" s="5">
        <v>1</v>
      </c>
      <c r="BE457" t="s">
        <v>0</v>
      </c>
      <c r="BF457" t="s">
        <v>367</v>
      </c>
      <c r="BG457" t="s">
        <v>17</v>
      </c>
      <c r="BH457" t="s">
        <v>0</v>
      </c>
      <c r="BI457" t="s">
        <v>11</v>
      </c>
      <c r="BJ457" t="s">
        <v>0</v>
      </c>
      <c r="BK457" t="s">
        <v>0</v>
      </c>
      <c r="BL457" s="5">
        <v>0</v>
      </c>
      <c r="BM457" t="s">
        <v>0</v>
      </c>
      <c r="BN457" t="s">
        <v>0</v>
      </c>
      <c r="BO457" t="s">
        <v>0</v>
      </c>
      <c r="BP457" t="s">
        <v>17</v>
      </c>
      <c r="BQ457" t="s">
        <v>0</v>
      </c>
      <c r="BR457" t="s">
        <v>17</v>
      </c>
      <c r="BS457" t="s">
        <v>17</v>
      </c>
      <c r="BT457" t="s">
        <v>0</v>
      </c>
      <c r="BU457" t="s">
        <v>0</v>
      </c>
      <c r="BV457" t="s">
        <v>0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</row>
    <row r="458" spans="1:80" ht="13.95" customHeight="1" x14ac:dyDescent="0.25">
      <c r="A458" t="s">
        <v>370</v>
      </c>
      <c r="B458" s="2">
        <v>45728</v>
      </c>
      <c r="C458" s="2"/>
      <c r="D458" s="2"/>
      <c r="E458" t="s">
        <v>2</v>
      </c>
      <c r="F458" t="s">
        <v>3</v>
      </c>
      <c r="G458" t="s">
        <v>0</v>
      </c>
      <c r="H458" t="s">
        <v>4</v>
      </c>
      <c r="I458" t="s">
        <v>363</v>
      </c>
      <c r="J458" t="s">
        <v>6</v>
      </c>
      <c r="K458" t="s">
        <v>30</v>
      </c>
      <c r="L458" t="s">
        <v>74</v>
      </c>
      <c r="M458" t="s">
        <v>75</v>
      </c>
      <c r="N458" t="s">
        <v>10</v>
      </c>
      <c r="O458" t="s">
        <v>0</v>
      </c>
      <c r="P458" t="s">
        <v>11</v>
      </c>
      <c r="Q458" s="5">
        <v>15</v>
      </c>
      <c r="R458" s="4">
        <v>54750</v>
      </c>
      <c r="S458" s="5">
        <v>1</v>
      </c>
      <c r="T458" s="4">
        <v>821250</v>
      </c>
      <c r="U458" s="5">
        <v>0</v>
      </c>
      <c r="V458" s="4">
        <v>0</v>
      </c>
      <c r="W458" s="5">
        <v>0</v>
      </c>
      <c r="X458" s="4">
        <v>0</v>
      </c>
      <c r="Y458" s="4">
        <f t="shared" si="14"/>
        <v>821250</v>
      </c>
      <c r="Z458" s="6" t="s">
        <v>0</v>
      </c>
      <c r="AA458" t="s">
        <v>2</v>
      </c>
      <c r="AB458" t="s">
        <v>12</v>
      </c>
      <c r="AC458">
        <f>_xlfn.XLOOKUP(AB458,'[1]GST Codes'!$A:$A,'[1]GST Codes'!$C:$C,0,0)</f>
        <v>18</v>
      </c>
      <c r="AD458">
        <f t="shared" si="15"/>
        <v>969075</v>
      </c>
      <c r="AE458" t="s">
        <v>13</v>
      </c>
      <c r="AF458" t="s">
        <v>0</v>
      </c>
      <c r="AG458" t="s">
        <v>14</v>
      </c>
      <c r="AH458" t="s">
        <v>15</v>
      </c>
      <c r="AI458" t="s">
        <v>16</v>
      </c>
      <c r="AJ458" t="s">
        <v>17</v>
      </c>
      <c r="AK458" t="s">
        <v>18</v>
      </c>
      <c r="AL458" t="s">
        <v>19</v>
      </c>
      <c r="AM458" t="s">
        <v>363</v>
      </c>
      <c r="AN458" t="s">
        <v>0</v>
      </c>
      <c r="AO458" t="s">
        <v>0</v>
      </c>
      <c r="AP458" t="s">
        <v>0</v>
      </c>
      <c r="AQ458" s="5">
        <v>15</v>
      </c>
      <c r="AR458" t="s">
        <v>11</v>
      </c>
      <c r="AS458" t="s">
        <v>0</v>
      </c>
      <c r="AT458" t="s">
        <v>17</v>
      </c>
      <c r="AU458" s="4">
        <v>0</v>
      </c>
      <c r="AV458" s="4">
        <v>0</v>
      </c>
      <c r="AW458" s="4">
        <v>0</v>
      </c>
      <c r="AX458" s="4">
        <v>0</v>
      </c>
      <c r="AY458" s="5">
        <v>0</v>
      </c>
      <c r="AZ458" s="5">
        <v>0</v>
      </c>
      <c r="BA458" s="5">
        <v>0</v>
      </c>
      <c r="BB458" s="2"/>
      <c r="BC458" t="s">
        <v>0</v>
      </c>
      <c r="BD458" s="5">
        <v>1</v>
      </c>
      <c r="BE458" t="s">
        <v>0</v>
      </c>
      <c r="BF458" t="s">
        <v>367</v>
      </c>
      <c r="BG458" t="s">
        <v>17</v>
      </c>
      <c r="BH458" t="s">
        <v>0</v>
      </c>
      <c r="BI458" t="s">
        <v>11</v>
      </c>
      <c r="BJ458" t="s">
        <v>0</v>
      </c>
      <c r="BK458" t="s">
        <v>0</v>
      </c>
      <c r="BL458" s="5">
        <v>0</v>
      </c>
      <c r="BM458" t="s">
        <v>0</v>
      </c>
      <c r="BN458" t="s">
        <v>0</v>
      </c>
      <c r="BO458" t="s">
        <v>0</v>
      </c>
      <c r="BP458" t="s">
        <v>17</v>
      </c>
      <c r="BQ458" t="s">
        <v>0</v>
      </c>
      <c r="BR458" t="s">
        <v>17</v>
      </c>
      <c r="BS458" t="s">
        <v>17</v>
      </c>
      <c r="BT458" t="s">
        <v>0</v>
      </c>
      <c r="BU458" t="s">
        <v>0</v>
      </c>
      <c r="BV458" t="s">
        <v>0</v>
      </c>
      <c r="BW458" t="s">
        <v>0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</row>
    <row r="459" spans="1:80" ht="13.95" customHeight="1" x14ac:dyDescent="0.25">
      <c r="A459" t="s">
        <v>370</v>
      </c>
      <c r="B459" s="2">
        <v>45728</v>
      </c>
      <c r="C459" s="2"/>
      <c r="D459" s="2"/>
      <c r="E459" t="s">
        <v>2</v>
      </c>
      <c r="F459" t="s">
        <v>3</v>
      </c>
      <c r="G459" t="s">
        <v>0</v>
      </c>
      <c r="H459" t="s">
        <v>4</v>
      </c>
      <c r="I459" t="s">
        <v>363</v>
      </c>
      <c r="J459" t="s">
        <v>6</v>
      </c>
      <c r="K459" t="s">
        <v>34</v>
      </c>
      <c r="L459" t="s">
        <v>74</v>
      </c>
      <c r="M459" t="s">
        <v>75</v>
      </c>
      <c r="N459" t="s">
        <v>10</v>
      </c>
      <c r="O459" t="s">
        <v>0</v>
      </c>
      <c r="P459" t="s">
        <v>11</v>
      </c>
      <c r="Q459" s="5">
        <v>50</v>
      </c>
      <c r="R459" s="4">
        <v>54750</v>
      </c>
      <c r="S459" s="5">
        <v>1</v>
      </c>
      <c r="T459" s="4">
        <v>2737500</v>
      </c>
      <c r="U459" s="5">
        <v>0</v>
      </c>
      <c r="V459" s="4">
        <v>0</v>
      </c>
      <c r="W459" s="5">
        <v>0</v>
      </c>
      <c r="X459" s="4">
        <v>0</v>
      </c>
      <c r="Y459" s="4">
        <f t="shared" si="14"/>
        <v>2737500</v>
      </c>
      <c r="Z459" s="6" t="s">
        <v>0</v>
      </c>
      <c r="AA459" t="s">
        <v>2</v>
      </c>
      <c r="AB459" t="s">
        <v>12</v>
      </c>
      <c r="AC459">
        <f>_xlfn.XLOOKUP(AB459,'[1]GST Codes'!$A:$A,'[1]GST Codes'!$C:$C,0,0)</f>
        <v>18</v>
      </c>
      <c r="AD459">
        <f t="shared" si="15"/>
        <v>3230250</v>
      </c>
      <c r="AE459" t="s">
        <v>13</v>
      </c>
      <c r="AF459" t="s">
        <v>0</v>
      </c>
      <c r="AG459" t="s">
        <v>14</v>
      </c>
      <c r="AH459" t="s">
        <v>15</v>
      </c>
      <c r="AI459" t="s">
        <v>16</v>
      </c>
      <c r="AJ459" t="s">
        <v>17</v>
      </c>
      <c r="AK459" t="s">
        <v>18</v>
      </c>
      <c r="AL459" t="s">
        <v>19</v>
      </c>
      <c r="AM459" t="s">
        <v>363</v>
      </c>
      <c r="AN459" t="s">
        <v>0</v>
      </c>
      <c r="AO459" t="s">
        <v>0</v>
      </c>
      <c r="AP459" t="s">
        <v>0</v>
      </c>
      <c r="AQ459" s="5">
        <v>50</v>
      </c>
      <c r="AR459" t="s">
        <v>11</v>
      </c>
      <c r="AS459" t="s">
        <v>0</v>
      </c>
      <c r="AT459" t="s">
        <v>17</v>
      </c>
      <c r="AU459" s="4">
        <v>0</v>
      </c>
      <c r="AV459" s="4">
        <v>0</v>
      </c>
      <c r="AW459" s="4">
        <v>0</v>
      </c>
      <c r="AX459" s="4">
        <v>0</v>
      </c>
      <c r="AY459" s="5">
        <v>0</v>
      </c>
      <c r="AZ459" s="5">
        <v>0</v>
      </c>
      <c r="BA459" s="5">
        <v>0</v>
      </c>
      <c r="BB459" s="2"/>
      <c r="BC459" t="s">
        <v>0</v>
      </c>
      <c r="BD459" s="5">
        <v>1</v>
      </c>
      <c r="BE459" t="s">
        <v>0</v>
      </c>
      <c r="BF459" t="s">
        <v>367</v>
      </c>
      <c r="BG459" t="s">
        <v>17</v>
      </c>
      <c r="BH459" t="s">
        <v>0</v>
      </c>
      <c r="BI459" t="s">
        <v>11</v>
      </c>
      <c r="BJ459" t="s">
        <v>0</v>
      </c>
      <c r="BK459" t="s">
        <v>0</v>
      </c>
      <c r="BL459" s="5">
        <v>0</v>
      </c>
      <c r="BM459" t="s">
        <v>0</v>
      </c>
      <c r="BN459" t="s">
        <v>0</v>
      </c>
      <c r="BO459" t="s">
        <v>0</v>
      </c>
      <c r="BP459" t="s">
        <v>17</v>
      </c>
      <c r="BQ459" t="s">
        <v>0</v>
      </c>
      <c r="BR459" t="s">
        <v>17</v>
      </c>
      <c r="BS459" t="s">
        <v>17</v>
      </c>
      <c r="BT459" t="s">
        <v>0</v>
      </c>
      <c r="BU459" t="s">
        <v>0</v>
      </c>
      <c r="BV459" t="s">
        <v>0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</row>
    <row r="460" spans="1:80" ht="13.95" customHeight="1" x14ac:dyDescent="0.25">
      <c r="A460" t="s">
        <v>370</v>
      </c>
      <c r="B460" s="2">
        <v>45728</v>
      </c>
      <c r="C460" s="2"/>
      <c r="D460" s="2"/>
      <c r="E460" t="s">
        <v>2</v>
      </c>
      <c r="F460" t="s">
        <v>3</v>
      </c>
      <c r="G460" t="s">
        <v>0</v>
      </c>
      <c r="H460" t="s">
        <v>4</v>
      </c>
      <c r="I460" t="s">
        <v>363</v>
      </c>
      <c r="J460" t="s">
        <v>6</v>
      </c>
      <c r="K460" t="s">
        <v>38</v>
      </c>
      <c r="L460" t="s">
        <v>74</v>
      </c>
      <c r="M460" t="s">
        <v>75</v>
      </c>
      <c r="N460" t="s">
        <v>10</v>
      </c>
      <c r="O460" t="s">
        <v>0</v>
      </c>
      <c r="P460" t="s">
        <v>11</v>
      </c>
      <c r="Q460" s="5">
        <v>50</v>
      </c>
      <c r="R460" s="4">
        <v>54750</v>
      </c>
      <c r="S460" s="5">
        <v>1</v>
      </c>
      <c r="T460" s="4">
        <v>2737500</v>
      </c>
      <c r="U460" s="5">
        <v>0</v>
      </c>
      <c r="V460" s="4">
        <v>0</v>
      </c>
      <c r="W460" s="5">
        <v>0</v>
      </c>
      <c r="X460" s="4">
        <v>0</v>
      </c>
      <c r="Y460" s="4">
        <f t="shared" si="14"/>
        <v>2737500</v>
      </c>
      <c r="Z460" s="6" t="s">
        <v>0</v>
      </c>
      <c r="AA460" t="s">
        <v>2</v>
      </c>
      <c r="AB460" t="s">
        <v>12</v>
      </c>
      <c r="AC460">
        <f>_xlfn.XLOOKUP(AB460,'[1]GST Codes'!$A:$A,'[1]GST Codes'!$C:$C,0,0)</f>
        <v>18</v>
      </c>
      <c r="AD460">
        <f t="shared" si="15"/>
        <v>3230250</v>
      </c>
      <c r="AE460" t="s">
        <v>13</v>
      </c>
      <c r="AF460" t="s">
        <v>0</v>
      </c>
      <c r="AG460" t="s">
        <v>14</v>
      </c>
      <c r="AH460" t="s">
        <v>15</v>
      </c>
      <c r="AI460" t="s">
        <v>16</v>
      </c>
      <c r="AJ460" t="s">
        <v>17</v>
      </c>
      <c r="AK460" t="s">
        <v>18</v>
      </c>
      <c r="AL460" t="s">
        <v>19</v>
      </c>
      <c r="AM460" t="s">
        <v>363</v>
      </c>
      <c r="AN460" t="s">
        <v>0</v>
      </c>
      <c r="AO460" t="s">
        <v>0</v>
      </c>
      <c r="AP460" t="s">
        <v>0</v>
      </c>
      <c r="AQ460" s="5">
        <v>50</v>
      </c>
      <c r="AR460" t="s">
        <v>11</v>
      </c>
      <c r="AS460" t="s">
        <v>0</v>
      </c>
      <c r="AT460" t="s">
        <v>17</v>
      </c>
      <c r="AU460" s="4">
        <v>0</v>
      </c>
      <c r="AV460" s="4">
        <v>0</v>
      </c>
      <c r="AW460" s="4">
        <v>0</v>
      </c>
      <c r="AX460" s="4">
        <v>0</v>
      </c>
      <c r="AY460" s="5">
        <v>0</v>
      </c>
      <c r="AZ460" s="5">
        <v>0</v>
      </c>
      <c r="BA460" s="5">
        <v>0</v>
      </c>
      <c r="BB460" s="2"/>
      <c r="BC460" t="s">
        <v>0</v>
      </c>
      <c r="BD460" s="5">
        <v>1</v>
      </c>
      <c r="BE460" t="s">
        <v>0</v>
      </c>
      <c r="BF460" t="s">
        <v>367</v>
      </c>
      <c r="BG460" t="s">
        <v>17</v>
      </c>
      <c r="BH460" t="s">
        <v>0</v>
      </c>
      <c r="BI460" t="s">
        <v>11</v>
      </c>
      <c r="BJ460" t="s">
        <v>0</v>
      </c>
      <c r="BK460" t="s">
        <v>0</v>
      </c>
      <c r="BL460" s="5">
        <v>0</v>
      </c>
      <c r="BM460" t="s">
        <v>0</v>
      </c>
      <c r="BN460" t="s">
        <v>0</v>
      </c>
      <c r="BO460" t="s">
        <v>0</v>
      </c>
      <c r="BP460" t="s">
        <v>17</v>
      </c>
      <c r="BQ460" t="s">
        <v>0</v>
      </c>
      <c r="BR460" t="s">
        <v>17</v>
      </c>
      <c r="BS460" t="s">
        <v>17</v>
      </c>
      <c r="BT460" t="s">
        <v>0</v>
      </c>
      <c r="BU460" t="s">
        <v>0</v>
      </c>
      <c r="BV460" t="s">
        <v>0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</row>
    <row r="461" spans="1:80" ht="13.95" customHeight="1" x14ac:dyDescent="0.25">
      <c r="A461" t="s">
        <v>370</v>
      </c>
      <c r="B461" s="2">
        <v>45728</v>
      </c>
      <c r="C461" s="2"/>
      <c r="D461" s="2"/>
      <c r="E461" t="s">
        <v>2</v>
      </c>
      <c r="F461" t="s">
        <v>3</v>
      </c>
      <c r="G461" t="s">
        <v>0</v>
      </c>
      <c r="H461" t="s">
        <v>4</v>
      </c>
      <c r="I461" t="s">
        <v>363</v>
      </c>
      <c r="J461" t="s">
        <v>6</v>
      </c>
      <c r="K461" t="s">
        <v>42</v>
      </c>
      <c r="L461" t="s">
        <v>39</v>
      </c>
      <c r="M461" t="s">
        <v>40</v>
      </c>
      <c r="N461" t="s">
        <v>10</v>
      </c>
      <c r="O461" t="s">
        <v>0</v>
      </c>
      <c r="P461" t="s">
        <v>11</v>
      </c>
      <c r="Q461" s="5">
        <v>25</v>
      </c>
      <c r="R461" s="4">
        <v>54750</v>
      </c>
      <c r="S461" s="5">
        <v>1</v>
      </c>
      <c r="T461" s="4">
        <v>1368750</v>
      </c>
      <c r="U461" s="5">
        <v>0</v>
      </c>
      <c r="V461" s="4">
        <v>0</v>
      </c>
      <c r="W461" s="5">
        <v>0</v>
      </c>
      <c r="X461" s="4">
        <v>0</v>
      </c>
      <c r="Y461" s="4">
        <f t="shared" si="14"/>
        <v>1368750</v>
      </c>
      <c r="Z461" s="6" t="s">
        <v>0</v>
      </c>
      <c r="AA461" t="s">
        <v>2</v>
      </c>
      <c r="AB461" t="s">
        <v>12</v>
      </c>
      <c r="AC461">
        <f>_xlfn.XLOOKUP(AB461,'[1]GST Codes'!$A:$A,'[1]GST Codes'!$C:$C,0,0)</f>
        <v>18</v>
      </c>
      <c r="AD461">
        <f t="shared" si="15"/>
        <v>1615125</v>
      </c>
      <c r="AE461" t="s">
        <v>13</v>
      </c>
      <c r="AF461" t="s">
        <v>0</v>
      </c>
      <c r="AG461" t="s">
        <v>14</v>
      </c>
      <c r="AH461" t="s">
        <v>15</v>
      </c>
      <c r="AI461" t="s">
        <v>16</v>
      </c>
      <c r="AJ461" t="s">
        <v>17</v>
      </c>
      <c r="AK461" t="s">
        <v>18</v>
      </c>
      <c r="AL461" t="s">
        <v>19</v>
      </c>
      <c r="AM461" t="s">
        <v>363</v>
      </c>
      <c r="AN461" t="s">
        <v>0</v>
      </c>
      <c r="AO461" t="s">
        <v>0</v>
      </c>
      <c r="AP461" t="s">
        <v>0</v>
      </c>
      <c r="AQ461" s="5">
        <v>25</v>
      </c>
      <c r="AR461" t="s">
        <v>11</v>
      </c>
      <c r="AS461" t="s">
        <v>0</v>
      </c>
      <c r="AT461" t="s">
        <v>17</v>
      </c>
      <c r="AU461" s="4">
        <v>0</v>
      </c>
      <c r="AV461" s="4">
        <v>0</v>
      </c>
      <c r="AW461" s="4">
        <v>0</v>
      </c>
      <c r="AX461" s="4">
        <v>0</v>
      </c>
      <c r="AY461" s="5">
        <v>0</v>
      </c>
      <c r="AZ461" s="5">
        <v>0</v>
      </c>
      <c r="BA461" s="5">
        <v>0</v>
      </c>
      <c r="BB461" s="2"/>
      <c r="BC461" t="s">
        <v>0</v>
      </c>
      <c r="BD461" s="5">
        <v>1</v>
      </c>
      <c r="BE461" t="s">
        <v>0</v>
      </c>
      <c r="BF461" t="s">
        <v>368</v>
      </c>
      <c r="BG461" t="s">
        <v>17</v>
      </c>
      <c r="BH461" t="s">
        <v>0</v>
      </c>
      <c r="BI461" t="s">
        <v>11</v>
      </c>
      <c r="BJ461" t="s">
        <v>0</v>
      </c>
      <c r="BK461" t="s">
        <v>0</v>
      </c>
      <c r="BL461" s="5">
        <v>0</v>
      </c>
      <c r="BM461" t="s">
        <v>0</v>
      </c>
      <c r="BN461" t="s">
        <v>0</v>
      </c>
      <c r="BO461" t="s">
        <v>0</v>
      </c>
      <c r="BP461" t="s">
        <v>17</v>
      </c>
      <c r="BQ461" t="s">
        <v>0</v>
      </c>
      <c r="BR461" t="s">
        <v>17</v>
      </c>
      <c r="BS461" t="s">
        <v>17</v>
      </c>
      <c r="BT461" t="s">
        <v>0</v>
      </c>
      <c r="BU461" t="s">
        <v>0</v>
      </c>
      <c r="BV461" t="s">
        <v>0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</row>
    <row r="462" spans="1:80" ht="13.95" customHeight="1" x14ac:dyDescent="0.25">
      <c r="A462" t="s">
        <v>370</v>
      </c>
      <c r="B462" s="2">
        <v>45728</v>
      </c>
      <c r="C462" s="2"/>
      <c r="D462" s="2"/>
      <c r="E462" t="s">
        <v>2</v>
      </c>
      <c r="F462" t="s">
        <v>3</v>
      </c>
      <c r="G462" t="s">
        <v>0</v>
      </c>
      <c r="H462" t="s">
        <v>4</v>
      </c>
      <c r="I462" t="s">
        <v>363</v>
      </c>
      <c r="J462" t="s">
        <v>6</v>
      </c>
      <c r="K462" t="s">
        <v>86</v>
      </c>
      <c r="L462" t="s">
        <v>39</v>
      </c>
      <c r="M462" t="s">
        <v>40</v>
      </c>
      <c r="N462" t="s">
        <v>10</v>
      </c>
      <c r="O462" t="s">
        <v>0</v>
      </c>
      <c r="P462" t="s">
        <v>11</v>
      </c>
      <c r="Q462" s="5">
        <v>25</v>
      </c>
      <c r="R462" s="4">
        <v>54750</v>
      </c>
      <c r="S462" s="5">
        <v>1</v>
      </c>
      <c r="T462" s="4">
        <v>1368750</v>
      </c>
      <c r="U462" s="5">
        <v>0</v>
      </c>
      <c r="V462" s="4">
        <v>0</v>
      </c>
      <c r="W462" s="5">
        <v>0</v>
      </c>
      <c r="X462" s="4">
        <v>0</v>
      </c>
      <c r="Y462" s="4">
        <f t="shared" si="14"/>
        <v>1368750</v>
      </c>
      <c r="Z462" s="6" t="s">
        <v>0</v>
      </c>
      <c r="AA462" t="s">
        <v>2</v>
      </c>
      <c r="AB462" t="s">
        <v>12</v>
      </c>
      <c r="AC462">
        <f>_xlfn.XLOOKUP(AB462,'[1]GST Codes'!$A:$A,'[1]GST Codes'!$C:$C,0,0)</f>
        <v>18</v>
      </c>
      <c r="AD462">
        <f t="shared" si="15"/>
        <v>1615125</v>
      </c>
      <c r="AE462" t="s">
        <v>13</v>
      </c>
      <c r="AF462" t="s">
        <v>0</v>
      </c>
      <c r="AG462" t="s">
        <v>14</v>
      </c>
      <c r="AH462" t="s">
        <v>15</v>
      </c>
      <c r="AI462" t="s">
        <v>16</v>
      </c>
      <c r="AJ462" t="s">
        <v>17</v>
      </c>
      <c r="AK462" t="s">
        <v>18</v>
      </c>
      <c r="AL462" t="s">
        <v>19</v>
      </c>
      <c r="AM462" t="s">
        <v>363</v>
      </c>
      <c r="AN462" t="s">
        <v>0</v>
      </c>
      <c r="AO462" t="s">
        <v>0</v>
      </c>
      <c r="AP462" t="s">
        <v>0</v>
      </c>
      <c r="AQ462" s="5">
        <v>25</v>
      </c>
      <c r="AR462" t="s">
        <v>11</v>
      </c>
      <c r="AS462" t="s">
        <v>0</v>
      </c>
      <c r="AT462" t="s">
        <v>17</v>
      </c>
      <c r="AU462" s="4">
        <v>0</v>
      </c>
      <c r="AV462" s="4">
        <v>0</v>
      </c>
      <c r="AW462" s="4">
        <v>0</v>
      </c>
      <c r="AX462" s="4">
        <v>0</v>
      </c>
      <c r="AY462" s="5">
        <v>0</v>
      </c>
      <c r="AZ462" s="5">
        <v>0</v>
      </c>
      <c r="BA462" s="5">
        <v>0</v>
      </c>
      <c r="BB462" s="2"/>
      <c r="BC462" t="s">
        <v>0</v>
      </c>
      <c r="BD462" s="5">
        <v>1</v>
      </c>
      <c r="BE462" t="s">
        <v>0</v>
      </c>
      <c r="BF462" t="s">
        <v>368</v>
      </c>
      <c r="BG462" t="s">
        <v>17</v>
      </c>
      <c r="BH462" t="s">
        <v>0</v>
      </c>
      <c r="BI462" t="s">
        <v>11</v>
      </c>
      <c r="BJ462" t="s">
        <v>0</v>
      </c>
      <c r="BK462" t="s">
        <v>0</v>
      </c>
      <c r="BL462" s="5">
        <v>0</v>
      </c>
      <c r="BM462" t="s">
        <v>0</v>
      </c>
      <c r="BN462" t="s">
        <v>0</v>
      </c>
      <c r="BO462" t="s">
        <v>0</v>
      </c>
      <c r="BP462" t="s">
        <v>17</v>
      </c>
      <c r="BQ462" t="s">
        <v>0</v>
      </c>
      <c r="BR462" t="s">
        <v>17</v>
      </c>
      <c r="BS462" t="s">
        <v>17</v>
      </c>
      <c r="BT462" t="s">
        <v>0</v>
      </c>
      <c r="BU462" t="s">
        <v>0</v>
      </c>
      <c r="BV462" t="s">
        <v>0</v>
      </c>
      <c r="BW462" t="s">
        <v>0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</row>
    <row r="463" spans="1:80" ht="13.95" customHeight="1" x14ac:dyDescent="0.25">
      <c r="A463" t="s">
        <v>370</v>
      </c>
      <c r="B463" s="2">
        <v>45728</v>
      </c>
      <c r="C463" s="2"/>
      <c r="D463" s="2"/>
      <c r="E463" t="s">
        <v>2</v>
      </c>
      <c r="F463" t="s">
        <v>3</v>
      </c>
      <c r="G463" t="s">
        <v>0</v>
      </c>
      <c r="H463" t="s">
        <v>4</v>
      </c>
      <c r="I463" t="s">
        <v>363</v>
      </c>
      <c r="J463" t="s">
        <v>6</v>
      </c>
      <c r="K463" t="s">
        <v>87</v>
      </c>
      <c r="L463" t="s">
        <v>39</v>
      </c>
      <c r="M463" t="s">
        <v>40</v>
      </c>
      <c r="N463" t="s">
        <v>10</v>
      </c>
      <c r="O463" t="s">
        <v>0</v>
      </c>
      <c r="P463" t="s">
        <v>11</v>
      </c>
      <c r="Q463" s="5">
        <v>25</v>
      </c>
      <c r="R463" s="4">
        <v>54750</v>
      </c>
      <c r="S463" s="5">
        <v>1</v>
      </c>
      <c r="T463" s="4">
        <v>1368750</v>
      </c>
      <c r="U463" s="5">
        <v>0</v>
      </c>
      <c r="V463" s="4">
        <v>0</v>
      </c>
      <c r="W463" s="5">
        <v>0</v>
      </c>
      <c r="X463" s="4">
        <v>0</v>
      </c>
      <c r="Y463" s="4">
        <f t="shared" si="14"/>
        <v>1368750</v>
      </c>
      <c r="Z463" s="6" t="s">
        <v>0</v>
      </c>
      <c r="AA463" t="s">
        <v>2</v>
      </c>
      <c r="AB463" t="s">
        <v>12</v>
      </c>
      <c r="AC463">
        <f>_xlfn.XLOOKUP(AB463,'[1]GST Codes'!$A:$A,'[1]GST Codes'!$C:$C,0,0)</f>
        <v>18</v>
      </c>
      <c r="AD463">
        <f t="shared" si="15"/>
        <v>1615125</v>
      </c>
      <c r="AE463" t="s">
        <v>13</v>
      </c>
      <c r="AF463" t="s">
        <v>0</v>
      </c>
      <c r="AG463" t="s">
        <v>14</v>
      </c>
      <c r="AH463" t="s">
        <v>15</v>
      </c>
      <c r="AI463" t="s">
        <v>16</v>
      </c>
      <c r="AJ463" t="s">
        <v>17</v>
      </c>
      <c r="AK463" t="s">
        <v>18</v>
      </c>
      <c r="AL463" t="s">
        <v>19</v>
      </c>
      <c r="AM463" t="s">
        <v>363</v>
      </c>
      <c r="AN463" t="s">
        <v>0</v>
      </c>
      <c r="AO463" t="s">
        <v>0</v>
      </c>
      <c r="AP463" t="s">
        <v>0</v>
      </c>
      <c r="AQ463" s="5">
        <v>25</v>
      </c>
      <c r="AR463" t="s">
        <v>11</v>
      </c>
      <c r="AS463" t="s">
        <v>0</v>
      </c>
      <c r="AT463" t="s">
        <v>17</v>
      </c>
      <c r="AU463" s="4">
        <v>0</v>
      </c>
      <c r="AV463" s="4">
        <v>0</v>
      </c>
      <c r="AW463" s="4">
        <v>0</v>
      </c>
      <c r="AX463" s="4">
        <v>0</v>
      </c>
      <c r="AY463" s="5">
        <v>0</v>
      </c>
      <c r="AZ463" s="5">
        <v>0</v>
      </c>
      <c r="BA463" s="5">
        <v>0</v>
      </c>
      <c r="BB463" s="2"/>
      <c r="BC463" t="s">
        <v>0</v>
      </c>
      <c r="BD463" s="5">
        <v>1</v>
      </c>
      <c r="BE463" t="s">
        <v>0</v>
      </c>
      <c r="BF463" t="s">
        <v>368</v>
      </c>
      <c r="BG463" t="s">
        <v>17</v>
      </c>
      <c r="BH463" t="s">
        <v>0</v>
      </c>
      <c r="BI463" t="s">
        <v>11</v>
      </c>
      <c r="BJ463" t="s">
        <v>0</v>
      </c>
      <c r="BK463" t="s">
        <v>0</v>
      </c>
      <c r="BL463" s="5">
        <v>0</v>
      </c>
      <c r="BM463" t="s">
        <v>0</v>
      </c>
      <c r="BN463" t="s">
        <v>0</v>
      </c>
      <c r="BO463" t="s">
        <v>0</v>
      </c>
      <c r="BP463" t="s">
        <v>17</v>
      </c>
      <c r="BQ463" t="s">
        <v>0</v>
      </c>
      <c r="BR463" t="s">
        <v>17</v>
      </c>
      <c r="BS463" t="s">
        <v>17</v>
      </c>
      <c r="BT463" t="s">
        <v>0</v>
      </c>
      <c r="BU463" t="s">
        <v>0</v>
      </c>
      <c r="BV463" t="s">
        <v>0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</row>
    <row r="464" spans="1:80" ht="13.95" customHeight="1" x14ac:dyDescent="0.25">
      <c r="A464" t="s">
        <v>370</v>
      </c>
      <c r="B464" s="2">
        <v>45728</v>
      </c>
      <c r="C464" s="2"/>
      <c r="D464" s="2"/>
      <c r="E464" t="s">
        <v>2</v>
      </c>
      <c r="F464" t="s">
        <v>3</v>
      </c>
      <c r="G464" t="s">
        <v>0</v>
      </c>
      <c r="H464" t="s">
        <v>4</v>
      </c>
      <c r="I464" t="s">
        <v>363</v>
      </c>
      <c r="J464" t="s">
        <v>6</v>
      </c>
      <c r="K464" t="s">
        <v>88</v>
      </c>
      <c r="L464" t="s">
        <v>39</v>
      </c>
      <c r="M464" t="s">
        <v>40</v>
      </c>
      <c r="N464" t="s">
        <v>10</v>
      </c>
      <c r="O464" t="s">
        <v>0</v>
      </c>
      <c r="P464" t="s">
        <v>11</v>
      </c>
      <c r="Q464" s="5">
        <v>25</v>
      </c>
      <c r="R464" s="4">
        <v>54750</v>
      </c>
      <c r="S464" s="5">
        <v>1</v>
      </c>
      <c r="T464" s="4">
        <v>1368750</v>
      </c>
      <c r="U464" s="5">
        <v>0</v>
      </c>
      <c r="V464" s="4">
        <v>0</v>
      </c>
      <c r="W464" s="5">
        <v>0</v>
      </c>
      <c r="X464" s="4">
        <v>0</v>
      </c>
      <c r="Y464" s="4">
        <f t="shared" si="14"/>
        <v>1368750</v>
      </c>
      <c r="Z464" s="6" t="s">
        <v>0</v>
      </c>
      <c r="AA464" t="s">
        <v>2</v>
      </c>
      <c r="AB464" t="s">
        <v>12</v>
      </c>
      <c r="AC464">
        <f>_xlfn.XLOOKUP(AB464,'[1]GST Codes'!$A:$A,'[1]GST Codes'!$C:$C,0,0)</f>
        <v>18</v>
      </c>
      <c r="AD464">
        <f t="shared" si="15"/>
        <v>1615125</v>
      </c>
      <c r="AE464" t="s">
        <v>13</v>
      </c>
      <c r="AF464" t="s">
        <v>0</v>
      </c>
      <c r="AG464" t="s">
        <v>14</v>
      </c>
      <c r="AH464" t="s">
        <v>15</v>
      </c>
      <c r="AI464" t="s">
        <v>16</v>
      </c>
      <c r="AJ464" t="s">
        <v>17</v>
      </c>
      <c r="AK464" t="s">
        <v>18</v>
      </c>
      <c r="AL464" t="s">
        <v>19</v>
      </c>
      <c r="AM464" t="s">
        <v>363</v>
      </c>
      <c r="AN464" t="s">
        <v>0</v>
      </c>
      <c r="AO464" t="s">
        <v>0</v>
      </c>
      <c r="AP464" t="s">
        <v>0</v>
      </c>
      <c r="AQ464" s="5">
        <v>25</v>
      </c>
      <c r="AR464" t="s">
        <v>11</v>
      </c>
      <c r="AS464" t="s">
        <v>0</v>
      </c>
      <c r="AT464" t="s">
        <v>17</v>
      </c>
      <c r="AU464" s="4">
        <v>0</v>
      </c>
      <c r="AV464" s="4">
        <v>0</v>
      </c>
      <c r="AW464" s="4">
        <v>0</v>
      </c>
      <c r="AX464" s="4">
        <v>0</v>
      </c>
      <c r="AY464" s="5">
        <v>0</v>
      </c>
      <c r="AZ464" s="5">
        <v>0</v>
      </c>
      <c r="BA464" s="5">
        <v>0</v>
      </c>
      <c r="BB464" s="2"/>
      <c r="BC464" t="s">
        <v>0</v>
      </c>
      <c r="BD464" s="5">
        <v>1</v>
      </c>
      <c r="BE464" t="s">
        <v>0</v>
      </c>
      <c r="BF464" t="s">
        <v>368</v>
      </c>
      <c r="BG464" t="s">
        <v>17</v>
      </c>
      <c r="BH464" t="s">
        <v>0</v>
      </c>
      <c r="BI464" t="s">
        <v>11</v>
      </c>
      <c r="BJ464" t="s">
        <v>0</v>
      </c>
      <c r="BK464" t="s">
        <v>0</v>
      </c>
      <c r="BL464" s="5">
        <v>0</v>
      </c>
      <c r="BM464" t="s">
        <v>0</v>
      </c>
      <c r="BN464" t="s">
        <v>0</v>
      </c>
      <c r="BO464" t="s">
        <v>0</v>
      </c>
      <c r="BP464" t="s">
        <v>17</v>
      </c>
      <c r="BQ464" t="s">
        <v>0</v>
      </c>
      <c r="BR464" t="s">
        <v>17</v>
      </c>
      <c r="BS464" t="s">
        <v>17</v>
      </c>
      <c r="BT464" t="s">
        <v>0</v>
      </c>
      <c r="BU464" t="s">
        <v>0</v>
      </c>
      <c r="BV464" t="s">
        <v>0</v>
      </c>
      <c r="BW464" t="s">
        <v>0</v>
      </c>
      <c r="BX464" t="s">
        <v>0</v>
      </c>
      <c r="BY464" t="s">
        <v>0</v>
      </c>
      <c r="BZ464" t="s">
        <v>0</v>
      </c>
      <c r="CA464" t="s">
        <v>0</v>
      </c>
      <c r="CB464" t="s">
        <v>0</v>
      </c>
    </row>
    <row r="465" spans="1:80" ht="13.95" customHeight="1" x14ac:dyDescent="0.25">
      <c r="A465" t="s">
        <v>370</v>
      </c>
      <c r="B465" s="2">
        <v>45728</v>
      </c>
      <c r="C465" s="2"/>
      <c r="D465" s="2"/>
      <c r="E465" t="s">
        <v>2</v>
      </c>
      <c r="F465" t="s">
        <v>3</v>
      </c>
      <c r="G465" t="s">
        <v>0</v>
      </c>
      <c r="H465" t="s">
        <v>4</v>
      </c>
      <c r="I465" t="s">
        <v>363</v>
      </c>
      <c r="J465" t="s">
        <v>6</v>
      </c>
      <c r="K465" t="s">
        <v>89</v>
      </c>
      <c r="L465" t="s">
        <v>39</v>
      </c>
      <c r="M465" t="s">
        <v>40</v>
      </c>
      <c r="N465" t="s">
        <v>10</v>
      </c>
      <c r="O465" t="s">
        <v>0</v>
      </c>
      <c r="P465" t="s">
        <v>11</v>
      </c>
      <c r="Q465" s="5">
        <v>30</v>
      </c>
      <c r="R465" s="4">
        <v>54750</v>
      </c>
      <c r="S465" s="5">
        <v>1</v>
      </c>
      <c r="T465" s="4">
        <v>1642500</v>
      </c>
      <c r="U465" s="5">
        <v>0</v>
      </c>
      <c r="V465" s="4">
        <v>0</v>
      </c>
      <c r="W465" s="5">
        <v>0</v>
      </c>
      <c r="X465" s="4">
        <v>0</v>
      </c>
      <c r="Y465" s="4">
        <f t="shared" si="14"/>
        <v>1642500</v>
      </c>
      <c r="Z465" s="6" t="s">
        <v>0</v>
      </c>
      <c r="AA465" t="s">
        <v>2</v>
      </c>
      <c r="AB465" t="s">
        <v>12</v>
      </c>
      <c r="AC465">
        <f>_xlfn.XLOOKUP(AB465,'[1]GST Codes'!$A:$A,'[1]GST Codes'!$C:$C,0,0)</f>
        <v>18</v>
      </c>
      <c r="AD465">
        <f t="shared" si="15"/>
        <v>1938150</v>
      </c>
      <c r="AE465" t="s">
        <v>13</v>
      </c>
      <c r="AF465" t="s">
        <v>0</v>
      </c>
      <c r="AG465" t="s">
        <v>14</v>
      </c>
      <c r="AH465" t="s">
        <v>15</v>
      </c>
      <c r="AI465" t="s">
        <v>16</v>
      </c>
      <c r="AJ465" t="s">
        <v>17</v>
      </c>
      <c r="AK465" t="s">
        <v>18</v>
      </c>
      <c r="AL465" t="s">
        <v>19</v>
      </c>
      <c r="AM465" t="s">
        <v>363</v>
      </c>
      <c r="AN465" t="s">
        <v>0</v>
      </c>
      <c r="AO465" t="s">
        <v>0</v>
      </c>
      <c r="AP465" t="s">
        <v>0</v>
      </c>
      <c r="AQ465" s="5">
        <v>30</v>
      </c>
      <c r="AR465" t="s">
        <v>11</v>
      </c>
      <c r="AS465" t="s">
        <v>0</v>
      </c>
      <c r="AT465" t="s">
        <v>17</v>
      </c>
      <c r="AU465" s="4">
        <v>0</v>
      </c>
      <c r="AV465" s="4">
        <v>0</v>
      </c>
      <c r="AW465" s="4">
        <v>0</v>
      </c>
      <c r="AX465" s="4">
        <v>0</v>
      </c>
      <c r="AY465" s="5">
        <v>0</v>
      </c>
      <c r="AZ465" s="5">
        <v>0</v>
      </c>
      <c r="BA465" s="5">
        <v>0</v>
      </c>
      <c r="BB465" s="2"/>
      <c r="BC465" t="s">
        <v>0</v>
      </c>
      <c r="BD465" s="5">
        <v>1</v>
      </c>
      <c r="BE465" t="s">
        <v>0</v>
      </c>
      <c r="BF465" t="s">
        <v>368</v>
      </c>
      <c r="BG465" t="s">
        <v>17</v>
      </c>
      <c r="BH465" t="s">
        <v>0</v>
      </c>
      <c r="BI465" t="s">
        <v>11</v>
      </c>
      <c r="BJ465" t="s">
        <v>0</v>
      </c>
      <c r="BK465" t="s">
        <v>0</v>
      </c>
      <c r="BL465" s="5">
        <v>0</v>
      </c>
      <c r="BM465" t="s">
        <v>0</v>
      </c>
      <c r="BN465" t="s">
        <v>0</v>
      </c>
      <c r="BO465" t="s">
        <v>0</v>
      </c>
      <c r="BP465" t="s">
        <v>17</v>
      </c>
      <c r="BQ465" t="s">
        <v>0</v>
      </c>
      <c r="BR465" t="s">
        <v>17</v>
      </c>
      <c r="BS465" t="s">
        <v>17</v>
      </c>
      <c r="BT465" t="s">
        <v>0</v>
      </c>
      <c r="BU465" t="s">
        <v>0</v>
      </c>
      <c r="BV465" t="s">
        <v>0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</row>
    <row r="466" spans="1:80" ht="13.95" customHeight="1" x14ac:dyDescent="0.25">
      <c r="A466" t="s">
        <v>370</v>
      </c>
      <c r="B466" s="2">
        <v>45728</v>
      </c>
      <c r="C466" s="2"/>
      <c r="D466" s="2"/>
      <c r="E466" t="s">
        <v>2</v>
      </c>
      <c r="F466" t="s">
        <v>3</v>
      </c>
      <c r="G466" t="s">
        <v>0</v>
      </c>
      <c r="H466" t="s">
        <v>4</v>
      </c>
      <c r="I466" t="s">
        <v>363</v>
      </c>
      <c r="J466" t="s">
        <v>6</v>
      </c>
      <c r="K466" t="s">
        <v>90</v>
      </c>
      <c r="L466" t="s">
        <v>39</v>
      </c>
      <c r="M466" t="s">
        <v>40</v>
      </c>
      <c r="N466" t="s">
        <v>10</v>
      </c>
      <c r="O466" t="s">
        <v>0</v>
      </c>
      <c r="P466" t="s">
        <v>11</v>
      </c>
      <c r="Q466" s="5">
        <v>30</v>
      </c>
      <c r="R466" s="4">
        <v>54750</v>
      </c>
      <c r="S466" s="5">
        <v>1</v>
      </c>
      <c r="T466" s="4">
        <v>1642500</v>
      </c>
      <c r="U466" s="5">
        <v>0</v>
      </c>
      <c r="V466" s="4">
        <v>0</v>
      </c>
      <c r="W466" s="5">
        <v>0</v>
      </c>
      <c r="X466" s="4">
        <v>0</v>
      </c>
      <c r="Y466" s="4">
        <f t="shared" si="14"/>
        <v>1642500</v>
      </c>
      <c r="Z466" s="6" t="s">
        <v>0</v>
      </c>
      <c r="AA466" t="s">
        <v>2</v>
      </c>
      <c r="AB466" t="s">
        <v>12</v>
      </c>
      <c r="AC466">
        <f>_xlfn.XLOOKUP(AB466,'[1]GST Codes'!$A:$A,'[1]GST Codes'!$C:$C,0,0)</f>
        <v>18</v>
      </c>
      <c r="AD466">
        <f t="shared" si="15"/>
        <v>1938150</v>
      </c>
      <c r="AE466" t="s">
        <v>13</v>
      </c>
      <c r="AF466" t="s">
        <v>0</v>
      </c>
      <c r="AG466" t="s">
        <v>14</v>
      </c>
      <c r="AH466" t="s">
        <v>15</v>
      </c>
      <c r="AI466" t="s">
        <v>16</v>
      </c>
      <c r="AJ466" t="s">
        <v>17</v>
      </c>
      <c r="AK466" t="s">
        <v>18</v>
      </c>
      <c r="AL466" t="s">
        <v>19</v>
      </c>
      <c r="AM466" t="s">
        <v>363</v>
      </c>
      <c r="AN466" t="s">
        <v>0</v>
      </c>
      <c r="AO466" t="s">
        <v>0</v>
      </c>
      <c r="AP466" t="s">
        <v>0</v>
      </c>
      <c r="AQ466" s="5">
        <v>30</v>
      </c>
      <c r="AR466" t="s">
        <v>11</v>
      </c>
      <c r="AS466" t="s">
        <v>0</v>
      </c>
      <c r="AT466" t="s">
        <v>17</v>
      </c>
      <c r="AU466" s="4">
        <v>0</v>
      </c>
      <c r="AV466" s="4">
        <v>0</v>
      </c>
      <c r="AW466" s="4">
        <v>0</v>
      </c>
      <c r="AX466" s="4">
        <v>0</v>
      </c>
      <c r="AY466" s="5">
        <v>0</v>
      </c>
      <c r="AZ466" s="5">
        <v>0</v>
      </c>
      <c r="BA466" s="5">
        <v>0</v>
      </c>
      <c r="BB466" s="2"/>
      <c r="BC466" t="s">
        <v>0</v>
      </c>
      <c r="BD466" s="5">
        <v>1</v>
      </c>
      <c r="BE466" t="s">
        <v>0</v>
      </c>
      <c r="BF466" t="s">
        <v>368</v>
      </c>
      <c r="BG466" t="s">
        <v>17</v>
      </c>
      <c r="BH466" t="s">
        <v>0</v>
      </c>
      <c r="BI466" t="s">
        <v>11</v>
      </c>
      <c r="BJ466" t="s">
        <v>0</v>
      </c>
      <c r="BK466" t="s">
        <v>0</v>
      </c>
      <c r="BL466" s="5">
        <v>0</v>
      </c>
      <c r="BM466" t="s">
        <v>0</v>
      </c>
      <c r="BN466" t="s">
        <v>0</v>
      </c>
      <c r="BO466" t="s">
        <v>0</v>
      </c>
      <c r="BP466" t="s">
        <v>17</v>
      </c>
      <c r="BQ466" t="s">
        <v>0</v>
      </c>
      <c r="BR466" t="s">
        <v>17</v>
      </c>
      <c r="BS466" t="s">
        <v>17</v>
      </c>
      <c r="BT466" t="s">
        <v>0</v>
      </c>
      <c r="BU466" t="s">
        <v>0</v>
      </c>
      <c r="BV466" t="s">
        <v>0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</row>
    <row r="467" spans="1:80" ht="13.95" customHeight="1" x14ac:dyDescent="0.25">
      <c r="A467" t="s">
        <v>370</v>
      </c>
      <c r="B467" s="2">
        <v>45728</v>
      </c>
      <c r="C467" s="2"/>
      <c r="D467" s="2"/>
      <c r="E467" t="s">
        <v>2</v>
      </c>
      <c r="F467" t="s">
        <v>3</v>
      </c>
      <c r="G467" t="s">
        <v>0</v>
      </c>
      <c r="H467" t="s">
        <v>4</v>
      </c>
      <c r="I467" t="s">
        <v>363</v>
      </c>
      <c r="J467" t="s">
        <v>6</v>
      </c>
      <c r="K467" t="s">
        <v>177</v>
      </c>
      <c r="L467" t="s">
        <v>43</v>
      </c>
      <c r="M467" t="s">
        <v>44</v>
      </c>
      <c r="N467" t="s">
        <v>10</v>
      </c>
      <c r="O467" t="s">
        <v>0</v>
      </c>
      <c r="P467" t="s">
        <v>11</v>
      </c>
      <c r="Q467" s="5">
        <v>30</v>
      </c>
      <c r="R467" s="4">
        <v>54750</v>
      </c>
      <c r="S467" s="5">
        <v>1</v>
      </c>
      <c r="T467" s="4">
        <v>1642500</v>
      </c>
      <c r="U467" s="5">
        <v>0</v>
      </c>
      <c r="V467" s="4">
        <v>0</v>
      </c>
      <c r="W467" s="5">
        <v>0</v>
      </c>
      <c r="X467" s="4">
        <v>0</v>
      </c>
      <c r="Y467" s="4">
        <f t="shared" si="14"/>
        <v>1642500</v>
      </c>
      <c r="Z467" s="6" t="s">
        <v>0</v>
      </c>
      <c r="AA467" t="s">
        <v>2</v>
      </c>
      <c r="AB467" t="s">
        <v>12</v>
      </c>
      <c r="AC467">
        <f>_xlfn.XLOOKUP(AB467,'[1]GST Codes'!$A:$A,'[1]GST Codes'!$C:$C,0,0)</f>
        <v>18</v>
      </c>
      <c r="AD467">
        <f t="shared" si="15"/>
        <v>1938150</v>
      </c>
      <c r="AE467" t="s">
        <v>13</v>
      </c>
      <c r="AF467" t="s">
        <v>0</v>
      </c>
      <c r="AG467" t="s">
        <v>14</v>
      </c>
      <c r="AH467" t="s">
        <v>15</v>
      </c>
      <c r="AI467" t="s">
        <v>16</v>
      </c>
      <c r="AJ467" t="s">
        <v>17</v>
      </c>
      <c r="AK467" t="s">
        <v>18</v>
      </c>
      <c r="AL467" t="s">
        <v>19</v>
      </c>
      <c r="AM467" t="s">
        <v>363</v>
      </c>
      <c r="AN467" t="s">
        <v>0</v>
      </c>
      <c r="AO467" t="s">
        <v>0</v>
      </c>
      <c r="AP467" t="s">
        <v>0</v>
      </c>
      <c r="AQ467" s="5">
        <v>30</v>
      </c>
      <c r="AR467" t="s">
        <v>11</v>
      </c>
      <c r="AS467" t="s">
        <v>0</v>
      </c>
      <c r="AT467" t="s">
        <v>17</v>
      </c>
      <c r="AU467" s="4">
        <v>0</v>
      </c>
      <c r="AV467" s="4">
        <v>0</v>
      </c>
      <c r="AW467" s="4">
        <v>0</v>
      </c>
      <c r="AX467" s="4">
        <v>0</v>
      </c>
      <c r="AY467" s="5">
        <v>0</v>
      </c>
      <c r="AZ467" s="5">
        <v>0</v>
      </c>
      <c r="BA467" s="5">
        <v>0</v>
      </c>
      <c r="BB467" s="2"/>
      <c r="BC467" t="s">
        <v>0</v>
      </c>
      <c r="BD467" s="5">
        <v>1</v>
      </c>
      <c r="BE467" t="s">
        <v>0</v>
      </c>
      <c r="BF467" t="s">
        <v>364</v>
      </c>
      <c r="BG467" t="s">
        <v>17</v>
      </c>
      <c r="BH467" t="s">
        <v>0</v>
      </c>
      <c r="BI467" t="s">
        <v>11</v>
      </c>
      <c r="BJ467" t="s">
        <v>0</v>
      </c>
      <c r="BK467" t="s">
        <v>0</v>
      </c>
      <c r="BL467" s="5">
        <v>0</v>
      </c>
      <c r="BM467" t="s">
        <v>0</v>
      </c>
      <c r="BN467" t="s">
        <v>0</v>
      </c>
      <c r="BO467" t="s">
        <v>0</v>
      </c>
      <c r="BP467" t="s">
        <v>17</v>
      </c>
      <c r="BQ467" t="s">
        <v>0</v>
      </c>
      <c r="BR467" t="s">
        <v>17</v>
      </c>
      <c r="BS467" t="s">
        <v>17</v>
      </c>
      <c r="BT467" t="s">
        <v>0</v>
      </c>
      <c r="BU467" t="s">
        <v>0</v>
      </c>
      <c r="BV467" t="s">
        <v>0</v>
      </c>
      <c r="BW467" t="s">
        <v>0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</row>
    <row r="468" spans="1:80" ht="13.95" customHeight="1" x14ac:dyDescent="0.25">
      <c r="A468" t="s">
        <v>370</v>
      </c>
      <c r="B468" s="2">
        <v>45728</v>
      </c>
      <c r="C468" s="2"/>
      <c r="D468" s="2"/>
      <c r="E468" t="s">
        <v>2</v>
      </c>
      <c r="F468" t="s">
        <v>3</v>
      </c>
      <c r="G468" t="s">
        <v>0</v>
      </c>
      <c r="H468" t="s">
        <v>4</v>
      </c>
      <c r="I468" t="s">
        <v>363</v>
      </c>
      <c r="J468" t="s">
        <v>6</v>
      </c>
      <c r="K468" t="s">
        <v>181</v>
      </c>
      <c r="L468" t="s">
        <v>43</v>
      </c>
      <c r="M468" t="s">
        <v>44</v>
      </c>
      <c r="N468" t="s">
        <v>10</v>
      </c>
      <c r="O468" t="s">
        <v>0</v>
      </c>
      <c r="P468" t="s">
        <v>11</v>
      </c>
      <c r="Q468" s="5">
        <v>30</v>
      </c>
      <c r="R468" s="4">
        <v>54750</v>
      </c>
      <c r="S468" s="5">
        <v>1</v>
      </c>
      <c r="T468" s="4">
        <v>1642500</v>
      </c>
      <c r="U468" s="5">
        <v>0</v>
      </c>
      <c r="V468" s="4">
        <v>0</v>
      </c>
      <c r="W468" s="5">
        <v>0</v>
      </c>
      <c r="X468" s="4">
        <v>0</v>
      </c>
      <c r="Y468" s="4">
        <f t="shared" si="14"/>
        <v>1642500</v>
      </c>
      <c r="Z468" s="6" t="s">
        <v>0</v>
      </c>
      <c r="AA468" t="s">
        <v>2</v>
      </c>
      <c r="AB468" t="s">
        <v>12</v>
      </c>
      <c r="AC468">
        <f>_xlfn.XLOOKUP(AB468,'[1]GST Codes'!$A:$A,'[1]GST Codes'!$C:$C,0,0)</f>
        <v>18</v>
      </c>
      <c r="AD468">
        <f t="shared" si="15"/>
        <v>1938150</v>
      </c>
      <c r="AE468" t="s">
        <v>13</v>
      </c>
      <c r="AF468" t="s">
        <v>0</v>
      </c>
      <c r="AG468" t="s">
        <v>14</v>
      </c>
      <c r="AH468" t="s">
        <v>15</v>
      </c>
      <c r="AI468" t="s">
        <v>16</v>
      </c>
      <c r="AJ468" t="s">
        <v>17</v>
      </c>
      <c r="AK468" t="s">
        <v>18</v>
      </c>
      <c r="AL468" t="s">
        <v>19</v>
      </c>
      <c r="AM468" t="s">
        <v>363</v>
      </c>
      <c r="AN468" t="s">
        <v>0</v>
      </c>
      <c r="AO468" t="s">
        <v>0</v>
      </c>
      <c r="AP468" t="s">
        <v>0</v>
      </c>
      <c r="AQ468" s="5">
        <v>30</v>
      </c>
      <c r="AR468" t="s">
        <v>11</v>
      </c>
      <c r="AS468" t="s">
        <v>0</v>
      </c>
      <c r="AT468" t="s">
        <v>17</v>
      </c>
      <c r="AU468" s="4">
        <v>0</v>
      </c>
      <c r="AV468" s="4">
        <v>0</v>
      </c>
      <c r="AW468" s="4">
        <v>0</v>
      </c>
      <c r="AX468" s="4">
        <v>0</v>
      </c>
      <c r="AY468" s="5">
        <v>0</v>
      </c>
      <c r="AZ468" s="5">
        <v>0</v>
      </c>
      <c r="BA468" s="5">
        <v>0</v>
      </c>
      <c r="BB468" s="2"/>
      <c r="BC468" t="s">
        <v>0</v>
      </c>
      <c r="BD468" s="5">
        <v>1</v>
      </c>
      <c r="BE468" t="s">
        <v>0</v>
      </c>
      <c r="BF468" t="s">
        <v>364</v>
      </c>
      <c r="BG468" t="s">
        <v>17</v>
      </c>
      <c r="BH468" t="s">
        <v>0</v>
      </c>
      <c r="BI468" t="s">
        <v>11</v>
      </c>
      <c r="BJ468" t="s">
        <v>0</v>
      </c>
      <c r="BK468" t="s">
        <v>0</v>
      </c>
      <c r="BL468" s="5">
        <v>0</v>
      </c>
      <c r="BM468" t="s">
        <v>0</v>
      </c>
      <c r="BN468" t="s">
        <v>0</v>
      </c>
      <c r="BO468" t="s">
        <v>0</v>
      </c>
      <c r="BP468" t="s">
        <v>17</v>
      </c>
      <c r="BQ468" t="s">
        <v>0</v>
      </c>
      <c r="BR468" t="s">
        <v>17</v>
      </c>
      <c r="BS468" t="s">
        <v>17</v>
      </c>
      <c r="BT468" t="s">
        <v>0</v>
      </c>
      <c r="BU468" t="s">
        <v>0</v>
      </c>
      <c r="BV468" t="s">
        <v>0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</row>
    <row r="469" spans="1:80" ht="13.95" customHeight="1" x14ac:dyDescent="0.25">
      <c r="A469" t="s">
        <v>370</v>
      </c>
      <c r="B469" s="2">
        <v>45728</v>
      </c>
      <c r="C469" s="2"/>
      <c r="D469" s="2"/>
      <c r="E469" t="s">
        <v>2</v>
      </c>
      <c r="F469" t="s">
        <v>3</v>
      </c>
      <c r="G469" t="s">
        <v>0</v>
      </c>
      <c r="H469" t="s">
        <v>4</v>
      </c>
      <c r="I469" t="s">
        <v>363</v>
      </c>
      <c r="J469" t="s">
        <v>6</v>
      </c>
      <c r="K469" t="s">
        <v>185</v>
      </c>
      <c r="L469" t="s">
        <v>43</v>
      </c>
      <c r="M469" t="s">
        <v>44</v>
      </c>
      <c r="N469" t="s">
        <v>10</v>
      </c>
      <c r="O469" t="s">
        <v>0</v>
      </c>
      <c r="P469" t="s">
        <v>11</v>
      </c>
      <c r="Q469" s="5">
        <v>20</v>
      </c>
      <c r="R469" s="4">
        <v>54750</v>
      </c>
      <c r="S469" s="5">
        <v>1</v>
      </c>
      <c r="T469" s="4">
        <v>1095000</v>
      </c>
      <c r="U469" s="5">
        <v>0</v>
      </c>
      <c r="V469" s="4">
        <v>0</v>
      </c>
      <c r="W469" s="5">
        <v>0</v>
      </c>
      <c r="X469" s="4">
        <v>0</v>
      </c>
      <c r="Y469" s="4">
        <f t="shared" si="14"/>
        <v>1095000</v>
      </c>
      <c r="Z469" s="6" t="s">
        <v>0</v>
      </c>
      <c r="AA469" t="s">
        <v>2</v>
      </c>
      <c r="AB469" t="s">
        <v>12</v>
      </c>
      <c r="AC469">
        <f>_xlfn.XLOOKUP(AB469,'[1]GST Codes'!$A:$A,'[1]GST Codes'!$C:$C,0,0)</f>
        <v>18</v>
      </c>
      <c r="AD469">
        <f t="shared" si="15"/>
        <v>1292100</v>
      </c>
      <c r="AE469" t="s">
        <v>13</v>
      </c>
      <c r="AF469" t="s">
        <v>0</v>
      </c>
      <c r="AG469" t="s">
        <v>14</v>
      </c>
      <c r="AH469" t="s">
        <v>15</v>
      </c>
      <c r="AI469" t="s">
        <v>16</v>
      </c>
      <c r="AJ469" t="s">
        <v>17</v>
      </c>
      <c r="AK469" t="s">
        <v>18</v>
      </c>
      <c r="AL469" t="s">
        <v>19</v>
      </c>
      <c r="AM469" t="s">
        <v>363</v>
      </c>
      <c r="AN469" t="s">
        <v>0</v>
      </c>
      <c r="AO469" t="s">
        <v>0</v>
      </c>
      <c r="AP469" t="s">
        <v>0</v>
      </c>
      <c r="AQ469" s="5">
        <v>20</v>
      </c>
      <c r="AR469" t="s">
        <v>11</v>
      </c>
      <c r="AS469" t="s">
        <v>0</v>
      </c>
      <c r="AT469" t="s">
        <v>17</v>
      </c>
      <c r="AU469" s="4">
        <v>0</v>
      </c>
      <c r="AV469" s="4">
        <v>0</v>
      </c>
      <c r="AW469" s="4">
        <v>0</v>
      </c>
      <c r="AX469" s="4">
        <v>0</v>
      </c>
      <c r="AY469" s="5">
        <v>0</v>
      </c>
      <c r="AZ469" s="5">
        <v>0</v>
      </c>
      <c r="BA469" s="5">
        <v>0</v>
      </c>
      <c r="BB469" s="2"/>
      <c r="BC469" t="s">
        <v>0</v>
      </c>
      <c r="BD469" s="5">
        <v>1</v>
      </c>
      <c r="BE469" t="s">
        <v>0</v>
      </c>
      <c r="BF469" t="s">
        <v>364</v>
      </c>
      <c r="BG469" t="s">
        <v>17</v>
      </c>
      <c r="BH469" t="s">
        <v>0</v>
      </c>
      <c r="BI469" t="s">
        <v>11</v>
      </c>
      <c r="BJ469" t="s">
        <v>0</v>
      </c>
      <c r="BK469" t="s">
        <v>0</v>
      </c>
      <c r="BL469" s="5">
        <v>0</v>
      </c>
      <c r="BM469" t="s">
        <v>0</v>
      </c>
      <c r="BN469" t="s">
        <v>0</v>
      </c>
      <c r="BO469" t="s">
        <v>0</v>
      </c>
      <c r="BP469" t="s">
        <v>17</v>
      </c>
      <c r="BQ469" t="s">
        <v>0</v>
      </c>
      <c r="BR469" t="s">
        <v>17</v>
      </c>
      <c r="BS469" t="s">
        <v>17</v>
      </c>
      <c r="BT469" t="s">
        <v>0</v>
      </c>
      <c r="BU469" t="s">
        <v>0</v>
      </c>
      <c r="BV469" t="s">
        <v>0</v>
      </c>
      <c r="BW469" t="s">
        <v>0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</row>
    <row r="470" spans="1:80" ht="13.95" customHeight="1" x14ac:dyDescent="0.25">
      <c r="A470" t="s">
        <v>370</v>
      </c>
      <c r="B470" s="2">
        <v>45728</v>
      </c>
      <c r="C470" s="2"/>
      <c r="D470" s="2"/>
      <c r="E470" t="s">
        <v>2</v>
      </c>
      <c r="F470" t="s">
        <v>3</v>
      </c>
      <c r="G470" t="s">
        <v>0</v>
      </c>
      <c r="H470" t="s">
        <v>4</v>
      </c>
      <c r="I470" t="s">
        <v>363</v>
      </c>
      <c r="J470" t="s">
        <v>6</v>
      </c>
      <c r="K470" t="s">
        <v>189</v>
      </c>
      <c r="L470" t="s">
        <v>43</v>
      </c>
      <c r="M470" t="s">
        <v>44</v>
      </c>
      <c r="N470" t="s">
        <v>10</v>
      </c>
      <c r="O470" t="s">
        <v>0</v>
      </c>
      <c r="P470" t="s">
        <v>11</v>
      </c>
      <c r="Q470" s="5">
        <v>20</v>
      </c>
      <c r="R470" s="4">
        <v>54750</v>
      </c>
      <c r="S470" s="5">
        <v>1</v>
      </c>
      <c r="T470" s="4">
        <v>1095000</v>
      </c>
      <c r="U470" s="5">
        <v>0</v>
      </c>
      <c r="V470" s="4">
        <v>0</v>
      </c>
      <c r="W470" s="5">
        <v>0</v>
      </c>
      <c r="X470" s="4">
        <v>0</v>
      </c>
      <c r="Y470" s="4">
        <f t="shared" si="14"/>
        <v>1095000</v>
      </c>
      <c r="Z470" s="6" t="s">
        <v>0</v>
      </c>
      <c r="AA470" t="s">
        <v>2</v>
      </c>
      <c r="AB470" t="s">
        <v>12</v>
      </c>
      <c r="AC470">
        <f>_xlfn.XLOOKUP(AB470,'[1]GST Codes'!$A:$A,'[1]GST Codes'!$C:$C,0,0)</f>
        <v>18</v>
      </c>
      <c r="AD470">
        <f t="shared" si="15"/>
        <v>1292100</v>
      </c>
      <c r="AE470" t="s">
        <v>13</v>
      </c>
      <c r="AF470" t="s">
        <v>0</v>
      </c>
      <c r="AG470" t="s">
        <v>14</v>
      </c>
      <c r="AH470" t="s">
        <v>15</v>
      </c>
      <c r="AI470" t="s">
        <v>16</v>
      </c>
      <c r="AJ470" t="s">
        <v>17</v>
      </c>
      <c r="AK470" t="s">
        <v>18</v>
      </c>
      <c r="AL470" t="s">
        <v>19</v>
      </c>
      <c r="AM470" t="s">
        <v>363</v>
      </c>
      <c r="AN470" t="s">
        <v>0</v>
      </c>
      <c r="AO470" t="s">
        <v>0</v>
      </c>
      <c r="AP470" t="s">
        <v>0</v>
      </c>
      <c r="AQ470" s="5">
        <v>20</v>
      </c>
      <c r="AR470" t="s">
        <v>11</v>
      </c>
      <c r="AS470" t="s">
        <v>0</v>
      </c>
      <c r="AT470" t="s">
        <v>17</v>
      </c>
      <c r="AU470" s="4">
        <v>0</v>
      </c>
      <c r="AV470" s="4">
        <v>0</v>
      </c>
      <c r="AW470" s="4">
        <v>0</v>
      </c>
      <c r="AX470" s="4">
        <v>0</v>
      </c>
      <c r="AY470" s="5">
        <v>0</v>
      </c>
      <c r="AZ470" s="5">
        <v>0</v>
      </c>
      <c r="BA470" s="5">
        <v>0</v>
      </c>
      <c r="BB470" s="2"/>
      <c r="BC470" t="s">
        <v>0</v>
      </c>
      <c r="BD470" s="5">
        <v>1</v>
      </c>
      <c r="BE470" t="s">
        <v>0</v>
      </c>
      <c r="BF470" t="s">
        <v>364</v>
      </c>
      <c r="BG470" t="s">
        <v>17</v>
      </c>
      <c r="BH470" t="s">
        <v>0</v>
      </c>
      <c r="BI470" t="s">
        <v>11</v>
      </c>
      <c r="BJ470" t="s">
        <v>0</v>
      </c>
      <c r="BK470" t="s">
        <v>0</v>
      </c>
      <c r="BL470" s="5">
        <v>0</v>
      </c>
      <c r="BM470" t="s">
        <v>0</v>
      </c>
      <c r="BN470" t="s">
        <v>0</v>
      </c>
      <c r="BO470" t="s">
        <v>0</v>
      </c>
      <c r="BP470" t="s">
        <v>17</v>
      </c>
      <c r="BQ470" t="s">
        <v>0</v>
      </c>
      <c r="BR470" t="s">
        <v>17</v>
      </c>
      <c r="BS470" t="s">
        <v>17</v>
      </c>
      <c r="BT470" t="s">
        <v>0</v>
      </c>
      <c r="BU470" t="s">
        <v>0</v>
      </c>
      <c r="BV470" t="s">
        <v>0</v>
      </c>
      <c r="BW470" t="s">
        <v>0</v>
      </c>
      <c r="BX470" t="s">
        <v>0</v>
      </c>
      <c r="BY470" t="s">
        <v>0</v>
      </c>
      <c r="BZ470" t="s">
        <v>0</v>
      </c>
      <c r="CA470" t="s">
        <v>0</v>
      </c>
      <c r="CB470" t="s">
        <v>0</v>
      </c>
    </row>
    <row r="471" spans="1:80" ht="13.95" customHeight="1" x14ac:dyDescent="0.25">
      <c r="A471" t="s">
        <v>370</v>
      </c>
      <c r="B471" s="2">
        <v>45728</v>
      </c>
      <c r="C471" s="2"/>
      <c r="D471" s="2"/>
      <c r="E471" t="s">
        <v>2</v>
      </c>
      <c r="F471" t="s">
        <v>3</v>
      </c>
      <c r="G471" t="s">
        <v>0</v>
      </c>
      <c r="H471" t="s">
        <v>4</v>
      </c>
      <c r="I471" t="s">
        <v>363</v>
      </c>
      <c r="J471" t="s">
        <v>6</v>
      </c>
      <c r="K471" t="s">
        <v>193</v>
      </c>
      <c r="L471" t="s">
        <v>43</v>
      </c>
      <c r="M471" t="s">
        <v>44</v>
      </c>
      <c r="N471" t="s">
        <v>10</v>
      </c>
      <c r="O471" t="s">
        <v>0</v>
      </c>
      <c r="P471" t="s">
        <v>11</v>
      </c>
      <c r="Q471" s="5">
        <v>40</v>
      </c>
      <c r="R471" s="4">
        <v>54750</v>
      </c>
      <c r="S471" s="5">
        <v>1</v>
      </c>
      <c r="T471" s="4">
        <v>2190000</v>
      </c>
      <c r="U471" s="5">
        <v>0</v>
      </c>
      <c r="V471" s="4">
        <v>0</v>
      </c>
      <c r="W471" s="5">
        <v>0</v>
      </c>
      <c r="X471" s="4">
        <v>0</v>
      </c>
      <c r="Y471" s="4">
        <f t="shared" si="14"/>
        <v>2190000</v>
      </c>
      <c r="Z471" s="6" t="s">
        <v>0</v>
      </c>
      <c r="AA471" t="s">
        <v>2</v>
      </c>
      <c r="AB471" t="s">
        <v>12</v>
      </c>
      <c r="AC471">
        <f>_xlfn.XLOOKUP(AB471,'[1]GST Codes'!$A:$A,'[1]GST Codes'!$C:$C,0,0)</f>
        <v>18</v>
      </c>
      <c r="AD471">
        <f t="shared" si="15"/>
        <v>2584200</v>
      </c>
      <c r="AE471" t="s">
        <v>13</v>
      </c>
      <c r="AF471" t="s">
        <v>0</v>
      </c>
      <c r="AG471" t="s">
        <v>14</v>
      </c>
      <c r="AH471" t="s">
        <v>15</v>
      </c>
      <c r="AI471" t="s">
        <v>16</v>
      </c>
      <c r="AJ471" t="s">
        <v>17</v>
      </c>
      <c r="AK471" t="s">
        <v>18</v>
      </c>
      <c r="AL471" t="s">
        <v>19</v>
      </c>
      <c r="AM471" t="s">
        <v>363</v>
      </c>
      <c r="AN471" t="s">
        <v>0</v>
      </c>
      <c r="AO471" t="s">
        <v>0</v>
      </c>
      <c r="AP471" t="s">
        <v>0</v>
      </c>
      <c r="AQ471" s="5">
        <v>40</v>
      </c>
      <c r="AR471" t="s">
        <v>11</v>
      </c>
      <c r="AS471" t="s">
        <v>0</v>
      </c>
      <c r="AT471" t="s">
        <v>17</v>
      </c>
      <c r="AU471" s="4">
        <v>0</v>
      </c>
      <c r="AV471" s="4">
        <v>0</v>
      </c>
      <c r="AW471" s="4">
        <v>0</v>
      </c>
      <c r="AX471" s="4">
        <v>0</v>
      </c>
      <c r="AY471" s="5">
        <v>0</v>
      </c>
      <c r="AZ471" s="5">
        <v>0</v>
      </c>
      <c r="BA471" s="5">
        <v>0</v>
      </c>
      <c r="BB471" s="2"/>
      <c r="BC471" t="s">
        <v>0</v>
      </c>
      <c r="BD471" s="5">
        <v>1</v>
      </c>
      <c r="BE471" t="s">
        <v>0</v>
      </c>
      <c r="BF471" t="s">
        <v>364</v>
      </c>
      <c r="BG471" t="s">
        <v>17</v>
      </c>
      <c r="BH471" t="s">
        <v>0</v>
      </c>
      <c r="BI471" t="s">
        <v>11</v>
      </c>
      <c r="BJ471" t="s">
        <v>0</v>
      </c>
      <c r="BK471" t="s">
        <v>0</v>
      </c>
      <c r="BL471" s="5">
        <v>0</v>
      </c>
      <c r="BM471" t="s">
        <v>0</v>
      </c>
      <c r="BN471" t="s">
        <v>0</v>
      </c>
      <c r="BO471" t="s">
        <v>0</v>
      </c>
      <c r="BP471" t="s">
        <v>17</v>
      </c>
      <c r="BQ471" t="s">
        <v>0</v>
      </c>
      <c r="BR471" t="s">
        <v>17</v>
      </c>
      <c r="BS471" t="s">
        <v>17</v>
      </c>
      <c r="BT471" t="s">
        <v>0</v>
      </c>
      <c r="BU471" t="s">
        <v>0</v>
      </c>
      <c r="BV471" t="s">
        <v>0</v>
      </c>
      <c r="BW471" t="s">
        <v>0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</row>
    <row r="472" spans="1:80" ht="13.95" customHeight="1" x14ac:dyDescent="0.25">
      <c r="A472" t="s">
        <v>370</v>
      </c>
      <c r="B472" s="2">
        <v>45728</v>
      </c>
      <c r="C472" s="2"/>
      <c r="D472" s="2"/>
      <c r="E472" t="s">
        <v>2</v>
      </c>
      <c r="F472" t="s">
        <v>3</v>
      </c>
      <c r="G472" t="s">
        <v>0</v>
      </c>
      <c r="H472" t="s">
        <v>4</v>
      </c>
      <c r="I472" t="s">
        <v>363</v>
      </c>
      <c r="J472" t="s">
        <v>6</v>
      </c>
      <c r="K472" t="s">
        <v>197</v>
      </c>
      <c r="L472" t="s">
        <v>43</v>
      </c>
      <c r="M472" t="s">
        <v>44</v>
      </c>
      <c r="N472" t="s">
        <v>10</v>
      </c>
      <c r="O472" t="s">
        <v>0</v>
      </c>
      <c r="P472" t="s">
        <v>11</v>
      </c>
      <c r="Q472" s="5">
        <v>40</v>
      </c>
      <c r="R472" s="4">
        <v>54750</v>
      </c>
      <c r="S472" s="5">
        <v>1</v>
      </c>
      <c r="T472" s="4">
        <v>2190000</v>
      </c>
      <c r="U472" s="5">
        <v>0</v>
      </c>
      <c r="V472" s="4">
        <v>0</v>
      </c>
      <c r="W472" s="5">
        <v>0</v>
      </c>
      <c r="X472" s="4">
        <v>0</v>
      </c>
      <c r="Y472" s="4">
        <f t="shared" si="14"/>
        <v>2190000</v>
      </c>
      <c r="Z472" s="6" t="s">
        <v>0</v>
      </c>
      <c r="AA472" t="s">
        <v>2</v>
      </c>
      <c r="AB472" t="s">
        <v>12</v>
      </c>
      <c r="AC472">
        <f>_xlfn.XLOOKUP(AB472,'[1]GST Codes'!$A:$A,'[1]GST Codes'!$C:$C,0,0)</f>
        <v>18</v>
      </c>
      <c r="AD472">
        <f t="shared" si="15"/>
        <v>2584200</v>
      </c>
      <c r="AE472" t="s">
        <v>13</v>
      </c>
      <c r="AF472" t="s">
        <v>0</v>
      </c>
      <c r="AG472" t="s">
        <v>14</v>
      </c>
      <c r="AH472" t="s">
        <v>15</v>
      </c>
      <c r="AI472" t="s">
        <v>16</v>
      </c>
      <c r="AJ472" t="s">
        <v>17</v>
      </c>
      <c r="AK472" t="s">
        <v>18</v>
      </c>
      <c r="AL472" t="s">
        <v>19</v>
      </c>
      <c r="AM472" t="s">
        <v>363</v>
      </c>
      <c r="AN472" t="s">
        <v>0</v>
      </c>
      <c r="AO472" t="s">
        <v>0</v>
      </c>
      <c r="AP472" t="s">
        <v>0</v>
      </c>
      <c r="AQ472" s="5">
        <v>40</v>
      </c>
      <c r="AR472" t="s">
        <v>11</v>
      </c>
      <c r="AS472" t="s">
        <v>0</v>
      </c>
      <c r="AT472" t="s">
        <v>17</v>
      </c>
      <c r="AU472" s="4">
        <v>0</v>
      </c>
      <c r="AV472" s="4">
        <v>0</v>
      </c>
      <c r="AW472" s="4">
        <v>0</v>
      </c>
      <c r="AX472" s="4">
        <v>0</v>
      </c>
      <c r="AY472" s="5">
        <v>0</v>
      </c>
      <c r="AZ472" s="5">
        <v>0</v>
      </c>
      <c r="BA472" s="5">
        <v>0</v>
      </c>
      <c r="BB472" s="2"/>
      <c r="BC472" t="s">
        <v>0</v>
      </c>
      <c r="BD472" s="5">
        <v>1</v>
      </c>
      <c r="BE472" t="s">
        <v>0</v>
      </c>
      <c r="BF472" t="s">
        <v>364</v>
      </c>
      <c r="BG472" t="s">
        <v>17</v>
      </c>
      <c r="BH472" t="s">
        <v>0</v>
      </c>
      <c r="BI472" t="s">
        <v>11</v>
      </c>
      <c r="BJ472" t="s">
        <v>0</v>
      </c>
      <c r="BK472" t="s">
        <v>0</v>
      </c>
      <c r="BL472" s="5">
        <v>0</v>
      </c>
      <c r="BM472" t="s">
        <v>0</v>
      </c>
      <c r="BN472" t="s">
        <v>0</v>
      </c>
      <c r="BO472" t="s">
        <v>0</v>
      </c>
      <c r="BP472" t="s">
        <v>17</v>
      </c>
      <c r="BQ472" t="s">
        <v>0</v>
      </c>
      <c r="BR472" t="s">
        <v>17</v>
      </c>
      <c r="BS472" t="s">
        <v>17</v>
      </c>
      <c r="BT472" t="s">
        <v>0</v>
      </c>
      <c r="BU472" t="s">
        <v>0</v>
      </c>
      <c r="BV472" t="s">
        <v>0</v>
      </c>
      <c r="BW472" t="s">
        <v>0</v>
      </c>
      <c r="BX472" t="s">
        <v>0</v>
      </c>
      <c r="BY472" t="s">
        <v>0</v>
      </c>
      <c r="BZ472" t="s">
        <v>0</v>
      </c>
      <c r="CA472" t="s">
        <v>0</v>
      </c>
      <c r="CB472" t="s">
        <v>0</v>
      </c>
    </row>
    <row r="473" spans="1:80" ht="13.95" customHeight="1" x14ac:dyDescent="0.25">
      <c r="A473" t="s">
        <v>370</v>
      </c>
      <c r="B473" s="2">
        <v>45728</v>
      </c>
      <c r="C473" s="2"/>
      <c r="D473" s="2"/>
      <c r="E473" t="s">
        <v>2</v>
      </c>
      <c r="F473" t="s">
        <v>3</v>
      </c>
      <c r="G473" t="s">
        <v>0</v>
      </c>
      <c r="H473" t="s">
        <v>4</v>
      </c>
      <c r="I473" t="s">
        <v>363</v>
      </c>
      <c r="J473" t="s">
        <v>6</v>
      </c>
      <c r="K473" t="s">
        <v>201</v>
      </c>
      <c r="L473" t="s">
        <v>354</v>
      </c>
      <c r="M473" t="s">
        <v>338</v>
      </c>
      <c r="N473" t="s">
        <v>10</v>
      </c>
      <c r="O473" t="s">
        <v>0</v>
      </c>
      <c r="P473" t="s">
        <v>11</v>
      </c>
      <c r="Q473" s="5">
        <v>30</v>
      </c>
      <c r="R473" s="4">
        <v>54750</v>
      </c>
      <c r="S473" s="5">
        <v>1</v>
      </c>
      <c r="T473" s="4">
        <v>1642500</v>
      </c>
      <c r="U473" s="5">
        <v>0</v>
      </c>
      <c r="V473" s="4">
        <v>0</v>
      </c>
      <c r="W473" s="5">
        <v>0</v>
      </c>
      <c r="X473" s="4">
        <v>0</v>
      </c>
      <c r="Y473" s="4">
        <f t="shared" si="14"/>
        <v>1642500</v>
      </c>
      <c r="Z473" s="6" t="s">
        <v>0</v>
      </c>
      <c r="AA473" t="s">
        <v>2</v>
      </c>
      <c r="AB473" t="s">
        <v>12</v>
      </c>
      <c r="AC473">
        <f>_xlfn.XLOOKUP(AB473,'[1]GST Codes'!$A:$A,'[1]GST Codes'!$C:$C,0,0)</f>
        <v>18</v>
      </c>
      <c r="AD473">
        <f t="shared" si="15"/>
        <v>1938150</v>
      </c>
      <c r="AE473" t="s">
        <v>13</v>
      </c>
      <c r="AF473" t="s">
        <v>0</v>
      </c>
      <c r="AG473" t="s">
        <v>14</v>
      </c>
      <c r="AH473" t="s">
        <v>15</v>
      </c>
      <c r="AI473" t="s">
        <v>16</v>
      </c>
      <c r="AJ473" t="s">
        <v>17</v>
      </c>
      <c r="AK473" t="s">
        <v>18</v>
      </c>
      <c r="AL473" t="s">
        <v>19</v>
      </c>
      <c r="AM473" t="s">
        <v>363</v>
      </c>
      <c r="AN473" t="s">
        <v>0</v>
      </c>
      <c r="AO473" t="s">
        <v>0</v>
      </c>
      <c r="AP473" t="s">
        <v>0</v>
      </c>
      <c r="AQ473" s="5">
        <v>30</v>
      </c>
      <c r="AR473" t="s">
        <v>11</v>
      </c>
      <c r="AS473" t="s">
        <v>0</v>
      </c>
      <c r="AT473" t="s">
        <v>17</v>
      </c>
      <c r="AU473" s="4">
        <v>0</v>
      </c>
      <c r="AV473" s="4">
        <v>0</v>
      </c>
      <c r="AW473" s="4">
        <v>0</v>
      </c>
      <c r="AX473" s="4">
        <v>0</v>
      </c>
      <c r="AY473" s="5">
        <v>0</v>
      </c>
      <c r="AZ473" s="5">
        <v>0</v>
      </c>
      <c r="BA473" s="5">
        <v>0</v>
      </c>
      <c r="BB473" s="2"/>
      <c r="BC473" t="s">
        <v>0</v>
      </c>
      <c r="BD473" s="5">
        <v>1</v>
      </c>
      <c r="BE473" t="s">
        <v>0</v>
      </c>
      <c r="BF473" t="s">
        <v>371</v>
      </c>
      <c r="BG473" t="s">
        <v>17</v>
      </c>
      <c r="BH473" t="s">
        <v>0</v>
      </c>
      <c r="BI473" t="s">
        <v>11</v>
      </c>
      <c r="BJ473" t="s">
        <v>0</v>
      </c>
      <c r="BK473" t="s">
        <v>0</v>
      </c>
      <c r="BL473" s="5">
        <v>0</v>
      </c>
      <c r="BM473" t="s">
        <v>0</v>
      </c>
      <c r="BN473" t="s">
        <v>0</v>
      </c>
      <c r="BO473" t="s">
        <v>0</v>
      </c>
      <c r="BP473" t="s">
        <v>17</v>
      </c>
      <c r="BQ473" t="s">
        <v>0</v>
      </c>
      <c r="BR473" t="s">
        <v>17</v>
      </c>
      <c r="BS473" t="s">
        <v>17</v>
      </c>
      <c r="BT473" t="s">
        <v>0</v>
      </c>
      <c r="BU473" t="s">
        <v>0</v>
      </c>
      <c r="BV473" t="s">
        <v>0</v>
      </c>
      <c r="BW473" t="s">
        <v>0</v>
      </c>
      <c r="BX473" t="s">
        <v>0</v>
      </c>
      <c r="BY473" t="s">
        <v>0</v>
      </c>
      <c r="BZ473" t="s">
        <v>0</v>
      </c>
      <c r="CA473" t="s">
        <v>0</v>
      </c>
      <c r="CB473" t="s">
        <v>0</v>
      </c>
    </row>
    <row r="474" spans="1:80" ht="13.95" customHeight="1" x14ac:dyDescent="0.25">
      <c r="A474" t="s">
        <v>370</v>
      </c>
      <c r="B474" s="2">
        <v>45728</v>
      </c>
      <c r="C474" s="2"/>
      <c r="D474" s="2"/>
      <c r="E474" t="s">
        <v>2</v>
      </c>
      <c r="F474" t="s">
        <v>3</v>
      </c>
      <c r="G474" t="s">
        <v>0</v>
      </c>
      <c r="H474" t="s">
        <v>4</v>
      </c>
      <c r="I474" t="s">
        <v>363</v>
      </c>
      <c r="J474" t="s">
        <v>6</v>
      </c>
      <c r="K474" t="s">
        <v>205</v>
      </c>
      <c r="L474" t="s">
        <v>354</v>
      </c>
      <c r="M474" t="s">
        <v>338</v>
      </c>
      <c r="N474" t="s">
        <v>10</v>
      </c>
      <c r="O474" t="s">
        <v>0</v>
      </c>
      <c r="P474" t="s">
        <v>11</v>
      </c>
      <c r="Q474" s="5">
        <v>30</v>
      </c>
      <c r="R474" s="4">
        <v>54750</v>
      </c>
      <c r="S474" s="5">
        <v>1</v>
      </c>
      <c r="T474" s="4">
        <v>1642500</v>
      </c>
      <c r="U474" s="5">
        <v>0</v>
      </c>
      <c r="V474" s="4">
        <v>0</v>
      </c>
      <c r="W474" s="5">
        <v>0</v>
      </c>
      <c r="X474" s="4">
        <v>0</v>
      </c>
      <c r="Y474" s="4">
        <f t="shared" si="14"/>
        <v>1642500</v>
      </c>
      <c r="Z474" s="6" t="s">
        <v>0</v>
      </c>
      <c r="AA474" t="s">
        <v>2</v>
      </c>
      <c r="AB474" t="s">
        <v>12</v>
      </c>
      <c r="AC474">
        <f>_xlfn.XLOOKUP(AB474,'[1]GST Codes'!$A:$A,'[1]GST Codes'!$C:$C,0,0)</f>
        <v>18</v>
      </c>
      <c r="AD474">
        <f t="shared" si="15"/>
        <v>1938150</v>
      </c>
      <c r="AE474" t="s">
        <v>13</v>
      </c>
      <c r="AF474" t="s">
        <v>0</v>
      </c>
      <c r="AG474" t="s">
        <v>14</v>
      </c>
      <c r="AH474" t="s">
        <v>15</v>
      </c>
      <c r="AI474" t="s">
        <v>16</v>
      </c>
      <c r="AJ474" t="s">
        <v>17</v>
      </c>
      <c r="AK474" t="s">
        <v>18</v>
      </c>
      <c r="AL474" t="s">
        <v>19</v>
      </c>
      <c r="AM474" t="s">
        <v>363</v>
      </c>
      <c r="AN474" t="s">
        <v>0</v>
      </c>
      <c r="AO474" t="s">
        <v>0</v>
      </c>
      <c r="AP474" t="s">
        <v>0</v>
      </c>
      <c r="AQ474" s="5">
        <v>30</v>
      </c>
      <c r="AR474" t="s">
        <v>11</v>
      </c>
      <c r="AS474" t="s">
        <v>0</v>
      </c>
      <c r="AT474" t="s">
        <v>17</v>
      </c>
      <c r="AU474" s="4">
        <v>0</v>
      </c>
      <c r="AV474" s="4">
        <v>0</v>
      </c>
      <c r="AW474" s="4">
        <v>0</v>
      </c>
      <c r="AX474" s="4">
        <v>0</v>
      </c>
      <c r="AY474" s="5">
        <v>0</v>
      </c>
      <c r="AZ474" s="5">
        <v>0</v>
      </c>
      <c r="BA474" s="5">
        <v>0</v>
      </c>
      <c r="BB474" s="2"/>
      <c r="BC474" t="s">
        <v>0</v>
      </c>
      <c r="BD474" s="5">
        <v>1</v>
      </c>
      <c r="BE474" t="s">
        <v>0</v>
      </c>
      <c r="BF474" t="s">
        <v>371</v>
      </c>
      <c r="BG474" t="s">
        <v>17</v>
      </c>
      <c r="BH474" t="s">
        <v>0</v>
      </c>
      <c r="BI474" t="s">
        <v>11</v>
      </c>
      <c r="BJ474" t="s">
        <v>0</v>
      </c>
      <c r="BK474" t="s">
        <v>0</v>
      </c>
      <c r="BL474" s="5">
        <v>0</v>
      </c>
      <c r="BM474" t="s">
        <v>0</v>
      </c>
      <c r="BN474" t="s">
        <v>0</v>
      </c>
      <c r="BO474" t="s">
        <v>0</v>
      </c>
      <c r="BP474" t="s">
        <v>17</v>
      </c>
      <c r="BQ474" t="s">
        <v>0</v>
      </c>
      <c r="BR474" t="s">
        <v>17</v>
      </c>
      <c r="BS474" t="s">
        <v>17</v>
      </c>
      <c r="BT474" t="s">
        <v>0</v>
      </c>
      <c r="BU474" t="s">
        <v>0</v>
      </c>
      <c r="BV474" t="s">
        <v>0</v>
      </c>
      <c r="BW474" t="s">
        <v>0</v>
      </c>
      <c r="BX474" t="s">
        <v>0</v>
      </c>
      <c r="BY474" t="s">
        <v>0</v>
      </c>
      <c r="BZ474" t="s">
        <v>0</v>
      </c>
      <c r="CA474" t="s">
        <v>0</v>
      </c>
      <c r="CB474" t="s">
        <v>0</v>
      </c>
    </row>
    <row r="475" spans="1:80" ht="13.95" customHeight="1" x14ac:dyDescent="0.25">
      <c r="A475" t="s">
        <v>372</v>
      </c>
      <c r="B475" s="2">
        <v>45794</v>
      </c>
      <c r="C475" s="2">
        <v>45806</v>
      </c>
      <c r="D475" s="2">
        <v>45837</v>
      </c>
      <c r="E475" t="s">
        <v>2</v>
      </c>
      <c r="F475" t="s">
        <v>3</v>
      </c>
      <c r="G475" t="s">
        <v>0</v>
      </c>
      <c r="H475" t="s">
        <v>4</v>
      </c>
      <c r="I475" t="s">
        <v>363</v>
      </c>
      <c r="J475" t="s">
        <v>6</v>
      </c>
      <c r="K475" t="s">
        <v>7</v>
      </c>
      <c r="L475" t="s">
        <v>43</v>
      </c>
      <c r="M475" t="s">
        <v>44</v>
      </c>
      <c r="N475" t="s">
        <v>10</v>
      </c>
      <c r="O475" t="s">
        <v>0</v>
      </c>
      <c r="P475" t="s">
        <v>11</v>
      </c>
      <c r="Q475" s="5">
        <v>10</v>
      </c>
      <c r="R475" s="4">
        <v>54850</v>
      </c>
      <c r="S475" s="5">
        <v>1</v>
      </c>
      <c r="T475" s="4">
        <v>548500</v>
      </c>
      <c r="U475" s="5">
        <v>0</v>
      </c>
      <c r="V475" s="4">
        <v>0</v>
      </c>
      <c r="W475" s="5">
        <v>0</v>
      </c>
      <c r="X475" s="4">
        <v>0</v>
      </c>
      <c r="Y475" s="4">
        <f t="shared" si="14"/>
        <v>548500</v>
      </c>
      <c r="Z475" s="6" t="s">
        <v>0</v>
      </c>
      <c r="AA475" t="s">
        <v>2</v>
      </c>
      <c r="AB475" t="s">
        <v>12</v>
      </c>
      <c r="AC475">
        <f>_xlfn.XLOOKUP(AB475,'[1]GST Codes'!$A:$A,'[1]GST Codes'!$C:$C,0,0)</f>
        <v>18</v>
      </c>
      <c r="AD475">
        <f t="shared" si="15"/>
        <v>647230</v>
      </c>
      <c r="AE475" t="s">
        <v>13</v>
      </c>
      <c r="AF475" t="s">
        <v>0</v>
      </c>
      <c r="AG475" t="s">
        <v>14</v>
      </c>
      <c r="AH475" t="s">
        <v>15</v>
      </c>
      <c r="AI475" t="s">
        <v>16</v>
      </c>
      <c r="AJ475" t="s">
        <v>17</v>
      </c>
      <c r="AK475" t="s">
        <v>18</v>
      </c>
      <c r="AL475" t="s">
        <v>19</v>
      </c>
      <c r="AM475" t="s">
        <v>363</v>
      </c>
      <c r="AN475" t="s">
        <v>0</v>
      </c>
      <c r="AO475" t="s">
        <v>0</v>
      </c>
      <c r="AP475" t="s">
        <v>0</v>
      </c>
      <c r="AQ475" s="5">
        <v>10</v>
      </c>
      <c r="AR475" t="s">
        <v>11</v>
      </c>
      <c r="AS475" t="s">
        <v>0</v>
      </c>
      <c r="AT475" t="s">
        <v>17</v>
      </c>
      <c r="AU475" s="4">
        <v>0</v>
      </c>
      <c r="AV475" s="4">
        <v>0</v>
      </c>
      <c r="AW475" s="4">
        <v>0</v>
      </c>
      <c r="AX475" s="4">
        <v>0</v>
      </c>
      <c r="AY475" s="5">
        <v>0</v>
      </c>
      <c r="AZ475" s="5">
        <v>0</v>
      </c>
      <c r="BA475" s="5">
        <v>0</v>
      </c>
      <c r="BB475" s="2"/>
      <c r="BC475" t="s">
        <v>0</v>
      </c>
      <c r="BD475" s="5">
        <v>1</v>
      </c>
      <c r="BE475" t="s">
        <v>0</v>
      </c>
      <c r="BF475" t="s">
        <v>364</v>
      </c>
      <c r="BG475" t="s">
        <v>17</v>
      </c>
      <c r="BH475" t="s">
        <v>0</v>
      </c>
      <c r="BI475" t="s">
        <v>11</v>
      </c>
      <c r="BJ475" t="s">
        <v>0</v>
      </c>
      <c r="BK475" t="s">
        <v>0</v>
      </c>
      <c r="BL475" s="5">
        <v>0</v>
      </c>
      <c r="BM475" t="s">
        <v>0</v>
      </c>
      <c r="BN475" t="s">
        <v>0</v>
      </c>
      <c r="BO475" t="s">
        <v>0</v>
      </c>
      <c r="BP475" t="s">
        <v>17</v>
      </c>
      <c r="BQ475" t="s">
        <v>0</v>
      </c>
      <c r="BR475" t="s">
        <v>17</v>
      </c>
      <c r="BS475" t="s">
        <v>17</v>
      </c>
      <c r="BT475" t="s">
        <v>0</v>
      </c>
      <c r="BU475" t="s">
        <v>0</v>
      </c>
      <c r="BV475" t="s">
        <v>0</v>
      </c>
      <c r="BW475" t="s">
        <v>0</v>
      </c>
      <c r="BX475" t="s">
        <v>0</v>
      </c>
      <c r="BY475" t="s">
        <v>0</v>
      </c>
      <c r="BZ475" t="s">
        <v>0</v>
      </c>
      <c r="CA475" t="s">
        <v>0</v>
      </c>
      <c r="CB475" t="s">
        <v>0</v>
      </c>
    </row>
    <row r="476" spans="1:80" ht="13.95" customHeight="1" x14ac:dyDescent="0.25">
      <c r="A476" t="s">
        <v>372</v>
      </c>
      <c r="B476" s="2">
        <v>45794</v>
      </c>
      <c r="C476" s="2">
        <v>45806</v>
      </c>
      <c r="D476" s="2">
        <v>45837</v>
      </c>
      <c r="E476" t="s">
        <v>2</v>
      </c>
      <c r="F476" t="s">
        <v>3</v>
      </c>
      <c r="G476" t="s">
        <v>0</v>
      </c>
      <c r="H476" t="s">
        <v>4</v>
      </c>
      <c r="I476" t="s">
        <v>363</v>
      </c>
      <c r="J476" t="s">
        <v>6</v>
      </c>
      <c r="K476" t="s">
        <v>22</v>
      </c>
      <c r="L476" t="s">
        <v>43</v>
      </c>
      <c r="M476" t="s">
        <v>44</v>
      </c>
      <c r="N476" t="s">
        <v>10</v>
      </c>
      <c r="O476" t="s">
        <v>0</v>
      </c>
      <c r="P476" t="s">
        <v>11</v>
      </c>
      <c r="Q476" s="5">
        <v>10</v>
      </c>
      <c r="R476" s="4">
        <v>54850</v>
      </c>
      <c r="S476" s="5">
        <v>1</v>
      </c>
      <c r="T476" s="4">
        <v>548500</v>
      </c>
      <c r="U476" s="5">
        <v>0</v>
      </c>
      <c r="V476" s="4">
        <v>0</v>
      </c>
      <c r="W476" s="5">
        <v>0</v>
      </c>
      <c r="X476" s="4">
        <v>0</v>
      </c>
      <c r="Y476" s="4">
        <f t="shared" si="14"/>
        <v>548500</v>
      </c>
      <c r="Z476" s="6" t="s">
        <v>0</v>
      </c>
      <c r="AA476" t="s">
        <v>2</v>
      </c>
      <c r="AB476" t="s">
        <v>12</v>
      </c>
      <c r="AC476">
        <f>_xlfn.XLOOKUP(AB476,'[1]GST Codes'!$A:$A,'[1]GST Codes'!$C:$C,0,0)</f>
        <v>18</v>
      </c>
      <c r="AD476">
        <f t="shared" si="15"/>
        <v>647230</v>
      </c>
      <c r="AE476" t="s">
        <v>13</v>
      </c>
      <c r="AF476" t="s">
        <v>0</v>
      </c>
      <c r="AG476" t="s">
        <v>14</v>
      </c>
      <c r="AH476" t="s">
        <v>15</v>
      </c>
      <c r="AI476" t="s">
        <v>16</v>
      </c>
      <c r="AJ476" t="s">
        <v>17</v>
      </c>
      <c r="AK476" t="s">
        <v>18</v>
      </c>
      <c r="AL476" t="s">
        <v>19</v>
      </c>
      <c r="AM476" t="s">
        <v>363</v>
      </c>
      <c r="AN476" t="s">
        <v>0</v>
      </c>
      <c r="AO476" t="s">
        <v>0</v>
      </c>
      <c r="AP476" t="s">
        <v>0</v>
      </c>
      <c r="AQ476" s="5">
        <v>10</v>
      </c>
      <c r="AR476" t="s">
        <v>11</v>
      </c>
      <c r="AS476" t="s">
        <v>0</v>
      </c>
      <c r="AT476" t="s">
        <v>17</v>
      </c>
      <c r="AU476" s="4">
        <v>0</v>
      </c>
      <c r="AV476" s="4">
        <v>0</v>
      </c>
      <c r="AW476" s="4">
        <v>0</v>
      </c>
      <c r="AX476" s="4">
        <v>0</v>
      </c>
      <c r="AY476" s="5">
        <v>0</v>
      </c>
      <c r="AZ476" s="5">
        <v>0</v>
      </c>
      <c r="BA476" s="5">
        <v>0</v>
      </c>
      <c r="BB476" s="2"/>
      <c r="BC476" t="s">
        <v>0</v>
      </c>
      <c r="BD476" s="5">
        <v>1</v>
      </c>
      <c r="BE476" t="s">
        <v>0</v>
      </c>
      <c r="BF476" t="s">
        <v>364</v>
      </c>
      <c r="BG476" t="s">
        <v>17</v>
      </c>
      <c r="BH476" t="s">
        <v>0</v>
      </c>
      <c r="BI476" t="s">
        <v>11</v>
      </c>
      <c r="BJ476" t="s">
        <v>0</v>
      </c>
      <c r="BK476" t="s">
        <v>0</v>
      </c>
      <c r="BL476" s="5">
        <v>0</v>
      </c>
      <c r="BM476" t="s">
        <v>0</v>
      </c>
      <c r="BN476" t="s">
        <v>0</v>
      </c>
      <c r="BO476" t="s">
        <v>0</v>
      </c>
      <c r="BP476" t="s">
        <v>17</v>
      </c>
      <c r="BQ476" t="s">
        <v>0</v>
      </c>
      <c r="BR476" t="s">
        <v>17</v>
      </c>
      <c r="BS476" t="s">
        <v>17</v>
      </c>
      <c r="BT476" t="s">
        <v>0</v>
      </c>
      <c r="BU476" t="s">
        <v>0</v>
      </c>
      <c r="BV476" t="s">
        <v>0</v>
      </c>
      <c r="BW476" t="s">
        <v>0</v>
      </c>
      <c r="BX476" t="s">
        <v>0</v>
      </c>
      <c r="BY476" t="s">
        <v>0</v>
      </c>
      <c r="BZ476" t="s">
        <v>0</v>
      </c>
      <c r="CA476" t="s">
        <v>0</v>
      </c>
      <c r="CB476" t="s">
        <v>0</v>
      </c>
    </row>
    <row r="477" spans="1:80" ht="13.95" customHeight="1" x14ac:dyDescent="0.25">
      <c r="A477" t="s">
        <v>372</v>
      </c>
      <c r="B477" s="2">
        <v>45794</v>
      </c>
      <c r="C477" s="2">
        <v>45806</v>
      </c>
      <c r="D477" s="2">
        <v>45837</v>
      </c>
      <c r="E477" t="s">
        <v>2</v>
      </c>
      <c r="F477" t="s">
        <v>3</v>
      </c>
      <c r="G477" t="s">
        <v>0</v>
      </c>
      <c r="H477" t="s">
        <v>4</v>
      </c>
      <c r="I477" t="s">
        <v>363</v>
      </c>
      <c r="J477" t="s">
        <v>6</v>
      </c>
      <c r="K477" t="s">
        <v>26</v>
      </c>
      <c r="L477" t="s">
        <v>43</v>
      </c>
      <c r="M477" t="s">
        <v>44</v>
      </c>
      <c r="N477" t="s">
        <v>10</v>
      </c>
      <c r="O477" t="s">
        <v>0</v>
      </c>
      <c r="P477" t="s">
        <v>11</v>
      </c>
      <c r="Q477" s="5">
        <v>10</v>
      </c>
      <c r="R477" s="4">
        <v>54850</v>
      </c>
      <c r="S477" s="5">
        <v>1</v>
      </c>
      <c r="T477" s="4">
        <v>548500</v>
      </c>
      <c r="U477" s="5">
        <v>0</v>
      </c>
      <c r="V477" s="4">
        <v>0</v>
      </c>
      <c r="W477" s="5">
        <v>0</v>
      </c>
      <c r="X477" s="4">
        <v>0</v>
      </c>
      <c r="Y477" s="4">
        <f t="shared" si="14"/>
        <v>548500</v>
      </c>
      <c r="Z477" s="6" t="s">
        <v>0</v>
      </c>
      <c r="AA477" t="s">
        <v>2</v>
      </c>
      <c r="AB477" t="s">
        <v>12</v>
      </c>
      <c r="AC477">
        <f>_xlfn.XLOOKUP(AB477,'[1]GST Codes'!$A:$A,'[1]GST Codes'!$C:$C,0,0)</f>
        <v>18</v>
      </c>
      <c r="AD477">
        <f t="shared" si="15"/>
        <v>647230</v>
      </c>
      <c r="AE477" t="s">
        <v>13</v>
      </c>
      <c r="AF477" t="s">
        <v>0</v>
      </c>
      <c r="AG477" t="s">
        <v>14</v>
      </c>
      <c r="AH477" t="s">
        <v>15</v>
      </c>
      <c r="AI477" t="s">
        <v>16</v>
      </c>
      <c r="AJ477" t="s">
        <v>17</v>
      </c>
      <c r="AK477" t="s">
        <v>18</v>
      </c>
      <c r="AL477" t="s">
        <v>19</v>
      </c>
      <c r="AM477" t="s">
        <v>363</v>
      </c>
      <c r="AN477" t="s">
        <v>0</v>
      </c>
      <c r="AO477" t="s">
        <v>0</v>
      </c>
      <c r="AP477" t="s">
        <v>0</v>
      </c>
      <c r="AQ477" s="5">
        <v>10</v>
      </c>
      <c r="AR477" t="s">
        <v>11</v>
      </c>
      <c r="AS477" t="s">
        <v>0</v>
      </c>
      <c r="AT477" t="s">
        <v>17</v>
      </c>
      <c r="AU477" s="4">
        <v>0</v>
      </c>
      <c r="AV477" s="4">
        <v>0</v>
      </c>
      <c r="AW477" s="4">
        <v>0</v>
      </c>
      <c r="AX477" s="4">
        <v>0</v>
      </c>
      <c r="AY477" s="5">
        <v>0</v>
      </c>
      <c r="AZ477" s="5">
        <v>0</v>
      </c>
      <c r="BA477" s="5">
        <v>0</v>
      </c>
      <c r="BB477" s="2"/>
      <c r="BC477" t="s">
        <v>0</v>
      </c>
      <c r="BD477" s="5">
        <v>1</v>
      </c>
      <c r="BE477" t="s">
        <v>0</v>
      </c>
      <c r="BF477" t="s">
        <v>364</v>
      </c>
      <c r="BG477" t="s">
        <v>17</v>
      </c>
      <c r="BH477" t="s">
        <v>0</v>
      </c>
      <c r="BI477" t="s">
        <v>11</v>
      </c>
      <c r="BJ477" t="s">
        <v>0</v>
      </c>
      <c r="BK477" t="s">
        <v>0</v>
      </c>
      <c r="BL477" s="5">
        <v>0</v>
      </c>
      <c r="BM477" t="s">
        <v>0</v>
      </c>
      <c r="BN477" t="s">
        <v>0</v>
      </c>
      <c r="BO477" t="s">
        <v>0</v>
      </c>
      <c r="BP477" t="s">
        <v>17</v>
      </c>
      <c r="BQ477" t="s">
        <v>0</v>
      </c>
      <c r="BR477" t="s">
        <v>17</v>
      </c>
      <c r="BS477" t="s">
        <v>17</v>
      </c>
      <c r="BT477" t="s">
        <v>0</v>
      </c>
      <c r="BU477" t="s">
        <v>0</v>
      </c>
      <c r="BV477" t="s">
        <v>0</v>
      </c>
      <c r="BW477" t="s">
        <v>0</v>
      </c>
      <c r="BX477" t="s">
        <v>0</v>
      </c>
      <c r="BY477" t="s">
        <v>0</v>
      </c>
      <c r="BZ477" t="s">
        <v>0</v>
      </c>
      <c r="CA477" t="s">
        <v>0</v>
      </c>
      <c r="CB477" t="s">
        <v>0</v>
      </c>
    </row>
    <row r="478" spans="1:80" ht="13.95" customHeight="1" x14ac:dyDescent="0.25">
      <c r="A478" t="s">
        <v>372</v>
      </c>
      <c r="B478" s="2">
        <v>45794</v>
      </c>
      <c r="C478" s="2">
        <v>45806</v>
      </c>
      <c r="D478" s="2">
        <v>45837</v>
      </c>
      <c r="E478" t="s">
        <v>2</v>
      </c>
      <c r="F478" t="s">
        <v>3</v>
      </c>
      <c r="G478" t="s">
        <v>0</v>
      </c>
      <c r="H478" t="s">
        <v>4</v>
      </c>
      <c r="I478" t="s">
        <v>363</v>
      </c>
      <c r="J478" t="s">
        <v>6</v>
      </c>
      <c r="K478" t="s">
        <v>30</v>
      </c>
      <c r="L478" t="s">
        <v>43</v>
      </c>
      <c r="M478" t="s">
        <v>44</v>
      </c>
      <c r="N478" t="s">
        <v>10</v>
      </c>
      <c r="O478" t="s">
        <v>0</v>
      </c>
      <c r="P478" t="s">
        <v>11</v>
      </c>
      <c r="Q478" s="5">
        <v>10</v>
      </c>
      <c r="R478" s="4">
        <v>54850</v>
      </c>
      <c r="S478" s="5">
        <v>1</v>
      </c>
      <c r="T478" s="4">
        <v>548500</v>
      </c>
      <c r="U478" s="5">
        <v>0</v>
      </c>
      <c r="V478" s="4">
        <v>0</v>
      </c>
      <c r="W478" s="5">
        <v>0</v>
      </c>
      <c r="X478" s="4">
        <v>0</v>
      </c>
      <c r="Y478" s="4">
        <f t="shared" si="14"/>
        <v>548500</v>
      </c>
      <c r="Z478" s="6" t="s">
        <v>0</v>
      </c>
      <c r="AA478" t="s">
        <v>2</v>
      </c>
      <c r="AB478" t="s">
        <v>12</v>
      </c>
      <c r="AC478">
        <f>_xlfn.XLOOKUP(AB478,'[1]GST Codes'!$A:$A,'[1]GST Codes'!$C:$C,0,0)</f>
        <v>18</v>
      </c>
      <c r="AD478">
        <f t="shared" si="15"/>
        <v>647230</v>
      </c>
      <c r="AE478" t="s">
        <v>13</v>
      </c>
      <c r="AF478" t="s">
        <v>0</v>
      </c>
      <c r="AG478" t="s">
        <v>14</v>
      </c>
      <c r="AH478" t="s">
        <v>15</v>
      </c>
      <c r="AI478" t="s">
        <v>16</v>
      </c>
      <c r="AJ478" t="s">
        <v>17</v>
      </c>
      <c r="AK478" t="s">
        <v>18</v>
      </c>
      <c r="AL478" t="s">
        <v>19</v>
      </c>
      <c r="AM478" t="s">
        <v>363</v>
      </c>
      <c r="AN478" t="s">
        <v>0</v>
      </c>
      <c r="AO478" t="s">
        <v>0</v>
      </c>
      <c r="AP478" t="s">
        <v>0</v>
      </c>
      <c r="AQ478" s="5">
        <v>10</v>
      </c>
      <c r="AR478" t="s">
        <v>11</v>
      </c>
      <c r="AS478" t="s">
        <v>0</v>
      </c>
      <c r="AT478" t="s">
        <v>17</v>
      </c>
      <c r="AU478" s="4">
        <v>0</v>
      </c>
      <c r="AV478" s="4">
        <v>0</v>
      </c>
      <c r="AW478" s="4">
        <v>0</v>
      </c>
      <c r="AX478" s="4">
        <v>0</v>
      </c>
      <c r="AY478" s="5">
        <v>0</v>
      </c>
      <c r="AZ478" s="5">
        <v>0</v>
      </c>
      <c r="BA478" s="5">
        <v>0</v>
      </c>
      <c r="BB478" s="2"/>
      <c r="BC478" t="s">
        <v>0</v>
      </c>
      <c r="BD478" s="5">
        <v>1</v>
      </c>
      <c r="BE478" t="s">
        <v>0</v>
      </c>
      <c r="BF478" t="s">
        <v>364</v>
      </c>
      <c r="BG478" t="s">
        <v>17</v>
      </c>
      <c r="BH478" t="s">
        <v>0</v>
      </c>
      <c r="BI478" t="s">
        <v>11</v>
      </c>
      <c r="BJ478" t="s">
        <v>0</v>
      </c>
      <c r="BK478" t="s">
        <v>0</v>
      </c>
      <c r="BL478" s="5">
        <v>0</v>
      </c>
      <c r="BM478" t="s">
        <v>0</v>
      </c>
      <c r="BN478" t="s">
        <v>0</v>
      </c>
      <c r="BO478" t="s">
        <v>0</v>
      </c>
      <c r="BP478" t="s">
        <v>17</v>
      </c>
      <c r="BQ478" t="s">
        <v>0</v>
      </c>
      <c r="BR478" t="s">
        <v>17</v>
      </c>
      <c r="BS478" t="s">
        <v>17</v>
      </c>
      <c r="BT478" t="s">
        <v>0</v>
      </c>
      <c r="BU478" t="s">
        <v>0</v>
      </c>
      <c r="BV478" t="s">
        <v>0</v>
      </c>
      <c r="BW478" t="s">
        <v>0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</row>
    <row r="479" spans="1:80" ht="13.95" customHeight="1" x14ac:dyDescent="0.25">
      <c r="A479" t="s">
        <v>372</v>
      </c>
      <c r="B479" s="2">
        <v>45794</v>
      </c>
      <c r="C479" s="2">
        <v>45806</v>
      </c>
      <c r="D479" s="2">
        <v>45837</v>
      </c>
      <c r="E479" t="s">
        <v>2</v>
      </c>
      <c r="F479" t="s">
        <v>3</v>
      </c>
      <c r="G479" t="s">
        <v>0</v>
      </c>
      <c r="H479" t="s">
        <v>4</v>
      </c>
      <c r="I479" t="s">
        <v>363</v>
      </c>
      <c r="J479" t="s">
        <v>6</v>
      </c>
      <c r="K479" t="s">
        <v>34</v>
      </c>
      <c r="L479" t="s">
        <v>43</v>
      </c>
      <c r="M479" t="s">
        <v>44</v>
      </c>
      <c r="N479" t="s">
        <v>10</v>
      </c>
      <c r="O479" t="s">
        <v>0</v>
      </c>
      <c r="P479" t="s">
        <v>11</v>
      </c>
      <c r="Q479" s="5">
        <v>10</v>
      </c>
      <c r="R479" s="4">
        <v>54850</v>
      </c>
      <c r="S479" s="5">
        <v>1</v>
      </c>
      <c r="T479" s="4">
        <v>548500</v>
      </c>
      <c r="U479" s="5">
        <v>0</v>
      </c>
      <c r="V479" s="4">
        <v>0</v>
      </c>
      <c r="W479" s="5">
        <v>0</v>
      </c>
      <c r="X479" s="4">
        <v>0</v>
      </c>
      <c r="Y479" s="4">
        <f t="shared" si="14"/>
        <v>548500</v>
      </c>
      <c r="Z479" s="6" t="s">
        <v>0</v>
      </c>
      <c r="AA479" t="s">
        <v>2</v>
      </c>
      <c r="AB479" t="s">
        <v>12</v>
      </c>
      <c r="AC479">
        <f>_xlfn.XLOOKUP(AB479,'[1]GST Codes'!$A:$A,'[1]GST Codes'!$C:$C,0,0)</f>
        <v>18</v>
      </c>
      <c r="AD479">
        <f t="shared" si="15"/>
        <v>647230</v>
      </c>
      <c r="AE479" t="s">
        <v>13</v>
      </c>
      <c r="AF479" t="s">
        <v>0</v>
      </c>
      <c r="AG479" t="s">
        <v>14</v>
      </c>
      <c r="AH479" t="s">
        <v>15</v>
      </c>
      <c r="AI479" t="s">
        <v>16</v>
      </c>
      <c r="AJ479" t="s">
        <v>17</v>
      </c>
      <c r="AK479" t="s">
        <v>18</v>
      </c>
      <c r="AL479" t="s">
        <v>19</v>
      </c>
      <c r="AM479" t="s">
        <v>363</v>
      </c>
      <c r="AN479" t="s">
        <v>0</v>
      </c>
      <c r="AO479" t="s">
        <v>0</v>
      </c>
      <c r="AP479" t="s">
        <v>0</v>
      </c>
      <c r="AQ479" s="5">
        <v>10</v>
      </c>
      <c r="AR479" t="s">
        <v>11</v>
      </c>
      <c r="AS479" t="s">
        <v>0</v>
      </c>
      <c r="AT479" t="s">
        <v>17</v>
      </c>
      <c r="AU479" s="4">
        <v>0</v>
      </c>
      <c r="AV479" s="4">
        <v>0</v>
      </c>
      <c r="AW479" s="4">
        <v>0</v>
      </c>
      <c r="AX479" s="4">
        <v>0</v>
      </c>
      <c r="AY479" s="5">
        <v>0</v>
      </c>
      <c r="AZ479" s="5">
        <v>0</v>
      </c>
      <c r="BA479" s="5">
        <v>0</v>
      </c>
      <c r="BB479" s="2"/>
      <c r="BC479" t="s">
        <v>0</v>
      </c>
      <c r="BD479" s="5">
        <v>1</v>
      </c>
      <c r="BE479" t="s">
        <v>0</v>
      </c>
      <c r="BF479" t="s">
        <v>364</v>
      </c>
      <c r="BG479" t="s">
        <v>17</v>
      </c>
      <c r="BH479" t="s">
        <v>0</v>
      </c>
      <c r="BI479" t="s">
        <v>11</v>
      </c>
      <c r="BJ479" t="s">
        <v>0</v>
      </c>
      <c r="BK479" t="s">
        <v>0</v>
      </c>
      <c r="BL479" s="5">
        <v>0</v>
      </c>
      <c r="BM479" t="s">
        <v>0</v>
      </c>
      <c r="BN479" t="s">
        <v>0</v>
      </c>
      <c r="BO479" t="s">
        <v>0</v>
      </c>
      <c r="BP479" t="s">
        <v>17</v>
      </c>
      <c r="BQ479" t="s">
        <v>0</v>
      </c>
      <c r="BR479" t="s">
        <v>17</v>
      </c>
      <c r="BS479" t="s">
        <v>17</v>
      </c>
      <c r="BT479" t="s">
        <v>0</v>
      </c>
      <c r="BU479" t="s">
        <v>0</v>
      </c>
      <c r="BV479" t="s">
        <v>0</v>
      </c>
      <c r="BW479" t="s">
        <v>0</v>
      </c>
      <c r="BX479" t="s">
        <v>0</v>
      </c>
      <c r="BY479" t="s">
        <v>0</v>
      </c>
      <c r="BZ479" t="s">
        <v>0</v>
      </c>
      <c r="CA479" t="s">
        <v>0</v>
      </c>
      <c r="CB479" t="s">
        <v>0</v>
      </c>
    </row>
    <row r="480" spans="1:80" ht="13.95" customHeight="1" x14ac:dyDescent="0.25">
      <c r="A480" t="s">
        <v>372</v>
      </c>
      <c r="B480" s="2">
        <v>45794</v>
      </c>
      <c r="C480" s="2">
        <v>45806</v>
      </c>
      <c r="D480" s="2">
        <v>45837</v>
      </c>
      <c r="E480" t="s">
        <v>2</v>
      </c>
      <c r="F480" t="s">
        <v>3</v>
      </c>
      <c r="G480" t="s">
        <v>0</v>
      </c>
      <c r="H480" t="s">
        <v>4</v>
      </c>
      <c r="I480" t="s">
        <v>363</v>
      </c>
      <c r="J480" t="s">
        <v>6</v>
      </c>
      <c r="K480" t="s">
        <v>38</v>
      </c>
      <c r="L480" t="s">
        <v>43</v>
      </c>
      <c r="M480" t="s">
        <v>44</v>
      </c>
      <c r="N480" t="s">
        <v>10</v>
      </c>
      <c r="O480" t="s">
        <v>0</v>
      </c>
      <c r="P480" t="s">
        <v>11</v>
      </c>
      <c r="Q480" s="5">
        <v>10</v>
      </c>
      <c r="R480" s="4">
        <v>54850</v>
      </c>
      <c r="S480" s="5">
        <v>1</v>
      </c>
      <c r="T480" s="4">
        <v>548500</v>
      </c>
      <c r="U480" s="5">
        <v>0</v>
      </c>
      <c r="V480" s="4">
        <v>0</v>
      </c>
      <c r="W480" s="5">
        <v>0</v>
      </c>
      <c r="X480" s="4">
        <v>0</v>
      </c>
      <c r="Y480" s="4">
        <f t="shared" si="14"/>
        <v>548500</v>
      </c>
      <c r="Z480" s="6" t="s">
        <v>0</v>
      </c>
      <c r="AA480" t="s">
        <v>2</v>
      </c>
      <c r="AB480" t="s">
        <v>12</v>
      </c>
      <c r="AC480">
        <f>_xlfn.XLOOKUP(AB480,'[1]GST Codes'!$A:$A,'[1]GST Codes'!$C:$C,0,0)</f>
        <v>18</v>
      </c>
      <c r="AD480">
        <f t="shared" si="15"/>
        <v>647230</v>
      </c>
      <c r="AE480" t="s">
        <v>13</v>
      </c>
      <c r="AF480" t="s">
        <v>0</v>
      </c>
      <c r="AG480" t="s">
        <v>14</v>
      </c>
      <c r="AH480" t="s">
        <v>15</v>
      </c>
      <c r="AI480" t="s">
        <v>16</v>
      </c>
      <c r="AJ480" t="s">
        <v>17</v>
      </c>
      <c r="AK480" t="s">
        <v>18</v>
      </c>
      <c r="AL480" t="s">
        <v>19</v>
      </c>
      <c r="AM480" t="s">
        <v>363</v>
      </c>
      <c r="AN480" t="s">
        <v>0</v>
      </c>
      <c r="AO480" t="s">
        <v>0</v>
      </c>
      <c r="AP480" t="s">
        <v>0</v>
      </c>
      <c r="AQ480" s="5">
        <v>10</v>
      </c>
      <c r="AR480" t="s">
        <v>11</v>
      </c>
      <c r="AS480" t="s">
        <v>0</v>
      </c>
      <c r="AT480" t="s">
        <v>17</v>
      </c>
      <c r="AU480" s="4">
        <v>0</v>
      </c>
      <c r="AV480" s="4">
        <v>0</v>
      </c>
      <c r="AW480" s="4">
        <v>0</v>
      </c>
      <c r="AX480" s="4">
        <v>0</v>
      </c>
      <c r="AY480" s="5">
        <v>0</v>
      </c>
      <c r="AZ480" s="5">
        <v>0</v>
      </c>
      <c r="BA480" s="5">
        <v>0</v>
      </c>
      <c r="BB480" s="2"/>
      <c r="BC480" t="s">
        <v>0</v>
      </c>
      <c r="BD480" s="5">
        <v>1</v>
      </c>
      <c r="BE480" t="s">
        <v>0</v>
      </c>
      <c r="BF480" t="s">
        <v>364</v>
      </c>
      <c r="BG480" t="s">
        <v>17</v>
      </c>
      <c r="BH480" t="s">
        <v>0</v>
      </c>
      <c r="BI480" t="s">
        <v>11</v>
      </c>
      <c r="BJ480" t="s">
        <v>0</v>
      </c>
      <c r="BK480" t="s">
        <v>0</v>
      </c>
      <c r="BL480" s="5">
        <v>0</v>
      </c>
      <c r="BM480" t="s">
        <v>0</v>
      </c>
      <c r="BN480" t="s">
        <v>0</v>
      </c>
      <c r="BO480" t="s">
        <v>0</v>
      </c>
      <c r="BP480" t="s">
        <v>17</v>
      </c>
      <c r="BQ480" t="s">
        <v>0</v>
      </c>
      <c r="BR480" t="s">
        <v>17</v>
      </c>
      <c r="BS480" t="s">
        <v>17</v>
      </c>
      <c r="BT480" t="s">
        <v>0</v>
      </c>
      <c r="BU480" t="s">
        <v>0</v>
      </c>
      <c r="BV480" t="s">
        <v>0</v>
      </c>
      <c r="BW480" t="s">
        <v>0</v>
      </c>
      <c r="BX480" t="s">
        <v>0</v>
      </c>
      <c r="BY480" t="s">
        <v>0</v>
      </c>
      <c r="BZ480" t="s">
        <v>0</v>
      </c>
      <c r="CA480" t="s">
        <v>0</v>
      </c>
      <c r="CB480" t="s">
        <v>0</v>
      </c>
    </row>
    <row r="481" spans="1:80" ht="13.95" customHeight="1" x14ac:dyDescent="0.25">
      <c r="A481" t="s">
        <v>372</v>
      </c>
      <c r="B481" s="2">
        <v>45794</v>
      </c>
      <c r="C481" s="2">
        <v>45806</v>
      </c>
      <c r="D481" s="2">
        <v>45837</v>
      </c>
      <c r="E481" t="s">
        <v>2</v>
      </c>
      <c r="F481" t="s">
        <v>3</v>
      </c>
      <c r="G481" t="s">
        <v>0</v>
      </c>
      <c r="H481" t="s">
        <v>4</v>
      </c>
      <c r="I481" t="s">
        <v>363</v>
      </c>
      <c r="J481" t="s">
        <v>6</v>
      </c>
      <c r="K481" t="s">
        <v>42</v>
      </c>
      <c r="L481" t="s">
        <v>43</v>
      </c>
      <c r="M481" t="s">
        <v>44</v>
      </c>
      <c r="N481" t="s">
        <v>10</v>
      </c>
      <c r="O481" t="s">
        <v>0</v>
      </c>
      <c r="P481" t="s">
        <v>11</v>
      </c>
      <c r="Q481" s="5">
        <v>40</v>
      </c>
      <c r="R481" s="4">
        <v>54850</v>
      </c>
      <c r="S481" s="5">
        <v>1</v>
      </c>
      <c r="T481" s="4">
        <v>2194000</v>
      </c>
      <c r="U481" s="3">
        <v>4.2619999999999996</v>
      </c>
      <c r="V481" s="4">
        <v>233770.7</v>
      </c>
      <c r="W481" s="3">
        <v>4.2619999999999996</v>
      </c>
      <c r="X481" s="4">
        <v>233770.7</v>
      </c>
      <c r="Y481" s="4">
        <f t="shared" si="14"/>
        <v>1960229.3</v>
      </c>
      <c r="Z481" s="6" t="s">
        <v>0</v>
      </c>
      <c r="AA481" t="s">
        <v>2</v>
      </c>
      <c r="AB481" t="s">
        <v>12</v>
      </c>
      <c r="AC481">
        <f>_xlfn.XLOOKUP(AB481,'[1]GST Codes'!$A:$A,'[1]GST Codes'!$C:$C,0,0)</f>
        <v>18</v>
      </c>
      <c r="AD481">
        <f t="shared" si="15"/>
        <v>2313070.574</v>
      </c>
      <c r="AE481" t="s">
        <v>13</v>
      </c>
      <c r="AF481" t="s">
        <v>0</v>
      </c>
      <c r="AG481" t="s">
        <v>14</v>
      </c>
      <c r="AH481" t="s">
        <v>15</v>
      </c>
      <c r="AI481" t="s">
        <v>16</v>
      </c>
      <c r="AJ481" t="s">
        <v>17</v>
      </c>
      <c r="AK481" t="s">
        <v>18</v>
      </c>
      <c r="AL481" t="s">
        <v>19</v>
      </c>
      <c r="AM481" t="s">
        <v>363</v>
      </c>
      <c r="AN481" t="s">
        <v>0</v>
      </c>
      <c r="AO481" t="s">
        <v>0</v>
      </c>
      <c r="AP481" t="s">
        <v>0</v>
      </c>
      <c r="AQ481" s="5">
        <v>40</v>
      </c>
      <c r="AR481" t="s">
        <v>11</v>
      </c>
      <c r="AS481" t="s">
        <v>0</v>
      </c>
      <c r="AT481" t="s">
        <v>17</v>
      </c>
      <c r="AU481" s="4">
        <v>0</v>
      </c>
      <c r="AV481" s="4">
        <v>0</v>
      </c>
      <c r="AW481" s="4">
        <v>0</v>
      </c>
      <c r="AX481" s="4">
        <v>0</v>
      </c>
      <c r="AY481" s="5">
        <v>0</v>
      </c>
      <c r="AZ481" s="5">
        <v>0</v>
      </c>
      <c r="BA481" s="5">
        <v>0</v>
      </c>
      <c r="BB481" s="2"/>
      <c r="BC481" t="s">
        <v>0</v>
      </c>
      <c r="BD481" s="5">
        <v>1</v>
      </c>
      <c r="BE481" t="s">
        <v>0</v>
      </c>
      <c r="BF481" t="s">
        <v>364</v>
      </c>
      <c r="BG481" t="s">
        <v>17</v>
      </c>
      <c r="BH481" t="s">
        <v>0</v>
      </c>
      <c r="BI481" t="s">
        <v>11</v>
      </c>
      <c r="BJ481" t="s">
        <v>0</v>
      </c>
      <c r="BK481" t="s">
        <v>0</v>
      </c>
      <c r="BL481" s="5">
        <v>0</v>
      </c>
      <c r="BM481" t="s">
        <v>0</v>
      </c>
      <c r="BN481" t="s">
        <v>0</v>
      </c>
      <c r="BO481" t="s">
        <v>0</v>
      </c>
      <c r="BP481" t="s">
        <v>17</v>
      </c>
      <c r="BQ481" t="s">
        <v>0</v>
      </c>
      <c r="BR481" t="s">
        <v>17</v>
      </c>
      <c r="BS481" t="s">
        <v>17</v>
      </c>
      <c r="BT481" t="s">
        <v>0</v>
      </c>
      <c r="BU481" t="s">
        <v>0</v>
      </c>
      <c r="BV481" t="s">
        <v>0</v>
      </c>
      <c r="BW481" t="s">
        <v>0</v>
      </c>
      <c r="BX481" t="s">
        <v>0</v>
      </c>
      <c r="BY481" t="s">
        <v>0</v>
      </c>
      <c r="BZ481" t="s">
        <v>0</v>
      </c>
      <c r="CA481" t="s">
        <v>0</v>
      </c>
      <c r="CB481" t="s">
        <v>0</v>
      </c>
    </row>
    <row r="482" spans="1:80" ht="13.95" customHeight="1" x14ac:dyDescent="0.25">
      <c r="A482" t="s">
        <v>372</v>
      </c>
      <c r="B482" s="2">
        <v>45794</v>
      </c>
      <c r="C482" s="2">
        <v>45806</v>
      </c>
      <c r="D482" s="2">
        <v>45837</v>
      </c>
      <c r="E482" t="s">
        <v>2</v>
      </c>
      <c r="F482" t="s">
        <v>3</v>
      </c>
      <c r="G482" t="s">
        <v>0</v>
      </c>
      <c r="H482" t="s">
        <v>4</v>
      </c>
      <c r="I482" t="s">
        <v>363</v>
      </c>
      <c r="J482" t="s">
        <v>6</v>
      </c>
      <c r="K482" t="s">
        <v>86</v>
      </c>
      <c r="L482" t="s">
        <v>354</v>
      </c>
      <c r="M482" t="s">
        <v>338</v>
      </c>
      <c r="N482" t="s">
        <v>10</v>
      </c>
      <c r="O482" t="s">
        <v>0</v>
      </c>
      <c r="P482" t="s">
        <v>11</v>
      </c>
      <c r="Q482" s="5">
        <v>33</v>
      </c>
      <c r="R482" s="4">
        <v>54850</v>
      </c>
      <c r="S482" s="5">
        <v>1</v>
      </c>
      <c r="T482" s="4">
        <v>1810050</v>
      </c>
      <c r="U482" s="5">
        <v>0</v>
      </c>
      <c r="V482" s="4">
        <v>0</v>
      </c>
      <c r="W482" s="5">
        <v>0</v>
      </c>
      <c r="X482" s="4">
        <v>0</v>
      </c>
      <c r="Y482" s="4">
        <f t="shared" si="14"/>
        <v>1810050</v>
      </c>
      <c r="Z482" s="6" t="s">
        <v>0</v>
      </c>
      <c r="AA482" t="s">
        <v>2</v>
      </c>
      <c r="AB482" t="s">
        <v>12</v>
      </c>
      <c r="AC482">
        <f>_xlfn.XLOOKUP(AB482,'[1]GST Codes'!$A:$A,'[1]GST Codes'!$C:$C,0,0)</f>
        <v>18</v>
      </c>
      <c r="AD482">
        <f t="shared" si="15"/>
        <v>2135859</v>
      </c>
      <c r="AE482" t="s">
        <v>13</v>
      </c>
      <c r="AF482" t="s">
        <v>0</v>
      </c>
      <c r="AG482" t="s">
        <v>14</v>
      </c>
      <c r="AH482" t="s">
        <v>15</v>
      </c>
      <c r="AI482" t="s">
        <v>16</v>
      </c>
      <c r="AJ482" t="s">
        <v>17</v>
      </c>
      <c r="AK482" t="s">
        <v>18</v>
      </c>
      <c r="AL482" t="s">
        <v>19</v>
      </c>
      <c r="AM482" t="s">
        <v>363</v>
      </c>
      <c r="AN482" t="s">
        <v>0</v>
      </c>
      <c r="AO482" t="s">
        <v>0</v>
      </c>
      <c r="AP482" t="s">
        <v>0</v>
      </c>
      <c r="AQ482" s="5">
        <v>33</v>
      </c>
      <c r="AR482" t="s">
        <v>11</v>
      </c>
      <c r="AS482" t="s">
        <v>0</v>
      </c>
      <c r="AT482" t="s">
        <v>17</v>
      </c>
      <c r="AU482" s="4">
        <v>0</v>
      </c>
      <c r="AV482" s="4">
        <v>0</v>
      </c>
      <c r="AW482" s="4">
        <v>0</v>
      </c>
      <c r="AX482" s="4">
        <v>0</v>
      </c>
      <c r="AY482" s="5">
        <v>0</v>
      </c>
      <c r="AZ482" s="5">
        <v>0</v>
      </c>
      <c r="BA482" s="5">
        <v>0</v>
      </c>
      <c r="BB482" s="2"/>
      <c r="BC482" t="s">
        <v>0</v>
      </c>
      <c r="BD482" s="5">
        <v>1</v>
      </c>
      <c r="BE482" t="s">
        <v>0</v>
      </c>
      <c r="BF482" t="s">
        <v>371</v>
      </c>
      <c r="BG482" t="s">
        <v>17</v>
      </c>
      <c r="BH482" t="s">
        <v>0</v>
      </c>
      <c r="BI482" t="s">
        <v>11</v>
      </c>
      <c r="BJ482" t="s">
        <v>0</v>
      </c>
      <c r="BK482" t="s">
        <v>0</v>
      </c>
      <c r="BL482" s="5">
        <v>0</v>
      </c>
      <c r="BM482" t="s">
        <v>0</v>
      </c>
      <c r="BN482" t="s">
        <v>0</v>
      </c>
      <c r="BO482" t="s">
        <v>0</v>
      </c>
      <c r="BP482" t="s">
        <v>17</v>
      </c>
      <c r="BQ482" t="s">
        <v>0</v>
      </c>
      <c r="BR482" t="s">
        <v>17</v>
      </c>
      <c r="BS482" t="s">
        <v>17</v>
      </c>
      <c r="BT482" t="s">
        <v>0</v>
      </c>
      <c r="BU482" t="s">
        <v>0</v>
      </c>
      <c r="BV482" t="s">
        <v>0</v>
      </c>
      <c r="BW482" t="s">
        <v>0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</row>
    <row r="483" spans="1:80" ht="13.95" customHeight="1" x14ac:dyDescent="0.25">
      <c r="A483" t="s">
        <v>372</v>
      </c>
      <c r="B483" s="2">
        <v>45794</v>
      </c>
      <c r="C483" s="2">
        <v>45806</v>
      </c>
      <c r="D483" s="2">
        <v>45837</v>
      </c>
      <c r="E483" t="s">
        <v>2</v>
      </c>
      <c r="F483" t="s">
        <v>3</v>
      </c>
      <c r="G483" t="s">
        <v>0</v>
      </c>
      <c r="H483" t="s">
        <v>4</v>
      </c>
      <c r="I483" t="s">
        <v>363</v>
      </c>
      <c r="J483" t="s">
        <v>6</v>
      </c>
      <c r="K483" t="s">
        <v>87</v>
      </c>
      <c r="L483" t="s">
        <v>354</v>
      </c>
      <c r="M483" t="s">
        <v>338</v>
      </c>
      <c r="N483" t="s">
        <v>10</v>
      </c>
      <c r="O483" t="s">
        <v>0</v>
      </c>
      <c r="P483" t="s">
        <v>11</v>
      </c>
      <c r="Q483" s="5">
        <v>33</v>
      </c>
      <c r="R483" s="4">
        <v>54850</v>
      </c>
      <c r="S483" s="5">
        <v>1</v>
      </c>
      <c r="T483" s="4">
        <v>1810050</v>
      </c>
      <c r="U483" s="5">
        <v>0</v>
      </c>
      <c r="V483" s="4">
        <v>0</v>
      </c>
      <c r="W483" s="5">
        <v>0</v>
      </c>
      <c r="X483" s="4">
        <v>0</v>
      </c>
      <c r="Y483" s="4">
        <f t="shared" si="14"/>
        <v>1810050</v>
      </c>
      <c r="Z483" s="6" t="s">
        <v>0</v>
      </c>
      <c r="AA483" t="s">
        <v>2</v>
      </c>
      <c r="AB483" t="s">
        <v>12</v>
      </c>
      <c r="AC483">
        <f>_xlfn.XLOOKUP(AB483,'[1]GST Codes'!$A:$A,'[1]GST Codes'!$C:$C,0,0)</f>
        <v>18</v>
      </c>
      <c r="AD483">
        <f t="shared" si="15"/>
        <v>2135859</v>
      </c>
      <c r="AE483" t="s">
        <v>13</v>
      </c>
      <c r="AF483" t="s">
        <v>0</v>
      </c>
      <c r="AG483" t="s">
        <v>14</v>
      </c>
      <c r="AH483" t="s">
        <v>15</v>
      </c>
      <c r="AI483" t="s">
        <v>16</v>
      </c>
      <c r="AJ483" t="s">
        <v>17</v>
      </c>
      <c r="AK483" t="s">
        <v>18</v>
      </c>
      <c r="AL483" t="s">
        <v>19</v>
      </c>
      <c r="AM483" t="s">
        <v>363</v>
      </c>
      <c r="AN483" t="s">
        <v>0</v>
      </c>
      <c r="AO483" t="s">
        <v>0</v>
      </c>
      <c r="AP483" t="s">
        <v>0</v>
      </c>
      <c r="AQ483" s="5">
        <v>33</v>
      </c>
      <c r="AR483" t="s">
        <v>11</v>
      </c>
      <c r="AS483" t="s">
        <v>0</v>
      </c>
      <c r="AT483" t="s">
        <v>17</v>
      </c>
      <c r="AU483" s="4">
        <v>0</v>
      </c>
      <c r="AV483" s="4">
        <v>0</v>
      </c>
      <c r="AW483" s="4">
        <v>0</v>
      </c>
      <c r="AX483" s="4">
        <v>0</v>
      </c>
      <c r="AY483" s="5">
        <v>0</v>
      </c>
      <c r="AZ483" s="5">
        <v>0</v>
      </c>
      <c r="BA483" s="5">
        <v>0</v>
      </c>
      <c r="BB483" s="2"/>
      <c r="BC483" t="s">
        <v>0</v>
      </c>
      <c r="BD483" s="5">
        <v>1</v>
      </c>
      <c r="BE483" t="s">
        <v>0</v>
      </c>
      <c r="BF483" t="s">
        <v>371</v>
      </c>
      <c r="BG483" t="s">
        <v>17</v>
      </c>
      <c r="BH483" t="s">
        <v>0</v>
      </c>
      <c r="BI483" t="s">
        <v>11</v>
      </c>
      <c r="BJ483" t="s">
        <v>0</v>
      </c>
      <c r="BK483" t="s">
        <v>0</v>
      </c>
      <c r="BL483" s="5">
        <v>0</v>
      </c>
      <c r="BM483" t="s">
        <v>0</v>
      </c>
      <c r="BN483" t="s">
        <v>0</v>
      </c>
      <c r="BO483" t="s">
        <v>0</v>
      </c>
      <c r="BP483" t="s">
        <v>17</v>
      </c>
      <c r="BQ483" t="s">
        <v>0</v>
      </c>
      <c r="BR483" t="s">
        <v>17</v>
      </c>
      <c r="BS483" t="s">
        <v>17</v>
      </c>
      <c r="BT483" t="s">
        <v>0</v>
      </c>
      <c r="BU483" t="s">
        <v>0</v>
      </c>
      <c r="BV483" t="s">
        <v>0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</row>
    <row r="484" spans="1:80" ht="13.95" customHeight="1" x14ac:dyDescent="0.25">
      <c r="A484" t="s">
        <v>372</v>
      </c>
      <c r="B484" s="2">
        <v>45794</v>
      </c>
      <c r="C484" s="2">
        <v>45806</v>
      </c>
      <c r="D484" s="2">
        <v>45837</v>
      </c>
      <c r="E484" t="s">
        <v>2</v>
      </c>
      <c r="F484" t="s">
        <v>3</v>
      </c>
      <c r="G484" t="s">
        <v>0</v>
      </c>
      <c r="H484" t="s">
        <v>4</v>
      </c>
      <c r="I484" t="s">
        <v>363</v>
      </c>
      <c r="J484" t="s">
        <v>6</v>
      </c>
      <c r="K484" t="s">
        <v>88</v>
      </c>
      <c r="L484" t="s">
        <v>354</v>
      </c>
      <c r="M484" t="s">
        <v>338</v>
      </c>
      <c r="N484" t="s">
        <v>10</v>
      </c>
      <c r="O484" t="s">
        <v>0</v>
      </c>
      <c r="P484" t="s">
        <v>11</v>
      </c>
      <c r="Q484" s="5">
        <v>33</v>
      </c>
      <c r="R484" s="4">
        <v>54850</v>
      </c>
      <c r="S484" s="5">
        <v>1</v>
      </c>
      <c r="T484" s="4">
        <v>1810050</v>
      </c>
      <c r="U484" s="5">
        <v>0</v>
      </c>
      <c r="V484" s="4">
        <v>0</v>
      </c>
      <c r="W484" s="5">
        <v>0</v>
      </c>
      <c r="X484" s="4">
        <v>0</v>
      </c>
      <c r="Y484" s="4">
        <f t="shared" si="14"/>
        <v>1810050</v>
      </c>
      <c r="Z484" s="6" t="s">
        <v>0</v>
      </c>
      <c r="AA484" t="s">
        <v>2</v>
      </c>
      <c r="AB484" t="s">
        <v>12</v>
      </c>
      <c r="AC484">
        <f>_xlfn.XLOOKUP(AB484,'[1]GST Codes'!$A:$A,'[1]GST Codes'!$C:$C,0,0)</f>
        <v>18</v>
      </c>
      <c r="AD484">
        <f t="shared" si="15"/>
        <v>2135859</v>
      </c>
      <c r="AE484" t="s">
        <v>13</v>
      </c>
      <c r="AF484" t="s">
        <v>0</v>
      </c>
      <c r="AG484" t="s">
        <v>14</v>
      </c>
      <c r="AH484" t="s">
        <v>15</v>
      </c>
      <c r="AI484" t="s">
        <v>16</v>
      </c>
      <c r="AJ484" t="s">
        <v>17</v>
      </c>
      <c r="AK484" t="s">
        <v>18</v>
      </c>
      <c r="AL484" t="s">
        <v>19</v>
      </c>
      <c r="AM484" t="s">
        <v>363</v>
      </c>
      <c r="AN484" t="s">
        <v>0</v>
      </c>
      <c r="AO484" t="s">
        <v>0</v>
      </c>
      <c r="AP484" t="s">
        <v>0</v>
      </c>
      <c r="AQ484" s="5">
        <v>33</v>
      </c>
      <c r="AR484" t="s">
        <v>11</v>
      </c>
      <c r="AS484" t="s">
        <v>0</v>
      </c>
      <c r="AT484" t="s">
        <v>17</v>
      </c>
      <c r="AU484" s="4">
        <v>0</v>
      </c>
      <c r="AV484" s="4">
        <v>0</v>
      </c>
      <c r="AW484" s="4">
        <v>0</v>
      </c>
      <c r="AX484" s="4">
        <v>0</v>
      </c>
      <c r="AY484" s="5">
        <v>0</v>
      </c>
      <c r="AZ484" s="5">
        <v>0</v>
      </c>
      <c r="BA484" s="5">
        <v>0</v>
      </c>
      <c r="BB484" s="2"/>
      <c r="BC484" t="s">
        <v>0</v>
      </c>
      <c r="BD484" s="5">
        <v>1</v>
      </c>
      <c r="BE484" t="s">
        <v>0</v>
      </c>
      <c r="BF484" t="s">
        <v>371</v>
      </c>
      <c r="BG484" t="s">
        <v>17</v>
      </c>
      <c r="BH484" t="s">
        <v>0</v>
      </c>
      <c r="BI484" t="s">
        <v>11</v>
      </c>
      <c r="BJ484" t="s">
        <v>0</v>
      </c>
      <c r="BK484" t="s">
        <v>0</v>
      </c>
      <c r="BL484" s="5">
        <v>0</v>
      </c>
      <c r="BM484" t="s">
        <v>0</v>
      </c>
      <c r="BN484" t="s">
        <v>0</v>
      </c>
      <c r="BO484" t="s">
        <v>0</v>
      </c>
      <c r="BP484" t="s">
        <v>17</v>
      </c>
      <c r="BQ484" t="s">
        <v>0</v>
      </c>
      <c r="BR484" t="s">
        <v>17</v>
      </c>
      <c r="BS484" t="s">
        <v>17</v>
      </c>
      <c r="BT484" t="s">
        <v>0</v>
      </c>
      <c r="BU484" t="s">
        <v>0</v>
      </c>
      <c r="BV484" t="s">
        <v>0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</row>
    <row r="485" spans="1:80" ht="13.95" customHeight="1" x14ac:dyDescent="0.25">
      <c r="A485" t="s">
        <v>372</v>
      </c>
      <c r="B485" s="2">
        <v>45794</v>
      </c>
      <c r="C485" s="2">
        <v>45806</v>
      </c>
      <c r="D485" s="2">
        <v>45837</v>
      </c>
      <c r="E485" t="s">
        <v>2</v>
      </c>
      <c r="F485" t="s">
        <v>3</v>
      </c>
      <c r="G485" t="s">
        <v>0</v>
      </c>
      <c r="H485" t="s">
        <v>4</v>
      </c>
      <c r="I485" t="s">
        <v>363</v>
      </c>
      <c r="J485" t="s">
        <v>6</v>
      </c>
      <c r="K485" t="s">
        <v>89</v>
      </c>
      <c r="L485" t="s">
        <v>354</v>
      </c>
      <c r="M485" t="s">
        <v>338</v>
      </c>
      <c r="N485" t="s">
        <v>10</v>
      </c>
      <c r="O485" t="s">
        <v>0</v>
      </c>
      <c r="P485" t="s">
        <v>11</v>
      </c>
      <c r="Q485" s="5">
        <v>33</v>
      </c>
      <c r="R485" s="4">
        <v>54850</v>
      </c>
      <c r="S485" s="5">
        <v>1</v>
      </c>
      <c r="T485" s="4">
        <v>1810050</v>
      </c>
      <c r="U485" s="5">
        <v>0</v>
      </c>
      <c r="V485" s="4">
        <v>0</v>
      </c>
      <c r="W485" s="5">
        <v>0</v>
      </c>
      <c r="X485" s="4">
        <v>0</v>
      </c>
      <c r="Y485" s="4">
        <f t="shared" si="14"/>
        <v>1810050</v>
      </c>
      <c r="Z485" s="6" t="s">
        <v>0</v>
      </c>
      <c r="AA485" t="s">
        <v>2</v>
      </c>
      <c r="AB485" t="s">
        <v>12</v>
      </c>
      <c r="AC485">
        <f>_xlfn.XLOOKUP(AB485,'[1]GST Codes'!$A:$A,'[1]GST Codes'!$C:$C,0,0)</f>
        <v>18</v>
      </c>
      <c r="AD485">
        <f t="shared" si="15"/>
        <v>2135859</v>
      </c>
      <c r="AE485" t="s">
        <v>13</v>
      </c>
      <c r="AF485" t="s">
        <v>0</v>
      </c>
      <c r="AG485" t="s">
        <v>14</v>
      </c>
      <c r="AH485" t="s">
        <v>15</v>
      </c>
      <c r="AI485" t="s">
        <v>16</v>
      </c>
      <c r="AJ485" t="s">
        <v>17</v>
      </c>
      <c r="AK485" t="s">
        <v>18</v>
      </c>
      <c r="AL485" t="s">
        <v>19</v>
      </c>
      <c r="AM485" t="s">
        <v>363</v>
      </c>
      <c r="AN485" t="s">
        <v>0</v>
      </c>
      <c r="AO485" t="s">
        <v>0</v>
      </c>
      <c r="AP485" t="s">
        <v>0</v>
      </c>
      <c r="AQ485" s="5">
        <v>33</v>
      </c>
      <c r="AR485" t="s">
        <v>11</v>
      </c>
      <c r="AS485" t="s">
        <v>0</v>
      </c>
      <c r="AT485" t="s">
        <v>17</v>
      </c>
      <c r="AU485" s="4">
        <v>0</v>
      </c>
      <c r="AV485" s="4">
        <v>0</v>
      </c>
      <c r="AW485" s="4">
        <v>0</v>
      </c>
      <c r="AX485" s="4">
        <v>0</v>
      </c>
      <c r="AY485" s="5">
        <v>0</v>
      </c>
      <c r="AZ485" s="5">
        <v>0</v>
      </c>
      <c r="BA485" s="5">
        <v>0</v>
      </c>
      <c r="BB485" s="2"/>
      <c r="BC485" t="s">
        <v>0</v>
      </c>
      <c r="BD485" s="5">
        <v>1</v>
      </c>
      <c r="BE485" t="s">
        <v>0</v>
      </c>
      <c r="BF485" t="s">
        <v>371</v>
      </c>
      <c r="BG485" t="s">
        <v>17</v>
      </c>
      <c r="BH485" t="s">
        <v>0</v>
      </c>
      <c r="BI485" t="s">
        <v>11</v>
      </c>
      <c r="BJ485" t="s">
        <v>0</v>
      </c>
      <c r="BK485" t="s">
        <v>0</v>
      </c>
      <c r="BL485" s="5">
        <v>0</v>
      </c>
      <c r="BM485" t="s">
        <v>0</v>
      </c>
      <c r="BN485" t="s">
        <v>0</v>
      </c>
      <c r="BO485" t="s">
        <v>0</v>
      </c>
      <c r="BP485" t="s">
        <v>17</v>
      </c>
      <c r="BQ485" t="s">
        <v>0</v>
      </c>
      <c r="BR485" t="s">
        <v>17</v>
      </c>
      <c r="BS485" t="s">
        <v>17</v>
      </c>
      <c r="BT485" t="s">
        <v>0</v>
      </c>
      <c r="BU485" t="s">
        <v>0</v>
      </c>
      <c r="BV485" t="s">
        <v>0</v>
      </c>
      <c r="BW485" t="s">
        <v>0</v>
      </c>
      <c r="BX485" t="s">
        <v>0</v>
      </c>
      <c r="BY485" t="s">
        <v>0</v>
      </c>
      <c r="BZ485" t="s">
        <v>0</v>
      </c>
      <c r="CA485" t="s">
        <v>0</v>
      </c>
      <c r="CB485" t="s">
        <v>0</v>
      </c>
    </row>
    <row r="486" spans="1:80" ht="13.95" customHeight="1" x14ac:dyDescent="0.25">
      <c r="A486" t="s">
        <v>372</v>
      </c>
      <c r="B486" s="2">
        <v>45794</v>
      </c>
      <c r="C486" s="2">
        <v>45806</v>
      </c>
      <c r="D486" s="2">
        <v>45837</v>
      </c>
      <c r="E486" t="s">
        <v>2</v>
      </c>
      <c r="F486" t="s">
        <v>3</v>
      </c>
      <c r="G486" t="s">
        <v>0</v>
      </c>
      <c r="H486" t="s">
        <v>4</v>
      </c>
      <c r="I486" t="s">
        <v>363</v>
      </c>
      <c r="J486" t="s">
        <v>6</v>
      </c>
      <c r="K486" t="s">
        <v>90</v>
      </c>
      <c r="L486" t="s">
        <v>354</v>
      </c>
      <c r="M486" t="s">
        <v>338</v>
      </c>
      <c r="N486" t="s">
        <v>10</v>
      </c>
      <c r="O486" t="s">
        <v>0</v>
      </c>
      <c r="P486" t="s">
        <v>11</v>
      </c>
      <c r="Q486" s="5">
        <v>33</v>
      </c>
      <c r="R486" s="4">
        <v>54850</v>
      </c>
      <c r="S486" s="5">
        <v>1</v>
      </c>
      <c r="T486" s="4">
        <v>1810050</v>
      </c>
      <c r="U486" s="5">
        <v>0</v>
      </c>
      <c r="V486" s="4">
        <v>0</v>
      </c>
      <c r="W486" s="5">
        <v>0</v>
      </c>
      <c r="X486" s="4">
        <v>0</v>
      </c>
      <c r="Y486" s="4">
        <f t="shared" si="14"/>
        <v>1810050</v>
      </c>
      <c r="Z486" s="6" t="s">
        <v>0</v>
      </c>
      <c r="AA486" t="s">
        <v>2</v>
      </c>
      <c r="AB486" t="s">
        <v>12</v>
      </c>
      <c r="AC486">
        <f>_xlfn.XLOOKUP(AB486,'[1]GST Codes'!$A:$A,'[1]GST Codes'!$C:$C,0,0)</f>
        <v>18</v>
      </c>
      <c r="AD486">
        <f t="shared" si="15"/>
        <v>2135859</v>
      </c>
      <c r="AE486" t="s">
        <v>13</v>
      </c>
      <c r="AF486" t="s">
        <v>0</v>
      </c>
      <c r="AG486" t="s">
        <v>14</v>
      </c>
      <c r="AH486" t="s">
        <v>15</v>
      </c>
      <c r="AI486" t="s">
        <v>16</v>
      </c>
      <c r="AJ486" t="s">
        <v>17</v>
      </c>
      <c r="AK486" t="s">
        <v>18</v>
      </c>
      <c r="AL486" t="s">
        <v>19</v>
      </c>
      <c r="AM486" t="s">
        <v>363</v>
      </c>
      <c r="AN486" t="s">
        <v>0</v>
      </c>
      <c r="AO486" t="s">
        <v>0</v>
      </c>
      <c r="AP486" t="s">
        <v>0</v>
      </c>
      <c r="AQ486" s="5">
        <v>33</v>
      </c>
      <c r="AR486" t="s">
        <v>11</v>
      </c>
      <c r="AS486" t="s">
        <v>0</v>
      </c>
      <c r="AT486" t="s">
        <v>17</v>
      </c>
      <c r="AU486" s="4">
        <v>0</v>
      </c>
      <c r="AV486" s="4">
        <v>0</v>
      </c>
      <c r="AW486" s="4">
        <v>0</v>
      </c>
      <c r="AX486" s="4">
        <v>0</v>
      </c>
      <c r="AY486" s="5">
        <v>0</v>
      </c>
      <c r="AZ486" s="5">
        <v>0</v>
      </c>
      <c r="BA486" s="5">
        <v>0</v>
      </c>
      <c r="BB486" s="2"/>
      <c r="BC486" t="s">
        <v>0</v>
      </c>
      <c r="BD486" s="5">
        <v>1</v>
      </c>
      <c r="BE486" t="s">
        <v>0</v>
      </c>
      <c r="BF486" t="s">
        <v>371</v>
      </c>
      <c r="BG486" t="s">
        <v>17</v>
      </c>
      <c r="BH486" t="s">
        <v>0</v>
      </c>
      <c r="BI486" t="s">
        <v>11</v>
      </c>
      <c r="BJ486" t="s">
        <v>0</v>
      </c>
      <c r="BK486" t="s">
        <v>0</v>
      </c>
      <c r="BL486" s="5">
        <v>0</v>
      </c>
      <c r="BM486" t="s">
        <v>0</v>
      </c>
      <c r="BN486" t="s">
        <v>0</v>
      </c>
      <c r="BO486" t="s">
        <v>0</v>
      </c>
      <c r="BP486" t="s">
        <v>17</v>
      </c>
      <c r="BQ486" t="s">
        <v>0</v>
      </c>
      <c r="BR486" t="s">
        <v>17</v>
      </c>
      <c r="BS486" t="s">
        <v>17</v>
      </c>
      <c r="BT486" t="s">
        <v>0</v>
      </c>
      <c r="BU486" t="s">
        <v>0</v>
      </c>
      <c r="BV486" t="s">
        <v>0</v>
      </c>
      <c r="BW486" t="s">
        <v>0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</row>
    <row r="487" spans="1:80" ht="13.95" customHeight="1" x14ac:dyDescent="0.25">
      <c r="A487" t="s">
        <v>372</v>
      </c>
      <c r="B487" s="2">
        <v>45794</v>
      </c>
      <c r="C487" s="2">
        <v>45806</v>
      </c>
      <c r="D487" s="2">
        <v>45837</v>
      </c>
      <c r="E487" t="s">
        <v>2</v>
      </c>
      <c r="F487" t="s">
        <v>3</v>
      </c>
      <c r="G487" t="s">
        <v>0</v>
      </c>
      <c r="H487" t="s">
        <v>4</v>
      </c>
      <c r="I487" t="s">
        <v>363</v>
      </c>
      <c r="J487" t="s">
        <v>6</v>
      </c>
      <c r="K487" t="s">
        <v>177</v>
      </c>
      <c r="L487" t="s">
        <v>354</v>
      </c>
      <c r="M487" t="s">
        <v>338</v>
      </c>
      <c r="N487" t="s">
        <v>10</v>
      </c>
      <c r="O487" t="s">
        <v>0</v>
      </c>
      <c r="P487" t="s">
        <v>11</v>
      </c>
      <c r="Q487" s="5">
        <v>33</v>
      </c>
      <c r="R487" s="4">
        <v>54850</v>
      </c>
      <c r="S487" s="5">
        <v>1</v>
      </c>
      <c r="T487" s="4">
        <v>1810050</v>
      </c>
      <c r="U487" s="5">
        <v>0</v>
      </c>
      <c r="V487" s="4">
        <v>0</v>
      </c>
      <c r="W487" s="5">
        <v>0</v>
      </c>
      <c r="X487" s="4">
        <v>0</v>
      </c>
      <c r="Y487" s="4">
        <f t="shared" si="14"/>
        <v>1810050</v>
      </c>
      <c r="Z487" s="6" t="s">
        <v>0</v>
      </c>
      <c r="AA487" t="s">
        <v>2</v>
      </c>
      <c r="AB487" t="s">
        <v>12</v>
      </c>
      <c r="AC487">
        <f>_xlfn.XLOOKUP(AB487,'[1]GST Codes'!$A:$A,'[1]GST Codes'!$C:$C,0,0)</f>
        <v>18</v>
      </c>
      <c r="AD487">
        <f t="shared" si="15"/>
        <v>2135859</v>
      </c>
      <c r="AE487" t="s">
        <v>13</v>
      </c>
      <c r="AF487" t="s">
        <v>0</v>
      </c>
      <c r="AG487" t="s">
        <v>14</v>
      </c>
      <c r="AH487" t="s">
        <v>15</v>
      </c>
      <c r="AI487" t="s">
        <v>16</v>
      </c>
      <c r="AJ487" t="s">
        <v>17</v>
      </c>
      <c r="AK487" t="s">
        <v>18</v>
      </c>
      <c r="AL487" t="s">
        <v>19</v>
      </c>
      <c r="AM487" t="s">
        <v>363</v>
      </c>
      <c r="AN487" t="s">
        <v>0</v>
      </c>
      <c r="AO487" t="s">
        <v>0</v>
      </c>
      <c r="AP487" t="s">
        <v>0</v>
      </c>
      <c r="AQ487" s="5">
        <v>33</v>
      </c>
      <c r="AR487" t="s">
        <v>11</v>
      </c>
      <c r="AS487" t="s">
        <v>0</v>
      </c>
      <c r="AT487" t="s">
        <v>17</v>
      </c>
      <c r="AU487" s="4">
        <v>0</v>
      </c>
      <c r="AV487" s="4">
        <v>0</v>
      </c>
      <c r="AW487" s="4">
        <v>0</v>
      </c>
      <c r="AX487" s="4">
        <v>0</v>
      </c>
      <c r="AY487" s="5">
        <v>0</v>
      </c>
      <c r="AZ487" s="5">
        <v>0</v>
      </c>
      <c r="BA487" s="5">
        <v>0</v>
      </c>
      <c r="BB487" s="2"/>
      <c r="BC487" t="s">
        <v>0</v>
      </c>
      <c r="BD487" s="5">
        <v>1</v>
      </c>
      <c r="BE487" t="s">
        <v>0</v>
      </c>
      <c r="BF487" t="s">
        <v>371</v>
      </c>
      <c r="BG487" t="s">
        <v>17</v>
      </c>
      <c r="BH487" t="s">
        <v>0</v>
      </c>
      <c r="BI487" t="s">
        <v>11</v>
      </c>
      <c r="BJ487" t="s">
        <v>0</v>
      </c>
      <c r="BK487" t="s">
        <v>0</v>
      </c>
      <c r="BL487" s="5">
        <v>0</v>
      </c>
      <c r="BM487" t="s">
        <v>0</v>
      </c>
      <c r="BN487" t="s">
        <v>0</v>
      </c>
      <c r="BO487" t="s">
        <v>0</v>
      </c>
      <c r="BP487" t="s">
        <v>17</v>
      </c>
      <c r="BQ487" t="s">
        <v>0</v>
      </c>
      <c r="BR487" t="s">
        <v>17</v>
      </c>
      <c r="BS487" t="s">
        <v>17</v>
      </c>
      <c r="BT487" t="s">
        <v>0</v>
      </c>
      <c r="BU487" t="s">
        <v>0</v>
      </c>
      <c r="BV487" t="s">
        <v>0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</row>
    <row r="488" spans="1:80" ht="13.95" customHeight="1" x14ac:dyDescent="0.25">
      <c r="A488" t="s">
        <v>372</v>
      </c>
      <c r="B488" s="2">
        <v>45794</v>
      </c>
      <c r="C488" s="2">
        <v>45806</v>
      </c>
      <c r="D488" s="2">
        <v>45837</v>
      </c>
      <c r="E488" t="s">
        <v>2</v>
      </c>
      <c r="F488" t="s">
        <v>3</v>
      </c>
      <c r="G488" t="s">
        <v>0</v>
      </c>
      <c r="H488" t="s">
        <v>4</v>
      </c>
      <c r="I488" t="s">
        <v>363</v>
      </c>
      <c r="J488" t="s">
        <v>6</v>
      </c>
      <c r="K488" t="s">
        <v>181</v>
      </c>
      <c r="L488" t="s">
        <v>354</v>
      </c>
      <c r="M488" t="s">
        <v>338</v>
      </c>
      <c r="N488" t="s">
        <v>10</v>
      </c>
      <c r="O488" t="s">
        <v>0</v>
      </c>
      <c r="P488" t="s">
        <v>11</v>
      </c>
      <c r="Q488" s="5">
        <v>22</v>
      </c>
      <c r="R488" s="4">
        <v>54850</v>
      </c>
      <c r="S488" s="5">
        <v>1</v>
      </c>
      <c r="T488" s="4">
        <v>1206700</v>
      </c>
      <c r="U488" s="5">
        <v>0</v>
      </c>
      <c r="V488" s="4">
        <v>0</v>
      </c>
      <c r="W488" s="5">
        <v>0</v>
      </c>
      <c r="X488" s="4">
        <v>0</v>
      </c>
      <c r="Y488" s="4">
        <f t="shared" si="14"/>
        <v>1206700</v>
      </c>
      <c r="Z488" s="6" t="s">
        <v>0</v>
      </c>
      <c r="AA488" t="s">
        <v>2</v>
      </c>
      <c r="AB488" t="s">
        <v>12</v>
      </c>
      <c r="AC488">
        <f>_xlfn.XLOOKUP(AB488,'[1]GST Codes'!$A:$A,'[1]GST Codes'!$C:$C,0,0)</f>
        <v>18</v>
      </c>
      <c r="AD488">
        <f t="shared" si="15"/>
        <v>1423906</v>
      </c>
      <c r="AE488" t="s">
        <v>13</v>
      </c>
      <c r="AF488" t="s">
        <v>0</v>
      </c>
      <c r="AG488" t="s">
        <v>14</v>
      </c>
      <c r="AH488" t="s">
        <v>15</v>
      </c>
      <c r="AI488" t="s">
        <v>16</v>
      </c>
      <c r="AJ488" t="s">
        <v>17</v>
      </c>
      <c r="AK488" t="s">
        <v>18</v>
      </c>
      <c r="AL488" t="s">
        <v>19</v>
      </c>
      <c r="AM488" t="s">
        <v>363</v>
      </c>
      <c r="AN488" t="s">
        <v>0</v>
      </c>
      <c r="AO488" t="s">
        <v>0</v>
      </c>
      <c r="AP488" t="s">
        <v>0</v>
      </c>
      <c r="AQ488" s="5">
        <v>22</v>
      </c>
      <c r="AR488" t="s">
        <v>11</v>
      </c>
      <c r="AS488" t="s">
        <v>0</v>
      </c>
      <c r="AT488" t="s">
        <v>17</v>
      </c>
      <c r="AU488" s="4">
        <v>0</v>
      </c>
      <c r="AV488" s="4">
        <v>0</v>
      </c>
      <c r="AW488" s="4">
        <v>0</v>
      </c>
      <c r="AX488" s="4">
        <v>0</v>
      </c>
      <c r="AY488" s="5">
        <v>0</v>
      </c>
      <c r="AZ488" s="5">
        <v>0</v>
      </c>
      <c r="BA488" s="5">
        <v>0</v>
      </c>
      <c r="BB488" s="2"/>
      <c r="BC488" t="s">
        <v>0</v>
      </c>
      <c r="BD488" s="5">
        <v>1</v>
      </c>
      <c r="BE488" t="s">
        <v>0</v>
      </c>
      <c r="BF488" t="s">
        <v>371</v>
      </c>
      <c r="BG488" t="s">
        <v>17</v>
      </c>
      <c r="BH488" t="s">
        <v>0</v>
      </c>
      <c r="BI488" t="s">
        <v>11</v>
      </c>
      <c r="BJ488" t="s">
        <v>0</v>
      </c>
      <c r="BK488" t="s">
        <v>0</v>
      </c>
      <c r="BL488" s="5">
        <v>0</v>
      </c>
      <c r="BM488" t="s">
        <v>0</v>
      </c>
      <c r="BN488" t="s">
        <v>0</v>
      </c>
      <c r="BO488" t="s">
        <v>0</v>
      </c>
      <c r="BP488" t="s">
        <v>17</v>
      </c>
      <c r="BQ488" t="s">
        <v>0</v>
      </c>
      <c r="BR488" t="s">
        <v>17</v>
      </c>
      <c r="BS488" t="s">
        <v>17</v>
      </c>
      <c r="BT488" t="s">
        <v>0</v>
      </c>
      <c r="BU488" t="s">
        <v>0</v>
      </c>
      <c r="BV488" t="s">
        <v>0</v>
      </c>
      <c r="BW488" t="s">
        <v>0</v>
      </c>
      <c r="BX488" t="s">
        <v>0</v>
      </c>
      <c r="BY488" t="s">
        <v>0</v>
      </c>
      <c r="BZ488" t="s">
        <v>0</v>
      </c>
      <c r="CA488" t="s">
        <v>0</v>
      </c>
      <c r="CB488" t="s">
        <v>0</v>
      </c>
    </row>
    <row r="489" spans="1:80" ht="13.95" customHeight="1" x14ac:dyDescent="0.25">
      <c r="A489" t="s">
        <v>372</v>
      </c>
      <c r="B489" s="2">
        <v>45794</v>
      </c>
      <c r="C489" s="2">
        <v>45806</v>
      </c>
      <c r="D489" s="2">
        <v>45837</v>
      </c>
      <c r="E489" t="s">
        <v>2</v>
      </c>
      <c r="F489" t="s">
        <v>3</v>
      </c>
      <c r="G489" t="s">
        <v>0</v>
      </c>
      <c r="H489" t="s">
        <v>4</v>
      </c>
      <c r="I489" t="s">
        <v>363</v>
      </c>
      <c r="J489" t="s">
        <v>6</v>
      </c>
      <c r="K489" t="s">
        <v>185</v>
      </c>
      <c r="L489" t="s">
        <v>329</v>
      </c>
      <c r="M489" t="s">
        <v>339</v>
      </c>
      <c r="N489" t="s">
        <v>10</v>
      </c>
      <c r="O489" t="s">
        <v>0</v>
      </c>
      <c r="P489" t="s">
        <v>11</v>
      </c>
      <c r="Q489" s="5">
        <v>10</v>
      </c>
      <c r="R489" s="4">
        <v>54850</v>
      </c>
      <c r="S489" s="5">
        <v>1</v>
      </c>
      <c r="T489" s="4">
        <v>548500</v>
      </c>
      <c r="U489" s="5">
        <v>0</v>
      </c>
      <c r="V489" s="4">
        <v>0</v>
      </c>
      <c r="W489" s="5">
        <v>0</v>
      </c>
      <c r="X489" s="4">
        <v>0</v>
      </c>
      <c r="Y489" s="4">
        <f t="shared" si="14"/>
        <v>548500</v>
      </c>
      <c r="Z489" s="6" t="s">
        <v>0</v>
      </c>
      <c r="AA489" t="s">
        <v>2</v>
      </c>
      <c r="AB489" t="s">
        <v>12</v>
      </c>
      <c r="AC489">
        <f>_xlfn.XLOOKUP(AB489,'[1]GST Codes'!$A:$A,'[1]GST Codes'!$C:$C,0,0)</f>
        <v>18</v>
      </c>
      <c r="AD489">
        <f t="shared" si="15"/>
        <v>647230</v>
      </c>
      <c r="AE489" t="s">
        <v>13</v>
      </c>
      <c r="AF489" t="s">
        <v>0</v>
      </c>
      <c r="AG489" t="s">
        <v>14</v>
      </c>
      <c r="AH489" t="s">
        <v>15</v>
      </c>
      <c r="AI489" t="s">
        <v>16</v>
      </c>
      <c r="AJ489" t="s">
        <v>17</v>
      </c>
      <c r="AK489" t="s">
        <v>18</v>
      </c>
      <c r="AL489" t="s">
        <v>19</v>
      </c>
      <c r="AM489" t="s">
        <v>363</v>
      </c>
      <c r="AN489" t="s">
        <v>0</v>
      </c>
      <c r="AO489" t="s">
        <v>0</v>
      </c>
      <c r="AP489" t="s">
        <v>0</v>
      </c>
      <c r="AQ489" s="5">
        <v>10</v>
      </c>
      <c r="AR489" t="s">
        <v>11</v>
      </c>
      <c r="AS489" t="s">
        <v>0</v>
      </c>
      <c r="AT489" t="s">
        <v>17</v>
      </c>
      <c r="AU489" s="4">
        <v>0</v>
      </c>
      <c r="AV489" s="4">
        <v>0</v>
      </c>
      <c r="AW489" s="4">
        <v>0</v>
      </c>
      <c r="AX489" s="4">
        <v>0</v>
      </c>
      <c r="AY489" s="5">
        <v>0</v>
      </c>
      <c r="AZ489" s="5">
        <v>0</v>
      </c>
      <c r="BA489" s="5">
        <v>0</v>
      </c>
      <c r="BB489" s="2"/>
      <c r="BC489" t="s">
        <v>0</v>
      </c>
      <c r="BD489" s="5">
        <v>1</v>
      </c>
      <c r="BE489" t="s">
        <v>0</v>
      </c>
      <c r="BF489" t="s">
        <v>365</v>
      </c>
      <c r="BG489" t="s">
        <v>17</v>
      </c>
      <c r="BH489" t="s">
        <v>0</v>
      </c>
      <c r="BI489" t="s">
        <v>11</v>
      </c>
      <c r="BJ489" t="s">
        <v>0</v>
      </c>
      <c r="BK489" t="s">
        <v>0</v>
      </c>
      <c r="BL489" s="5">
        <v>0</v>
      </c>
      <c r="BM489" t="s">
        <v>0</v>
      </c>
      <c r="BN489" t="s">
        <v>0</v>
      </c>
      <c r="BO489" t="s">
        <v>0</v>
      </c>
      <c r="BP489" t="s">
        <v>17</v>
      </c>
      <c r="BQ489" t="s">
        <v>0</v>
      </c>
      <c r="BR489" t="s">
        <v>17</v>
      </c>
      <c r="BS489" t="s">
        <v>17</v>
      </c>
      <c r="BT489" t="s">
        <v>0</v>
      </c>
      <c r="BU489" t="s">
        <v>0</v>
      </c>
      <c r="BV489" t="s">
        <v>0</v>
      </c>
      <c r="BW489" t="s">
        <v>0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</row>
    <row r="490" spans="1:80" ht="13.95" customHeight="1" x14ac:dyDescent="0.25">
      <c r="A490" t="s">
        <v>372</v>
      </c>
      <c r="B490" s="2">
        <v>45794</v>
      </c>
      <c r="C490" s="2">
        <v>45806</v>
      </c>
      <c r="D490" s="2">
        <v>45837</v>
      </c>
      <c r="E490" t="s">
        <v>2</v>
      </c>
      <c r="F490" t="s">
        <v>3</v>
      </c>
      <c r="G490" t="s">
        <v>0</v>
      </c>
      <c r="H490" t="s">
        <v>4</v>
      </c>
      <c r="I490" t="s">
        <v>363</v>
      </c>
      <c r="J490" t="s">
        <v>6</v>
      </c>
      <c r="K490" t="s">
        <v>189</v>
      </c>
      <c r="L490" t="s">
        <v>329</v>
      </c>
      <c r="M490" t="s">
        <v>339</v>
      </c>
      <c r="N490" t="s">
        <v>10</v>
      </c>
      <c r="O490" t="s">
        <v>0</v>
      </c>
      <c r="P490" t="s">
        <v>11</v>
      </c>
      <c r="Q490" s="5">
        <v>10</v>
      </c>
      <c r="R490" s="4">
        <v>54850</v>
      </c>
      <c r="S490" s="5">
        <v>1</v>
      </c>
      <c r="T490" s="4">
        <v>548500</v>
      </c>
      <c r="U490" s="5">
        <v>0</v>
      </c>
      <c r="V490" s="4">
        <v>0</v>
      </c>
      <c r="W490" s="5">
        <v>0</v>
      </c>
      <c r="X490" s="4">
        <v>0</v>
      </c>
      <c r="Y490" s="4">
        <f t="shared" si="14"/>
        <v>548500</v>
      </c>
      <c r="Z490" s="6" t="s">
        <v>0</v>
      </c>
      <c r="AA490" t="s">
        <v>2</v>
      </c>
      <c r="AB490" t="s">
        <v>12</v>
      </c>
      <c r="AC490">
        <f>_xlfn.XLOOKUP(AB490,'[1]GST Codes'!$A:$A,'[1]GST Codes'!$C:$C,0,0)</f>
        <v>18</v>
      </c>
      <c r="AD490">
        <f t="shared" si="15"/>
        <v>647230</v>
      </c>
      <c r="AE490" t="s">
        <v>13</v>
      </c>
      <c r="AF490" t="s">
        <v>0</v>
      </c>
      <c r="AG490" t="s">
        <v>14</v>
      </c>
      <c r="AH490" t="s">
        <v>15</v>
      </c>
      <c r="AI490" t="s">
        <v>16</v>
      </c>
      <c r="AJ490" t="s">
        <v>17</v>
      </c>
      <c r="AK490" t="s">
        <v>18</v>
      </c>
      <c r="AL490" t="s">
        <v>19</v>
      </c>
      <c r="AM490" t="s">
        <v>363</v>
      </c>
      <c r="AN490" t="s">
        <v>0</v>
      </c>
      <c r="AO490" t="s">
        <v>0</v>
      </c>
      <c r="AP490" t="s">
        <v>0</v>
      </c>
      <c r="AQ490" s="5">
        <v>10</v>
      </c>
      <c r="AR490" t="s">
        <v>11</v>
      </c>
      <c r="AS490" t="s">
        <v>0</v>
      </c>
      <c r="AT490" t="s">
        <v>17</v>
      </c>
      <c r="AU490" s="4">
        <v>0</v>
      </c>
      <c r="AV490" s="4">
        <v>0</v>
      </c>
      <c r="AW490" s="4">
        <v>0</v>
      </c>
      <c r="AX490" s="4">
        <v>0</v>
      </c>
      <c r="AY490" s="5">
        <v>0</v>
      </c>
      <c r="AZ490" s="5">
        <v>0</v>
      </c>
      <c r="BA490" s="5">
        <v>0</v>
      </c>
      <c r="BB490" s="2"/>
      <c r="BC490" t="s">
        <v>0</v>
      </c>
      <c r="BD490" s="5">
        <v>1</v>
      </c>
      <c r="BE490" t="s">
        <v>0</v>
      </c>
      <c r="BF490" t="s">
        <v>365</v>
      </c>
      <c r="BG490" t="s">
        <v>17</v>
      </c>
      <c r="BH490" t="s">
        <v>0</v>
      </c>
      <c r="BI490" t="s">
        <v>11</v>
      </c>
      <c r="BJ490" t="s">
        <v>0</v>
      </c>
      <c r="BK490" t="s">
        <v>0</v>
      </c>
      <c r="BL490" s="5">
        <v>0</v>
      </c>
      <c r="BM490" t="s">
        <v>0</v>
      </c>
      <c r="BN490" t="s">
        <v>0</v>
      </c>
      <c r="BO490" t="s">
        <v>0</v>
      </c>
      <c r="BP490" t="s">
        <v>17</v>
      </c>
      <c r="BQ490" t="s">
        <v>0</v>
      </c>
      <c r="BR490" t="s">
        <v>17</v>
      </c>
      <c r="BS490" t="s">
        <v>17</v>
      </c>
      <c r="BT490" t="s">
        <v>0</v>
      </c>
      <c r="BU490" t="s">
        <v>0</v>
      </c>
      <c r="BV490" t="s">
        <v>0</v>
      </c>
      <c r="BW490" t="s">
        <v>0</v>
      </c>
      <c r="BX490" t="s">
        <v>0</v>
      </c>
      <c r="BY490" t="s">
        <v>0</v>
      </c>
      <c r="BZ490" t="s">
        <v>0</v>
      </c>
      <c r="CA490" t="s">
        <v>0</v>
      </c>
      <c r="CB490" t="s">
        <v>0</v>
      </c>
    </row>
    <row r="491" spans="1:80" ht="13.95" customHeight="1" x14ac:dyDescent="0.25">
      <c r="A491" t="s">
        <v>372</v>
      </c>
      <c r="B491" s="2">
        <v>45794</v>
      </c>
      <c r="C491" s="2">
        <v>45806</v>
      </c>
      <c r="D491" s="2">
        <v>45837</v>
      </c>
      <c r="E491" t="s">
        <v>2</v>
      </c>
      <c r="F491" t="s">
        <v>3</v>
      </c>
      <c r="G491" t="s">
        <v>0</v>
      </c>
      <c r="H491" t="s">
        <v>4</v>
      </c>
      <c r="I491" t="s">
        <v>363</v>
      </c>
      <c r="J491" t="s">
        <v>6</v>
      </c>
      <c r="K491" t="s">
        <v>193</v>
      </c>
      <c r="L491" t="s">
        <v>329</v>
      </c>
      <c r="M491" t="s">
        <v>339</v>
      </c>
      <c r="N491" t="s">
        <v>10</v>
      </c>
      <c r="O491" t="s">
        <v>0</v>
      </c>
      <c r="P491" t="s">
        <v>11</v>
      </c>
      <c r="Q491" s="5">
        <v>15</v>
      </c>
      <c r="R491" s="4">
        <v>54850</v>
      </c>
      <c r="S491" s="5">
        <v>1</v>
      </c>
      <c r="T491" s="4">
        <v>822750</v>
      </c>
      <c r="U491" s="3">
        <v>1.5169999999999999</v>
      </c>
      <c r="V491" s="4">
        <v>83207.45</v>
      </c>
      <c r="W491" s="3">
        <v>1.5169999999999999</v>
      </c>
      <c r="X491" s="4">
        <v>83207.45</v>
      </c>
      <c r="Y491" s="4">
        <f t="shared" si="14"/>
        <v>739542.55</v>
      </c>
      <c r="Z491" s="6" t="s">
        <v>0</v>
      </c>
      <c r="AA491" t="s">
        <v>2</v>
      </c>
      <c r="AB491" t="s">
        <v>12</v>
      </c>
      <c r="AC491">
        <f>_xlfn.XLOOKUP(AB491,'[1]GST Codes'!$A:$A,'[1]GST Codes'!$C:$C,0,0)</f>
        <v>18</v>
      </c>
      <c r="AD491">
        <f t="shared" si="15"/>
        <v>872660.20900000003</v>
      </c>
      <c r="AE491" t="s">
        <v>13</v>
      </c>
      <c r="AF491" t="s">
        <v>0</v>
      </c>
      <c r="AG491" t="s">
        <v>14</v>
      </c>
      <c r="AH491" t="s">
        <v>15</v>
      </c>
      <c r="AI491" t="s">
        <v>16</v>
      </c>
      <c r="AJ491" t="s">
        <v>17</v>
      </c>
      <c r="AK491" t="s">
        <v>18</v>
      </c>
      <c r="AL491" t="s">
        <v>19</v>
      </c>
      <c r="AM491" t="s">
        <v>363</v>
      </c>
      <c r="AN491" t="s">
        <v>0</v>
      </c>
      <c r="AO491" t="s">
        <v>0</v>
      </c>
      <c r="AP491" t="s">
        <v>0</v>
      </c>
      <c r="AQ491" s="5">
        <v>15</v>
      </c>
      <c r="AR491" t="s">
        <v>11</v>
      </c>
      <c r="AS491" t="s">
        <v>0</v>
      </c>
      <c r="AT491" t="s">
        <v>17</v>
      </c>
      <c r="AU491" s="4">
        <v>0</v>
      </c>
      <c r="AV491" s="4">
        <v>0</v>
      </c>
      <c r="AW491" s="4">
        <v>0</v>
      </c>
      <c r="AX491" s="4">
        <v>0</v>
      </c>
      <c r="AY491" s="5">
        <v>0</v>
      </c>
      <c r="AZ491" s="5">
        <v>0</v>
      </c>
      <c r="BA491" s="5">
        <v>0</v>
      </c>
      <c r="BB491" s="2"/>
      <c r="BC491" t="s">
        <v>0</v>
      </c>
      <c r="BD491" s="5">
        <v>1</v>
      </c>
      <c r="BE491" t="s">
        <v>0</v>
      </c>
      <c r="BF491" t="s">
        <v>365</v>
      </c>
      <c r="BG491" t="s">
        <v>17</v>
      </c>
      <c r="BH491" t="s">
        <v>0</v>
      </c>
      <c r="BI491" t="s">
        <v>11</v>
      </c>
      <c r="BJ491" t="s">
        <v>0</v>
      </c>
      <c r="BK491" t="s">
        <v>0</v>
      </c>
      <c r="BL491" s="5">
        <v>0</v>
      </c>
      <c r="BM491" t="s">
        <v>0</v>
      </c>
      <c r="BN491" t="s">
        <v>0</v>
      </c>
      <c r="BO491" t="s">
        <v>0</v>
      </c>
      <c r="BP491" t="s">
        <v>17</v>
      </c>
      <c r="BQ491" t="s">
        <v>0</v>
      </c>
      <c r="BR491" t="s">
        <v>17</v>
      </c>
      <c r="BS491" t="s">
        <v>17</v>
      </c>
      <c r="BT491" t="s">
        <v>0</v>
      </c>
      <c r="BU491" t="s">
        <v>0</v>
      </c>
      <c r="BV491" t="s">
        <v>0</v>
      </c>
      <c r="BW491" t="s">
        <v>0</v>
      </c>
      <c r="BX491" t="s">
        <v>0</v>
      </c>
      <c r="BY491" t="s">
        <v>0</v>
      </c>
      <c r="BZ491" t="s">
        <v>0</v>
      </c>
      <c r="CA491" t="s">
        <v>0</v>
      </c>
      <c r="CB491" t="s">
        <v>0</v>
      </c>
    </row>
    <row r="492" spans="1:80" ht="13.95" customHeight="1" x14ac:dyDescent="0.25">
      <c r="A492" t="s">
        <v>372</v>
      </c>
      <c r="B492" s="2">
        <v>45794</v>
      </c>
      <c r="C492" s="2">
        <v>45806</v>
      </c>
      <c r="D492" s="2">
        <v>45837</v>
      </c>
      <c r="E492" t="s">
        <v>2</v>
      </c>
      <c r="F492" t="s">
        <v>3</v>
      </c>
      <c r="G492" t="s">
        <v>0</v>
      </c>
      <c r="H492" t="s">
        <v>4</v>
      </c>
      <c r="I492" t="s">
        <v>363</v>
      </c>
      <c r="J492" t="s">
        <v>6</v>
      </c>
      <c r="K492" t="s">
        <v>197</v>
      </c>
      <c r="L492" t="s">
        <v>329</v>
      </c>
      <c r="M492" t="s">
        <v>339</v>
      </c>
      <c r="N492" t="s">
        <v>10</v>
      </c>
      <c r="O492" t="s">
        <v>0</v>
      </c>
      <c r="P492" t="s">
        <v>11</v>
      </c>
      <c r="Q492" s="5">
        <v>15</v>
      </c>
      <c r="R492" s="4">
        <v>54850</v>
      </c>
      <c r="S492" s="5">
        <v>1</v>
      </c>
      <c r="T492" s="4">
        <v>822750</v>
      </c>
      <c r="U492" s="5">
        <v>0</v>
      </c>
      <c r="V492" s="4">
        <v>0</v>
      </c>
      <c r="W492" s="5">
        <v>0</v>
      </c>
      <c r="X492" s="4">
        <v>0</v>
      </c>
      <c r="Y492" s="4">
        <f t="shared" si="14"/>
        <v>822750</v>
      </c>
      <c r="Z492" s="6" t="s">
        <v>0</v>
      </c>
      <c r="AA492" t="s">
        <v>2</v>
      </c>
      <c r="AB492" t="s">
        <v>12</v>
      </c>
      <c r="AC492">
        <f>_xlfn.XLOOKUP(AB492,'[1]GST Codes'!$A:$A,'[1]GST Codes'!$C:$C,0,0)</f>
        <v>18</v>
      </c>
      <c r="AD492">
        <f t="shared" si="15"/>
        <v>970845</v>
      </c>
      <c r="AE492" t="s">
        <v>13</v>
      </c>
      <c r="AF492" t="s">
        <v>0</v>
      </c>
      <c r="AG492" t="s">
        <v>14</v>
      </c>
      <c r="AH492" t="s">
        <v>15</v>
      </c>
      <c r="AI492" t="s">
        <v>16</v>
      </c>
      <c r="AJ492" t="s">
        <v>17</v>
      </c>
      <c r="AK492" t="s">
        <v>18</v>
      </c>
      <c r="AL492" t="s">
        <v>19</v>
      </c>
      <c r="AM492" t="s">
        <v>363</v>
      </c>
      <c r="AN492" t="s">
        <v>0</v>
      </c>
      <c r="AO492" t="s">
        <v>0</v>
      </c>
      <c r="AP492" t="s">
        <v>0</v>
      </c>
      <c r="AQ492" s="5">
        <v>15</v>
      </c>
      <c r="AR492" t="s">
        <v>11</v>
      </c>
      <c r="AS492" t="s">
        <v>0</v>
      </c>
      <c r="AT492" t="s">
        <v>17</v>
      </c>
      <c r="AU492" s="4">
        <v>0</v>
      </c>
      <c r="AV492" s="4">
        <v>0</v>
      </c>
      <c r="AW492" s="4">
        <v>0</v>
      </c>
      <c r="AX492" s="4">
        <v>0</v>
      </c>
      <c r="AY492" s="5">
        <v>0</v>
      </c>
      <c r="AZ492" s="5">
        <v>0</v>
      </c>
      <c r="BA492" s="5">
        <v>0</v>
      </c>
      <c r="BB492" s="2"/>
      <c r="BC492" t="s">
        <v>0</v>
      </c>
      <c r="BD492" s="5">
        <v>1</v>
      </c>
      <c r="BE492" t="s">
        <v>0</v>
      </c>
      <c r="BF492" t="s">
        <v>365</v>
      </c>
      <c r="BG492" t="s">
        <v>17</v>
      </c>
      <c r="BH492" t="s">
        <v>0</v>
      </c>
      <c r="BI492" t="s">
        <v>11</v>
      </c>
      <c r="BJ492" t="s">
        <v>0</v>
      </c>
      <c r="BK492" t="s">
        <v>0</v>
      </c>
      <c r="BL492" s="5">
        <v>0</v>
      </c>
      <c r="BM492" t="s">
        <v>0</v>
      </c>
      <c r="BN492" t="s">
        <v>0</v>
      </c>
      <c r="BO492" t="s">
        <v>0</v>
      </c>
      <c r="BP492" t="s">
        <v>17</v>
      </c>
      <c r="BQ492" t="s">
        <v>0</v>
      </c>
      <c r="BR492" t="s">
        <v>17</v>
      </c>
      <c r="BS492" t="s">
        <v>17</v>
      </c>
      <c r="BT492" t="s">
        <v>0</v>
      </c>
      <c r="BU492" t="s">
        <v>0</v>
      </c>
      <c r="BV492" t="s">
        <v>0</v>
      </c>
      <c r="BW492" t="s">
        <v>0</v>
      </c>
      <c r="BX492" t="s">
        <v>0</v>
      </c>
      <c r="BY492" t="s">
        <v>0</v>
      </c>
      <c r="BZ492" t="s">
        <v>0</v>
      </c>
      <c r="CA492" t="s">
        <v>0</v>
      </c>
      <c r="CB492" t="s">
        <v>0</v>
      </c>
    </row>
    <row r="493" spans="1:80" ht="13.95" customHeight="1" x14ac:dyDescent="0.25">
      <c r="A493" t="s">
        <v>373</v>
      </c>
      <c r="B493" s="2">
        <v>45804</v>
      </c>
      <c r="C493" s="2"/>
      <c r="D493" s="2"/>
      <c r="E493" t="s">
        <v>2</v>
      </c>
      <c r="F493" t="s">
        <v>3</v>
      </c>
      <c r="G493" t="s">
        <v>0</v>
      </c>
      <c r="H493" t="s">
        <v>4</v>
      </c>
      <c r="I493" t="s">
        <v>363</v>
      </c>
      <c r="J493" t="s">
        <v>6</v>
      </c>
      <c r="K493" t="s">
        <v>7</v>
      </c>
      <c r="L493" t="s">
        <v>74</v>
      </c>
      <c r="M493" t="s">
        <v>75</v>
      </c>
      <c r="N493" t="s">
        <v>10</v>
      </c>
      <c r="O493" t="s">
        <v>0</v>
      </c>
      <c r="P493" t="s">
        <v>11</v>
      </c>
      <c r="Q493" s="5">
        <v>40</v>
      </c>
      <c r="R493" s="4">
        <v>57750</v>
      </c>
      <c r="S493" s="5">
        <v>1</v>
      </c>
      <c r="T493" s="4">
        <v>2310000</v>
      </c>
      <c r="U493" s="5">
        <v>0</v>
      </c>
      <c r="V493" s="4">
        <v>0</v>
      </c>
      <c r="W493" s="5">
        <v>0</v>
      </c>
      <c r="X493" s="4">
        <v>0</v>
      </c>
      <c r="Y493" s="4">
        <f t="shared" si="14"/>
        <v>2310000</v>
      </c>
      <c r="Z493" s="6" t="s">
        <v>0</v>
      </c>
      <c r="AA493" t="s">
        <v>2</v>
      </c>
      <c r="AB493" t="s">
        <v>12</v>
      </c>
      <c r="AC493">
        <f>_xlfn.XLOOKUP(AB493,'[1]GST Codes'!$A:$A,'[1]GST Codes'!$C:$C,0,0)</f>
        <v>18</v>
      </c>
      <c r="AD493">
        <f t="shared" si="15"/>
        <v>2725800</v>
      </c>
      <c r="AE493" t="s">
        <v>13</v>
      </c>
      <c r="AF493" t="s">
        <v>0</v>
      </c>
      <c r="AG493" t="s">
        <v>14</v>
      </c>
      <c r="AH493" t="s">
        <v>15</v>
      </c>
      <c r="AI493" t="s">
        <v>16</v>
      </c>
      <c r="AJ493" t="s">
        <v>17</v>
      </c>
      <c r="AK493" t="s">
        <v>18</v>
      </c>
      <c r="AL493" t="s">
        <v>19</v>
      </c>
      <c r="AM493" t="s">
        <v>363</v>
      </c>
      <c r="AN493" t="s">
        <v>0</v>
      </c>
      <c r="AO493" t="s">
        <v>0</v>
      </c>
      <c r="AP493" t="s">
        <v>0</v>
      </c>
      <c r="AQ493" s="5">
        <v>40</v>
      </c>
      <c r="AR493" t="s">
        <v>11</v>
      </c>
      <c r="AS493" t="s">
        <v>0</v>
      </c>
      <c r="AT493" t="s">
        <v>17</v>
      </c>
      <c r="AU493" s="4">
        <v>0</v>
      </c>
      <c r="AV493" s="4">
        <v>0</v>
      </c>
      <c r="AW493" s="4">
        <v>0</v>
      </c>
      <c r="AX493" s="4">
        <v>0</v>
      </c>
      <c r="AY493" s="5">
        <v>0</v>
      </c>
      <c r="AZ493" s="5">
        <v>0</v>
      </c>
      <c r="BA493" s="5">
        <v>0</v>
      </c>
      <c r="BB493" s="2"/>
      <c r="BC493" t="s">
        <v>0</v>
      </c>
      <c r="BD493" s="5">
        <v>1</v>
      </c>
      <c r="BE493" t="s">
        <v>0</v>
      </c>
      <c r="BF493" t="s">
        <v>367</v>
      </c>
      <c r="BG493" t="s">
        <v>17</v>
      </c>
      <c r="BH493" t="s">
        <v>0</v>
      </c>
      <c r="BI493" t="s">
        <v>11</v>
      </c>
      <c r="BJ493" t="s">
        <v>0</v>
      </c>
      <c r="BK493" t="s">
        <v>0</v>
      </c>
      <c r="BL493" s="5">
        <v>0</v>
      </c>
      <c r="BM493" t="s">
        <v>0</v>
      </c>
      <c r="BN493" t="s">
        <v>0</v>
      </c>
      <c r="BO493" t="s">
        <v>0</v>
      </c>
      <c r="BP493" t="s">
        <v>17</v>
      </c>
      <c r="BQ493" t="s">
        <v>0</v>
      </c>
      <c r="BR493" t="s">
        <v>17</v>
      </c>
      <c r="BS493" t="s">
        <v>17</v>
      </c>
      <c r="BT493" t="s">
        <v>0</v>
      </c>
      <c r="BU493" t="s">
        <v>0</v>
      </c>
      <c r="BV493" t="s">
        <v>0</v>
      </c>
      <c r="BW493" t="s">
        <v>0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</row>
    <row r="494" spans="1:80" ht="13.95" customHeight="1" x14ac:dyDescent="0.25">
      <c r="A494" t="s">
        <v>373</v>
      </c>
      <c r="B494" s="2">
        <v>45804</v>
      </c>
      <c r="C494" s="2"/>
      <c r="D494" s="2"/>
      <c r="E494" t="s">
        <v>2</v>
      </c>
      <c r="F494" t="s">
        <v>3</v>
      </c>
      <c r="G494" t="s">
        <v>0</v>
      </c>
      <c r="H494" t="s">
        <v>4</v>
      </c>
      <c r="I494" t="s">
        <v>363</v>
      </c>
      <c r="J494" t="s">
        <v>6</v>
      </c>
      <c r="K494" t="s">
        <v>22</v>
      </c>
      <c r="L494" t="s">
        <v>74</v>
      </c>
      <c r="M494" t="s">
        <v>75</v>
      </c>
      <c r="N494" t="s">
        <v>10</v>
      </c>
      <c r="O494" t="s">
        <v>0</v>
      </c>
      <c r="P494" t="s">
        <v>11</v>
      </c>
      <c r="Q494" s="5">
        <v>10</v>
      </c>
      <c r="R494" s="4">
        <v>57750</v>
      </c>
      <c r="S494" s="5">
        <v>1</v>
      </c>
      <c r="T494" s="4">
        <v>577500</v>
      </c>
      <c r="U494" s="5">
        <v>0</v>
      </c>
      <c r="V494" s="4">
        <v>0</v>
      </c>
      <c r="W494" s="5">
        <v>0</v>
      </c>
      <c r="X494" s="4">
        <v>0</v>
      </c>
      <c r="Y494" s="4">
        <f t="shared" si="14"/>
        <v>577500</v>
      </c>
      <c r="Z494" s="6" t="s">
        <v>0</v>
      </c>
      <c r="AA494" t="s">
        <v>2</v>
      </c>
      <c r="AB494" t="s">
        <v>12</v>
      </c>
      <c r="AC494">
        <f>_xlfn.XLOOKUP(AB494,'[1]GST Codes'!$A:$A,'[1]GST Codes'!$C:$C,0,0)</f>
        <v>18</v>
      </c>
      <c r="AD494">
        <f t="shared" si="15"/>
        <v>681450</v>
      </c>
      <c r="AE494" t="s">
        <v>13</v>
      </c>
      <c r="AF494" t="s">
        <v>0</v>
      </c>
      <c r="AG494" t="s">
        <v>14</v>
      </c>
      <c r="AH494" t="s">
        <v>15</v>
      </c>
      <c r="AI494" t="s">
        <v>16</v>
      </c>
      <c r="AJ494" t="s">
        <v>17</v>
      </c>
      <c r="AK494" t="s">
        <v>18</v>
      </c>
      <c r="AL494" t="s">
        <v>19</v>
      </c>
      <c r="AM494" t="s">
        <v>363</v>
      </c>
      <c r="AN494" t="s">
        <v>0</v>
      </c>
      <c r="AO494" t="s">
        <v>0</v>
      </c>
      <c r="AP494" t="s">
        <v>0</v>
      </c>
      <c r="AQ494" s="5">
        <v>10</v>
      </c>
      <c r="AR494" t="s">
        <v>11</v>
      </c>
      <c r="AS494" t="s">
        <v>0</v>
      </c>
      <c r="AT494" t="s">
        <v>17</v>
      </c>
      <c r="AU494" s="4">
        <v>0</v>
      </c>
      <c r="AV494" s="4">
        <v>0</v>
      </c>
      <c r="AW494" s="4">
        <v>0</v>
      </c>
      <c r="AX494" s="4">
        <v>0</v>
      </c>
      <c r="AY494" s="5">
        <v>0</v>
      </c>
      <c r="AZ494" s="5">
        <v>0</v>
      </c>
      <c r="BA494" s="5">
        <v>0</v>
      </c>
      <c r="BB494" s="2"/>
      <c r="BC494" t="s">
        <v>0</v>
      </c>
      <c r="BD494" s="5">
        <v>1</v>
      </c>
      <c r="BE494" t="s">
        <v>0</v>
      </c>
      <c r="BF494" t="s">
        <v>367</v>
      </c>
      <c r="BG494" t="s">
        <v>17</v>
      </c>
      <c r="BH494" t="s">
        <v>0</v>
      </c>
      <c r="BI494" t="s">
        <v>11</v>
      </c>
      <c r="BJ494" t="s">
        <v>0</v>
      </c>
      <c r="BK494" t="s">
        <v>0</v>
      </c>
      <c r="BL494" s="5">
        <v>0</v>
      </c>
      <c r="BM494" t="s">
        <v>0</v>
      </c>
      <c r="BN494" t="s">
        <v>0</v>
      </c>
      <c r="BO494" t="s">
        <v>0</v>
      </c>
      <c r="BP494" t="s">
        <v>17</v>
      </c>
      <c r="BQ494" t="s">
        <v>0</v>
      </c>
      <c r="BR494" t="s">
        <v>17</v>
      </c>
      <c r="BS494" t="s">
        <v>17</v>
      </c>
      <c r="BT494" t="s">
        <v>0</v>
      </c>
      <c r="BU494" t="s">
        <v>0</v>
      </c>
      <c r="BV494" t="s">
        <v>0</v>
      </c>
      <c r="BW494" t="s">
        <v>0</v>
      </c>
      <c r="BX494" t="s">
        <v>0</v>
      </c>
      <c r="BY494" t="s">
        <v>0</v>
      </c>
      <c r="BZ494" t="s">
        <v>0</v>
      </c>
      <c r="CA494" t="s">
        <v>0</v>
      </c>
      <c r="CB494" t="s">
        <v>0</v>
      </c>
    </row>
    <row r="495" spans="1:80" ht="13.95" customHeight="1" x14ac:dyDescent="0.25">
      <c r="A495" t="s">
        <v>373</v>
      </c>
      <c r="B495" s="2">
        <v>45804</v>
      </c>
      <c r="C495" s="2"/>
      <c r="D495" s="2"/>
      <c r="E495" t="s">
        <v>2</v>
      </c>
      <c r="F495" t="s">
        <v>3</v>
      </c>
      <c r="G495" t="s">
        <v>0</v>
      </c>
      <c r="H495" t="s">
        <v>4</v>
      </c>
      <c r="I495" t="s">
        <v>363</v>
      </c>
      <c r="J495" t="s">
        <v>6</v>
      </c>
      <c r="K495" t="s">
        <v>26</v>
      </c>
      <c r="L495" t="s">
        <v>74</v>
      </c>
      <c r="M495" t="s">
        <v>75</v>
      </c>
      <c r="N495" t="s">
        <v>10</v>
      </c>
      <c r="O495" t="s">
        <v>0</v>
      </c>
      <c r="P495" t="s">
        <v>11</v>
      </c>
      <c r="Q495" s="5">
        <v>10</v>
      </c>
      <c r="R495" s="4">
        <v>57750</v>
      </c>
      <c r="S495" s="5">
        <v>1</v>
      </c>
      <c r="T495" s="4">
        <v>577500</v>
      </c>
      <c r="U495" s="5">
        <v>0</v>
      </c>
      <c r="V495" s="4">
        <v>0</v>
      </c>
      <c r="W495" s="5">
        <v>0</v>
      </c>
      <c r="X495" s="4">
        <v>0</v>
      </c>
      <c r="Y495" s="4">
        <f t="shared" si="14"/>
        <v>577500</v>
      </c>
      <c r="Z495" s="6" t="s">
        <v>0</v>
      </c>
      <c r="AA495" t="s">
        <v>2</v>
      </c>
      <c r="AB495" t="s">
        <v>12</v>
      </c>
      <c r="AC495">
        <f>_xlfn.XLOOKUP(AB495,'[1]GST Codes'!$A:$A,'[1]GST Codes'!$C:$C,0,0)</f>
        <v>18</v>
      </c>
      <c r="AD495">
        <f t="shared" si="15"/>
        <v>681450</v>
      </c>
      <c r="AE495" t="s">
        <v>13</v>
      </c>
      <c r="AF495" t="s">
        <v>0</v>
      </c>
      <c r="AG495" t="s">
        <v>14</v>
      </c>
      <c r="AH495" t="s">
        <v>15</v>
      </c>
      <c r="AI495" t="s">
        <v>16</v>
      </c>
      <c r="AJ495" t="s">
        <v>17</v>
      </c>
      <c r="AK495" t="s">
        <v>18</v>
      </c>
      <c r="AL495" t="s">
        <v>19</v>
      </c>
      <c r="AM495" t="s">
        <v>363</v>
      </c>
      <c r="AN495" t="s">
        <v>0</v>
      </c>
      <c r="AO495" t="s">
        <v>0</v>
      </c>
      <c r="AP495" t="s">
        <v>0</v>
      </c>
      <c r="AQ495" s="5">
        <v>10</v>
      </c>
      <c r="AR495" t="s">
        <v>11</v>
      </c>
      <c r="AS495" t="s">
        <v>0</v>
      </c>
      <c r="AT495" t="s">
        <v>17</v>
      </c>
      <c r="AU495" s="4">
        <v>0</v>
      </c>
      <c r="AV495" s="4">
        <v>0</v>
      </c>
      <c r="AW495" s="4">
        <v>0</v>
      </c>
      <c r="AX495" s="4">
        <v>0</v>
      </c>
      <c r="AY495" s="5">
        <v>0</v>
      </c>
      <c r="AZ495" s="5">
        <v>0</v>
      </c>
      <c r="BA495" s="5">
        <v>0</v>
      </c>
      <c r="BB495" s="2"/>
      <c r="BC495" t="s">
        <v>0</v>
      </c>
      <c r="BD495" s="5">
        <v>1</v>
      </c>
      <c r="BE495" t="s">
        <v>0</v>
      </c>
      <c r="BF495" t="s">
        <v>367</v>
      </c>
      <c r="BG495" t="s">
        <v>17</v>
      </c>
      <c r="BH495" t="s">
        <v>0</v>
      </c>
      <c r="BI495" t="s">
        <v>11</v>
      </c>
      <c r="BJ495" t="s">
        <v>0</v>
      </c>
      <c r="BK495" t="s">
        <v>0</v>
      </c>
      <c r="BL495" s="5">
        <v>0</v>
      </c>
      <c r="BM495" t="s">
        <v>0</v>
      </c>
      <c r="BN495" t="s">
        <v>0</v>
      </c>
      <c r="BO495" t="s">
        <v>0</v>
      </c>
      <c r="BP495" t="s">
        <v>17</v>
      </c>
      <c r="BQ495" t="s">
        <v>0</v>
      </c>
      <c r="BR495" t="s">
        <v>17</v>
      </c>
      <c r="BS495" t="s">
        <v>17</v>
      </c>
      <c r="BT495" t="s">
        <v>0</v>
      </c>
      <c r="BU495" t="s">
        <v>0</v>
      </c>
      <c r="BV495" t="s">
        <v>0</v>
      </c>
      <c r="BW495" t="s">
        <v>0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</row>
    <row r="496" spans="1:80" ht="13.95" customHeight="1" x14ac:dyDescent="0.25">
      <c r="A496" t="s">
        <v>373</v>
      </c>
      <c r="B496" s="2">
        <v>45804</v>
      </c>
      <c r="C496" s="2"/>
      <c r="D496" s="2"/>
      <c r="E496" t="s">
        <v>2</v>
      </c>
      <c r="F496" t="s">
        <v>3</v>
      </c>
      <c r="G496" t="s">
        <v>0</v>
      </c>
      <c r="H496" t="s">
        <v>4</v>
      </c>
      <c r="I496" t="s">
        <v>363</v>
      </c>
      <c r="J496" t="s">
        <v>6</v>
      </c>
      <c r="K496" t="s">
        <v>30</v>
      </c>
      <c r="L496" t="s">
        <v>74</v>
      </c>
      <c r="M496" t="s">
        <v>75</v>
      </c>
      <c r="N496" t="s">
        <v>10</v>
      </c>
      <c r="O496" t="s">
        <v>0</v>
      </c>
      <c r="P496" t="s">
        <v>11</v>
      </c>
      <c r="Q496" s="5">
        <v>10</v>
      </c>
      <c r="R496" s="4">
        <v>57750</v>
      </c>
      <c r="S496" s="5">
        <v>1</v>
      </c>
      <c r="T496" s="4">
        <v>577500</v>
      </c>
      <c r="U496" s="5">
        <v>0</v>
      </c>
      <c r="V496" s="4">
        <v>0</v>
      </c>
      <c r="W496" s="5">
        <v>0</v>
      </c>
      <c r="X496" s="4">
        <v>0</v>
      </c>
      <c r="Y496" s="4">
        <f t="shared" si="14"/>
        <v>577500</v>
      </c>
      <c r="Z496" s="6" t="s">
        <v>0</v>
      </c>
      <c r="AA496" t="s">
        <v>2</v>
      </c>
      <c r="AB496" t="s">
        <v>12</v>
      </c>
      <c r="AC496">
        <f>_xlfn.XLOOKUP(AB496,'[1]GST Codes'!$A:$A,'[1]GST Codes'!$C:$C,0,0)</f>
        <v>18</v>
      </c>
      <c r="AD496">
        <f t="shared" si="15"/>
        <v>681450</v>
      </c>
      <c r="AE496" t="s">
        <v>13</v>
      </c>
      <c r="AF496" t="s">
        <v>0</v>
      </c>
      <c r="AG496" t="s">
        <v>14</v>
      </c>
      <c r="AH496" t="s">
        <v>15</v>
      </c>
      <c r="AI496" t="s">
        <v>16</v>
      </c>
      <c r="AJ496" t="s">
        <v>17</v>
      </c>
      <c r="AK496" t="s">
        <v>18</v>
      </c>
      <c r="AL496" t="s">
        <v>19</v>
      </c>
      <c r="AM496" t="s">
        <v>363</v>
      </c>
      <c r="AN496" t="s">
        <v>0</v>
      </c>
      <c r="AO496" t="s">
        <v>0</v>
      </c>
      <c r="AP496" t="s">
        <v>0</v>
      </c>
      <c r="AQ496" s="5">
        <v>10</v>
      </c>
      <c r="AR496" t="s">
        <v>11</v>
      </c>
      <c r="AS496" t="s">
        <v>0</v>
      </c>
      <c r="AT496" t="s">
        <v>17</v>
      </c>
      <c r="AU496" s="4">
        <v>0</v>
      </c>
      <c r="AV496" s="4">
        <v>0</v>
      </c>
      <c r="AW496" s="4">
        <v>0</v>
      </c>
      <c r="AX496" s="4">
        <v>0</v>
      </c>
      <c r="AY496" s="5">
        <v>0</v>
      </c>
      <c r="AZ496" s="5">
        <v>0</v>
      </c>
      <c r="BA496" s="5">
        <v>0</v>
      </c>
      <c r="BB496" s="2"/>
      <c r="BC496" t="s">
        <v>0</v>
      </c>
      <c r="BD496" s="5">
        <v>1</v>
      </c>
      <c r="BE496" t="s">
        <v>0</v>
      </c>
      <c r="BF496" t="s">
        <v>367</v>
      </c>
      <c r="BG496" t="s">
        <v>17</v>
      </c>
      <c r="BH496" t="s">
        <v>0</v>
      </c>
      <c r="BI496" t="s">
        <v>11</v>
      </c>
      <c r="BJ496" t="s">
        <v>0</v>
      </c>
      <c r="BK496" t="s">
        <v>0</v>
      </c>
      <c r="BL496" s="5">
        <v>0</v>
      </c>
      <c r="BM496" t="s">
        <v>0</v>
      </c>
      <c r="BN496" t="s">
        <v>0</v>
      </c>
      <c r="BO496" t="s">
        <v>0</v>
      </c>
      <c r="BP496" t="s">
        <v>17</v>
      </c>
      <c r="BQ496" t="s">
        <v>0</v>
      </c>
      <c r="BR496" t="s">
        <v>17</v>
      </c>
      <c r="BS496" t="s">
        <v>17</v>
      </c>
      <c r="BT496" t="s">
        <v>0</v>
      </c>
      <c r="BU496" t="s">
        <v>0</v>
      </c>
      <c r="BV496" t="s">
        <v>0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</row>
    <row r="497" spans="1:80" ht="13.95" customHeight="1" x14ac:dyDescent="0.25">
      <c r="A497" t="s">
        <v>373</v>
      </c>
      <c r="B497" s="2">
        <v>45804</v>
      </c>
      <c r="C497" s="2"/>
      <c r="D497" s="2"/>
      <c r="E497" t="s">
        <v>2</v>
      </c>
      <c r="F497" t="s">
        <v>3</v>
      </c>
      <c r="G497" t="s">
        <v>0</v>
      </c>
      <c r="H497" t="s">
        <v>4</v>
      </c>
      <c r="I497" t="s">
        <v>363</v>
      </c>
      <c r="J497" t="s">
        <v>6</v>
      </c>
      <c r="K497" t="s">
        <v>34</v>
      </c>
      <c r="L497" t="s">
        <v>74</v>
      </c>
      <c r="M497" t="s">
        <v>75</v>
      </c>
      <c r="N497" t="s">
        <v>10</v>
      </c>
      <c r="O497" t="s">
        <v>0</v>
      </c>
      <c r="P497" t="s">
        <v>11</v>
      </c>
      <c r="Q497" s="5">
        <v>10</v>
      </c>
      <c r="R497" s="4">
        <v>57750</v>
      </c>
      <c r="S497" s="5">
        <v>1</v>
      </c>
      <c r="T497" s="4">
        <v>577500</v>
      </c>
      <c r="U497" s="5">
        <v>0</v>
      </c>
      <c r="V497" s="4">
        <v>0</v>
      </c>
      <c r="W497" s="5">
        <v>0</v>
      </c>
      <c r="X497" s="4">
        <v>0</v>
      </c>
      <c r="Y497" s="4">
        <f t="shared" si="14"/>
        <v>577500</v>
      </c>
      <c r="Z497" s="6" t="s">
        <v>0</v>
      </c>
      <c r="AA497" t="s">
        <v>2</v>
      </c>
      <c r="AB497" t="s">
        <v>12</v>
      </c>
      <c r="AC497">
        <f>_xlfn.XLOOKUP(AB497,'[1]GST Codes'!$A:$A,'[1]GST Codes'!$C:$C,0,0)</f>
        <v>18</v>
      </c>
      <c r="AD497">
        <f t="shared" si="15"/>
        <v>681450</v>
      </c>
      <c r="AE497" t="s">
        <v>13</v>
      </c>
      <c r="AF497" t="s">
        <v>0</v>
      </c>
      <c r="AG497" t="s">
        <v>14</v>
      </c>
      <c r="AH497" t="s">
        <v>15</v>
      </c>
      <c r="AI497" t="s">
        <v>16</v>
      </c>
      <c r="AJ497" t="s">
        <v>17</v>
      </c>
      <c r="AK497" t="s">
        <v>18</v>
      </c>
      <c r="AL497" t="s">
        <v>19</v>
      </c>
      <c r="AM497" t="s">
        <v>363</v>
      </c>
      <c r="AN497" t="s">
        <v>0</v>
      </c>
      <c r="AO497" t="s">
        <v>0</v>
      </c>
      <c r="AP497" t="s">
        <v>0</v>
      </c>
      <c r="AQ497" s="5">
        <v>10</v>
      </c>
      <c r="AR497" t="s">
        <v>11</v>
      </c>
      <c r="AS497" t="s">
        <v>0</v>
      </c>
      <c r="AT497" t="s">
        <v>17</v>
      </c>
      <c r="AU497" s="4">
        <v>0</v>
      </c>
      <c r="AV497" s="4">
        <v>0</v>
      </c>
      <c r="AW497" s="4">
        <v>0</v>
      </c>
      <c r="AX497" s="4">
        <v>0</v>
      </c>
      <c r="AY497" s="5">
        <v>0</v>
      </c>
      <c r="AZ497" s="5">
        <v>0</v>
      </c>
      <c r="BA497" s="5">
        <v>0</v>
      </c>
      <c r="BB497" s="2"/>
      <c r="BC497" t="s">
        <v>0</v>
      </c>
      <c r="BD497" s="5">
        <v>1</v>
      </c>
      <c r="BE497" t="s">
        <v>0</v>
      </c>
      <c r="BF497" t="s">
        <v>367</v>
      </c>
      <c r="BG497" t="s">
        <v>17</v>
      </c>
      <c r="BH497" t="s">
        <v>0</v>
      </c>
      <c r="BI497" t="s">
        <v>11</v>
      </c>
      <c r="BJ497" t="s">
        <v>0</v>
      </c>
      <c r="BK497" t="s">
        <v>0</v>
      </c>
      <c r="BL497" s="5">
        <v>0</v>
      </c>
      <c r="BM497" t="s">
        <v>0</v>
      </c>
      <c r="BN497" t="s">
        <v>0</v>
      </c>
      <c r="BO497" t="s">
        <v>0</v>
      </c>
      <c r="BP497" t="s">
        <v>17</v>
      </c>
      <c r="BQ497" t="s">
        <v>0</v>
      </c>
      <c r="BR497" t="s">
        <v>17</v>
      </c>
      <c r="BS497" t="s">
        <v>17</v>
      </c>
      <c r="BT497" t="s">
        <v>0</v>
      </c>
      <c r="BU497" t="s">
        <v>0</v>
      </c>
      <c r="BV497" t="s">
        <v>0</v>
      </c>
      <c r="BW497" t="s">
        <v>0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</row>
    <row r="498" spans="1:80" ht="13.95" customHeight="1" x14ac:dyDescent="0.25">
      <c r="A498" t="s">
        <v>373</v>
      </c>
      <c r="B498" s="2">
        <v>45804</v>
      </c>
      <c r="C498" s="2"/>
      <c r="D498" s="2"/>
      <c r="E498" t="s">
        <v>2</v>
      </c>
      <c r="F498" t="s">
        <v>3</v>
      </c>
      <c r="G498" t="s">
        <v>0</v>
      </c>
      <c r="H498" t="s">
        <v>4</v>
      </c>
      <c r="I498" t="s">
        <v>363</v>
      </c>
      <c r="J498" t="s">
        <v>6</v>
      </c>
      <c r="K498" t="s">
        <v>38</v>
      </c>
      <c r="L498" t="s">
        <v>74</v>
      </c>
      <c r="M498" t="s">
        <v>75</v>
      </c>
      <c r="N498" t="s">
        <v>10</v>
      </c>
      <c r="O498" t="s">
        <v>0</v>
      </c>
      <c r="P498" t="s">
        <v>11</v>
      </c>
      <c r="Q498" s="5">
        <v>10</v>
      </c>
      <c r="R498" s="4">
        <v>57750</v>
      </c>
      <c r="S498" s="5">
        <v>1</v>
      </c>
      <c r="T498" s="4">
        <v>577500</v>
      </c>
      <c r="U498" s="5">
        <v>0</v>
      </c>
      <c r="V498" s="4">
        <v>0</v>
      </c>
      <c r="W498" s="5">
        <v>0</v>
      </c>
      <c r="X498" s="4">
        <v>0</v>
      </c>
      <c r="Y498" s="4">
        <f t="shared" si="14"/>
        <v>577500</v>
      </c>
      <c r="Z498" s="6" t="s">
        <v>0</v>
      </c>
      <c r="AA498" t="s">
        <v>2</v>
      </c>
      <c r="AB498" t="s">
        <v>12</v>
      </c>
      <c r="AC498">
        <f>_xlfn.XLOOKUP(AB498,'[1]GST Codes'!$A:$A,'[1]GST Codes'!$C:$C,0,0)</f>
        <v>18</v>
      </c>
      <c r="AD498">
        <f t="shared" si="15"/>
        <v>681450</v>
      </c>
      <c r="AE498" t="s">
        <v>13</v>
      </c>
      <c r="AF498" t="s">
        <v>0</v>
      </c>
      <c r="AG498" t="s">
        <v>14</v>
      </c>
      <c r="AH498" t="s">
        <v>15</v>
      </c>
      <c r="AI498" t="s">
        <v>16</v>
      </c>
      <c r="AJ498" t="s">
        <v>17</v>
      </c>
      <c r="AK498" t="s">
        <v>18</v>
      </c>
      <c r="AL498" t="s">
        <v>19</v>
      </c>
      <c r="AM498" t="s">
        <v>363</v>
      </c>
      <c r="AN498" t="s">
        <v>0</v>
      </c>
      <c r="AO498" t="s">
        <v>0</v>
      </c>
      <c r="AP498" t="s">
        <v>0</v>
      </c>
      <c r="AQ498" s="5">
        <v>10</v>
      </c>
      <c r="AR498" t="s">
        <v>11</v>
      </c>
      <c r="AS498" t="s">
        <v>0</v>
      </c>
      <c r="AT498" t="s">
        <v>17</v>
      </c>
      <c r="AU498" s="4">
        <v>0</v>
      </c>
      <c r="AV498" s="4">
        <v>0</v>
      </c>
      <c r="AW498" s="4">
        <v>0</v>
      </c>
      <c r="AX498" s="4">
        <v>0</v>
      </c>
      <c r="AY498" s="5">
        <v>0</v>
      </c>
      <c r="AZ498" s="5">
        <v>0</v>
      </c>
      <c r="BA498" s="5">
        <v>0</v>
      </c>
      <c r="BB498" s="2"/>
      <c r="BC498" t="s">
        <v>0</v>
      </c>
      <c r="BD498" s="5">
        <v>1</v>
      </c>
      <c r="BE498" t="s">
        <v>0</v>
      </c>
      <c r="BF498" t="s">
        <v>367</v>
      </c>
      <c r="BG498" t="s">
        <v>17</v>
      </c>
      <c r="BH498" t="s">
        <v>0</v>
      </c>
      <c r="BI498" t="s">
        <v>11</v>
      </c>
      <c r="BJ498" t="s">
        <v>0</v>
      </c>
      <c r="BK498" t="s">
        <v>0</v>
      </c>
      <c r="BL498" s="5">
        <v>0</v>
      </c>
      <c r="BM498" t="s">
        <v>0</v>
      </c>
      <c r="BN498" t="s">
        <v>0</v>
      </c>
      <c r="BO498" t="s">
        <v>0</v>
      </c>
      <c r="BP498" t="s">
        <v>17</v>
      </c>
      <c r="BQ498" t="s">
        <v>0</v>
      </c>
      <c r="BR498" t="s">
        <v>17</v>
      </c>
      <c r="BS498" t="s">
        <v>17</v>
      </c>
      <c r="BT498" t="s">
        <v>0</v>
      </c>
      <c r="BU498" t="s">
        <v>0</v>
      </c>
      <c r="BV498" t="s">
        <v>0</v>
      </c>
      <c r="BW498" t="s">
        <v>0</v>
      </c>
      <c r="BX498" t="s">
        <v>0</v>
      </c>
      <c r="BY498" t="s">
        <v>0</v>
      </c>
      <c r="BZ498" t="s">
        <v>0</v>
      </c>
      <c r="CA498" t="s">
        <v>0</v>
      </c>
      <c r="CB498" t="s">
        <v>0</v>
      </c>
    </row>
    <row r="499" spans="1:80" ht="13.95" customHeight="1" x14ac:dyDescent="0.25">
      <c r="A499" t="s">
        <v>373</v>
      </c>
      <c r="B499" s="2">
        <v>45804</v>
      </c>
      <c r="C499" s="2"/>
      <c r="D499" s="2"/>
      <c r="E499" t="s">
        <v>2</v>
      </c>
      <c r="F499" t="s">
        <v>3</v>
      </c>
      <c r="G499" t="s">
        <v>0</v>
      </c>
      <c r="H499" t="s">
        <v>4</v>
      </c>
      <c r="I499" t="s">
        <v>363</v>
      </c>
      <c r="J499" t="s">
        <v>6</v>
      </c>
      <c r="K499" t="s">
        <v>42</v>
      </c>
      <c r="L499" t="s">
        <v>74</v>
      </c>
      <c r="M499" t="s">
        <v>75</v>
      </c>
      <c r="N499" t="s">
        <v>10</v>
      </c>
      <c r="O499" t="s">
        <v>0</v>
      </c>
      <c r="P499" t="s">
        <v>11</v>
      </c>
      <c r="Q499" s="5">
        <v>10</v>
      </c>
      <c r="R499" s="4">
        <v>57750</v>
      </c>
      <c r="S499" s="5">
        <v>1</v>
      </c>
      <c r="T499" s="4">
        <v>577500</v>
      </c>
      <c r="U499" s="5">
        <v>0</v>
      </c>
      <c r="V499" s="4">
        <v>0</v>
      </c>
      <c r="W499" s="5">
        <v>0</v>
      </c>
      <c r="X499" s="4">
        <v>0</v>
      </c>
      <c r="Y499" s="4">
        <f t="shared" si="14"/>
        <v>577500</v>
      </c>
      <c r="Z499" s="6" t="s">
        <v>0</v>
      </c>
      <c r="AA499" t="s">
        <v>2</v>
      </c>
      <c r="AB499" t="s">
        <v>12</v>
      </c>
      <c r="AC499">
        <f>_xlfn.XLOOKUP(AB499,'[1]GST Codes'!$A:$A,'[1]GST Codes'!$C:$C,0,0)</f>
        <v>18</v>
      </c>
      <c r="AD499">
        <f t="shared" si="15"/>
        <v>681450</v>
      </c>
      <c r="AE499" t="s">
        <v>13</v>
      </c>
      <c r="AF499" t="s">
        <v>0</v>
      </c>
      <c r="AG499" t="s">
        <v>14</v>
      </c>
      <c r="AH499" t="s">
        <v>15</v>
      </c>
      <c r="AI499" t="s">
        <v>16</v>
      </c>
      <c r="AJ499" t="s">
        <v>17</v>
      </c>
      <c r="AK499" t="s">
        <v>18</v>
      </c>
      <c r="AL499" t="s">
        <v>19</v>
      </c>
      <c r="AM499" t="s">
        <v>363</v>
      </c>
      <c r="AN499" t="s">
        <v>0</v>
      </c>
      <c r="AO499" t="s">
        <v>0</v>
      </c>
      <c r="AP499" t="s">
        <v>0</v>
      </c>
      <c r="AQ499" s="5">
        <v>10</v>
      </c>
      <c r="AR499" t="s">
        <v>11</v>
      </c>
      <c r="AS499" t="s">
        <v>0</v>
      </c>
      <c r="AT499" t="s">
        <v>17</v>
      </c>
      <c r="AU499" s="4">
        <v>0</v>
      </c>
      <c r="AV499" s="4">
        <v>0</v>
      </c>
      <c r="AW499" s="4">
        <v>0</v>
      </c>
      <c r="AX499" s="4">
        <v>0</v>
      </c>
      <c r="AY499" s="5">
        <v>0</v>
      </c>
      <c r="AZ499" s="5">
        <v>0</v>
      </c>
      <c r="BA499" s="5">
        <v>0</v>
      </c>
      <c r="BB499" s="2"/>
      <c r="BC499" t="s">
        <v>0</v>
      </c>
      <c r="BD499" s="5">
        <v>1</v>
      </c>
      <c r="BE499" t="s">
        <v>0</v>
      </c>
      <c r="BF499" t="s">
        <v>367</v>
      </c>
      <c r="BG499" t="s">
        <v>17</v>
      </c>
      <c r="BH499" t="s">
        <v>0</v>
      </c>
      <c r="BI499" t="s">
        <v>11</v>
      </c>
      <c r="BJ499" t="s">
        <v>0</v>
      </c>
      <c r="BK499" t="s">
        <v>0</v>
      </c>
      <c r="BL499" s="5">
        <v>0</v>
      </c>
      <c r="BM499" t="s">
        <v>0</v>
      </c>
      <c r="BN499" t="s">
        <v>0</v>
      </c>
      <c r="BO499" t="s">
        <v>0</v>
      </c>
      <c r="BP499" t="s">
        <v>17</v>
      </c>
      <c r="BQ499" t="s">
        <v>0</v>
      </c>
      <c r="BR499" t="s">
        <v>17</v>
      </c>
      <c r="BS499" t="s">
        <v>17</v>
      </c>
      <c r="BT499" t="s">
        <v>0</v>
      </c>
      <c r="BU499" t="s">
        <v>0</v>
      </c>
      <c r="BV499" t="s">
        <v>0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</row>
    <row r="500" spans="1:80" ht="13.95" customHeight="1" x14ac:dyDescent="0.25">
      <c r="A500" t="s">
        <v>373</v>
      </c>
      <c r="B500" s="2">
        <v>45804</v>
      </c>
      <c r="C500" s="2"/>
      <c r="D500" s="2"/>
      <c r="E500" t="s">
        <v>2</v>
      </c>
      <c r="F500" t="s">
        <v>3</v>
      </c>
      <c r="G500" t="s">
        <v>0</v>
      </c>
      <c r="H500" t="s">
        <v>4</v>
      </c>
      <c r="I500" t="s">
        <v>363</v>
      </c>
      <c r="J500" t="s">
        <v>6</v>
      </c>
      <c r="K500" t="s">
        <v>86</v>
      </c>
      <c r="L500" t="s">
        <v>39</v>
      </c>
      <c r="M500" t="s">
        <v>40</v>
      </c>
      <c r="N500" t="s">
        <v>10</v>
      </c>
      <c r="O500" t="s">
        <v>0</v>
      </c>
      <c r="P500" t="s">
        <v>11</v>
      </c>
      <c r="Q500" s="5">
        <v>40</v>
      </c>
      <c r="R500" s="4">
        <v>57750</v>
      </c>
      <c r="S500" s="5">
        <v>1</v>
      </c>
      <c r="T500" s="4">
        <v>2310000</v>
      </c>
      <c r="U500" s="5">
        <v>0</v>
      </c>
      <c r="V500" s="4">
        <v>0</v>
      </c>
      <c r="W500" s="5">
        <v>0</v>
      </c>
      <c r="X500" s="4">
        <v>0</v>
      </c>
      <c r="Y500" s="4">
        <f t="shared" si="14"/>
        <v>2310000</v>
      </c>
      <c r="Z500" s="6" t="s">
        <v>0</v>
      </c>
      <c r="AA500" t="s">
        <v>2</v>
      </c>
      <c r="AB500" t="s">
        <v>12</v>
      </c>
      <c r="AC500">
        <f>_xlfn.XLOOKUP(AB500,'[1]GST Codes'!$A:$A,'[1]GST Codes'!$C:$C,0,0)</f>
        <v>18</v>
      </c>
      <c r="AD500">
        <f t="shared" si="15"/>
        <v>2725800</v>
      </c>
      <c r="AE500" t="s">
        <v>13</v>
      </c>
      <c r="AF500" t="s">
        <v>0</v>
      </c>
      <c r="AG500" t="s">
        <v>14</v>
      </c>
      <c r="AH500" t="s">
        <v>15</v>
      </c>
      <c r="AI500" t="s">
        <v>16</v>
      </c>
      <c r="AJ500" t="s">
        <v>17</v>
      </c>
      <c r="AK500" t="s">
        <v>18</v>
      </c>
      <c r="AL500" t="s">
        <v>19</v>
      </c>
      <c r="AM500" t="s">
        <v>363</v>
      </c>
      <c r="AN500" t="s">
        <v>0</v>
      </c>
      <c r="AO500" t="s">
        <v>0</v>
      </c>
      <c r="AP500" t="s">
        <v>0</v>
      </c>
      <c r="AQ500" s="5">
        <v>40</v>
      </c>
      <c r="AR500" t="s">
        <v>11</v>
      </c>
      <c r="AS500" t="s">
        <v>0</v>
      </c>
      <c r="AT500" t="s">
        <v>17</v>
      </c>
      <c r="AU500" s="4">
        <v>0</v>
      </c>
      <c r="AV500" s="4">
        <v>0</v>
      </c>
      <c r="AW500" s="4">
        <v>0</v>
      </c>
      <c r="AX500" s="4">
        <v>0</v>
      </c>
      <c r="AY500" s="5">
        <v>0</v>
      </c>
      <c r="AZ500" s="5">
        <v>0</v>
      </c>
      <c r="BA500" s="5">
        <v>0</v>
      </c>
      <c r="BB500" s="2"/>
      <c r="BC500" t="s">
        <v>0</v>
      </c>
      <c r="BD500" s="5">
        <v>1</v>
      </c>
      <c r="BE500" t="s">
        <v>0</v>
      </c>
      <c r="BF500" t="s">
        <v>368</v>
      </c>
      <c r="BG500" t="s">
        <v>17</v>
      </c>
      <c r="BH500" t="s">
        <v>0</v>
      </c>
      <c r="BI500" t="s">
        <v>11</v>
      </c>
      <c r="BJ500" t="s">
        <v>0</v>
      </c>
      <c r="BK500" t="s">
        <v>0</v>
      </c>
      <c r="BL500" s="5">
        <v>0</v>
      </c>
      <c r="BM500" t="s">
        <v>0</v>
      </c>
      <c r="BN500" t="s">
        <v>0</v>
      </c>
      <c r="BO500" t="s">
        <v>0</v>
      </c>
      <c r="BP500" t="s">
        <v>17</v>
      </c>
      <c r="BQ500" t="s">
        <v>0</v>
      </c>
      <c r="BR500" t="s">
        <v>17</v>
      </c>
      <c r="BS500" t="s">
        <v>17</v>
      </c>
      <c r="BT500" t="s">
        <v>0</v>
      </c>
      <c r="BU500" t="s">
        <v>0</v>
      </c>
      <c r="BV500" t="s">
        <v>0</v>
      </c>
      <c r="BW500" t="s">
        <v>0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</row>
    <row r="501" spans="1:80" ht="13.95" customHeight="1" x14ac:dyDescent="0.25">
      <c r="A501" t="s">
        <v>373</v>
      </c>
      <c r="B501" s="2">
        <v>45804</v>
      </c>
      <c r="C501" s="2"/>
      <c r="D501" s="2"/>
      <c r="E501" t="s">
        <v>2</v>
      </c>
      <c r="F501" t="s">
        <v>3</v>
      </c>
      <c r="G501" t="s">
        <v>0</v>
      </c>
      <c r="H501" t="s">
        <v>4</v>
      </c>
      <c r="I501" t="s">
        <v>363</v>
      </c>
      <c r="J501" t="s">
        <v>6</v>
      </c>
      <c r="K501" t="s">
        <v>87</v>
      </c>
      <c r="L501" t="s">
        <v>39</v>
      </c>
      <c r="M501" t="s">
        <v>40</v>
      </c>
      <c r="N501" t="s">
        <v>10</v>
      </c>
      <c r="O501" t="s">
        <v>0</v>
      </c>
      <c r="P501" t="s">
        <v>11</v>
      </c>
      <c r="Q501" s="5">
        <v>15</v>
      </c>
      <c r="R501" s="4">
        <v>57750</v>
      </c>
      <c r="S501" s="5">
        <v>1</v>
      </c>
      <c r="T501" s="4">
        <v>866250</v>
      </c>
      <c r="U501" s="5">
        <v>0</v>
      </c>
      <c r="V501" s="4">
        <v>0</v>
      </c>
      <c r="W501" s="5">
        <v>0</v>
      </c>
      <c r="X501" s="4">
        <v>0</v>
      </c>
      <c r="Y501" s="4">
        <f t="shared" si="14"/>
        <v>866250</v>
      </c>
      <c r="Z501" s="6" t="s">
        <v>0</v>
      </c>
      <c r="AA501" t="s">
        <v>2</v>
      </c>
      <c r="AB501" t="s">
        <v>12</v>
      </c>
      <c r="AC501">
        <f>_xlfn.XLOOKUP(AB501,'[1]GST Codes'!$A:$A,'[1]GST Codes'!$C:$C,0,0)</f>
        <v>18</v>
      </c>
      <c r="AD501">
        <f t="shared" si="15"/>
        <v>1022175</v>
      </c>
      <c r="AE501" t="s">
        <v>13</v>
      </c>
      <c r="AF501" t="s">
        <v>0</v>
      </c>
      <c r="AG501" t="s">
        <v>14</v>
      </c>
      <c r="AH501" t="s">
        <v>15</v>
      </c>
      <c r="AI501" t="s">
        <v>16</v>
      </c>
      <c r="AJ501" t="s">
        <v>17</v>
      </c>
      <c r="AK501" t="s">
        <v>18</v>
      </c>
      <c r="AL501" t="s">
        <v>19</v>
      </c>
      <c r="AM501" t="s">
        <v>363</v>
      </c>
      <c r="AN501" t="s">
        <v>0</v>
      </c>
      <c r="AO501" t="s">
        <v>0</v>
      </c>
      <c r="AP501" t="s">
        <v>0</v>
      </c>
      <c r="AQ501" s="5">
        <v>15</v>
      </c>
      <c r="AR501" t="s">
        <v>11</v>
      </c>
      <c r="AS501" t="s">
        <v>0</v>
      </c>
      <c r="AT501" t="s">
        <v>17</v>
      </c>
      <c r="AU501" s="4">
        <v>0</v>
      </c>
      <c r="AV501" s="4">
        <v>0</v>
      </c>
      <c r="AW501" s="4">
        <v>0</v>
      </c>
      <c r="AX501" s="4">
        <v>0</v>
      </c>
      <c r="AY501" s="5">
        <v>0</v>
      </c>
      <c r="AZ501" s="5">
        <v>0</v>
      </c>
      <c r="BA501" s="5">
        <v>0</v>
      </c>
      <c r="BB501" s="2"/>
      <c r="BC501" t="s">
        <v>0</v>
      </c>
      <c r="BD501" s="5">
        <v>1</v>
      </c>
      <c r="BE501" t="s">
        <v>0</v>
      </c>
      <c r="BF501" t="s">
        <v>368</v>
      </c>
      <c r="BG501" t="s">
        <v>17</v>
      </c>
      <c r="BH501" t="s">
        <v>0</v>
      </c>
      <c r="BI501" t="s">
        <v>11</v>
      </c>
      <c r="BJ501" t="s">
        <v>0</v>
      </c>
      <c r="BK501" t="s">
        <v>0</v>
      </c>
      <c r="BL501" s="5">
        <v>0</v>
      </c>
      <c r="BM501" t="s">
        <v>0</v>
      </c>
      <c r="BN501" t="s">
        <v>0</v>
      </c>
      <c r="BO501" t="s">
        <v>0</v>
      </c>
      <c r="BP501" t="s">
        <v>17</v>
      </c>
      <c r="BQ501" t="s">
        <v>0</v>
      </c>
      <c r="BR501" t="s">
        <v>17</v>
      </c>
      <c r="BS501" t="s">
        <v>17</v>
      </c>
      <c r="BT501" t="s">
        <v>0</v>
      </c>
      <c r="BU501" t="s">
        <v>0</v>
      </c>
      <c r="BV501" t="s">
        <v>0</v>
      </c>
      <c r="BW501" t="s">
        <v>0</v>
      </c>
      <c r="BX501" t="s">
        <v>0</v>
      </c>
      <c r="BY501" t="s">
        <v>0</v>
      </c>
      <c r="BZ501" t="s">
        <v>0</v>
      </c>
      <c r="CA501" t="s">
        <v>0</v>
      </c>
      <c r="CB501" t="s">
        <v>0</v>
      </c>
    </row>
    <row r="502" spans="1:80" ht="13.95" customHeight="1" x14ac:dyDescent="0.25">
      <c r="A502" t="s">
        <v>373</v>
      </c>
      <c r="B502" s="2">
        <v>45804</v>
      </c>
      <c r="C502" s="2"/>
      <c r="D502" s="2"/>
      <c r="E502" t="s">
        <v>2</v>
      </c>
      <c r="F502" t="s">
        <v>3</v>
      </c>
      <c r="G502" t="s">
        <v>0</v>
      </c>
      <c r="H502" t="s">
        <v>4</v>
      </c>
      <c r="I502" t="s">
        <v>363</v>
      </c>
      <c r="J502" t="s">
        <v>6</v>
      </c>
      <c r="K502" t="s">
        <v>88</v>
      </c>
      <c r="L502" t="s">
        <v>39</v>
      </c>
      <c r="M502" t="s">
        <v>40</v>
      </c>
      <c r="N502" t="s">
        <v>10</v>
      </c>
      <c r="O502" t="s">
        <v>0</v>
      </c>
      <c r="P502" t="s">
        <v>11</v>
      </c>
      <c r="Q502" s="5">
        <v>15</v>
      </c>
      <c r="R502" s="4">
        <v>57750</v>
      </c>
      <c r="S502" s="5">
        <v>1</v>
      </c>
      <c r="T502" s="4">
        <v>866250</v>
      </c>
      <c r="U502" s="5">
        <v>0</v>
      </c>
      <c r="V502" s="4">
        <v>0</v>
      </c>
      <c r="W502" s="5">
        <v>0</v>
      </c>
      <c r="X502" s="4">
        <v>0</v>
      </c>
      <c r="Y502" s="4">
        <f t="shared" si="14"/>
        <v>866250</v>
      </c>
      <c r="Z502" s="6" t="s">
        <v>0</v>
      </c>
      <c r="AA502" t="s">
        <v>2</v>
      </c>
      <c r="AB502" t="s">
        <v>12</v>
      </c>
      <c r="AC502">
        <f>_xlfn.XLOOKUP(AB502,'[1]GST Codes'!$A:$A,'[1]GST Codes'!$C:$C,0,0)</f>
        <v>18</v>
      </c>
      <c r="AD502">
        <f t="shared" si="15"/>
        <v>1022175</v>
      </c>
      <c r="AE502" t="s">
        <v>13</v>
      </c>
      <c r="AF502" t="s">
        <v>0</v>
      </c>
      <c r="AG502" t="s">
        <v>14</v>
      </c>
      <c r="AH502" t="s">
        <v>15</v>
      </c>
      <c r="AI502" t="s">
        <v>16</v>
      </c>
      <c r="AJ502" t="s">
        <v>17</v>
      </c>
      <c r="AK502" t="s">
        <v>18</v>
      </c>
      <c r="AL502" t="s">
        <v>19</v>
      </c>
      <c r="AM502" t="s">
        <v>363</v>
      </c>
      <c r="AN502" t="s">
        <v>0</v>
      </c>
      <c r="AO502" t="s">
        <v>0</v>
      </c>
      <c r="AP502" t="s">
        <v>0</v>
      </c>
      <c r="AQ502" s="5">
        <v>15</v>
      </c>
      <c r="AR502" t="s">
        <v>11</v>
      </c>
      <c r="AS502" t="s">
        <v>0</v>
      </c>
      <c r="AT502" t="s">
        <v>17</v>
      </c>
      <c r="AU502" s="4">
        <v>0</v>
      </c>
      <c r="AV502" s="4">
        <v>0</v>
      </c>
      <c r="AW502" s="4">
        <v>0</v>
      </c>
      <c r="AX502" s="4">
        <v>0</v>
      </c>
      <c r="AY502" s="5">
        <v>0</v>
      </c>
      <c r="AZ502" s="5">
        <v>0</v>
      </c>
      <c r="BA502" s="5">
        <v>0</v>
      </c>
      <c r="BB502" s="2"/>
      <c r="BC502" t="s">
        <v>0</v>
      </c>
      <c r="BD502" s="5">
        <v>1</v>
      </c>
      <c r="BE502" t="s">
        <v>0</v>
      </c>
      <c r="BF502" t="s">
        <v>368</v>
      </c>
      <c r="BG502" t="s">
        <v>17</v>
      </c>
      <c r="BH502" t="s">
        <v>0</v>
      </c>
      <c r="BI502" t="s">
        <v>11</v>
      </c>
      <c r="BJ502" t="s">
        <v>0</v>
      </c>
      <c r="BK502" t="s">
        <v>0</v>
      </c>
      <c r="BL502" s="5">
        <v>0</v>
      </c>
      <c r="BM502" t="s">
        <v>0</v>
      </c>
      <c r="BN502" t="s">
        <v>0</v>
      </c>
      <c r="BO502" t="s">
        <v>0</v>
      </c>
      <c r="BP502" t="s">
        <v>17</v>
      </c>
      <c r="BQ502" t="s">
        <v>0</v>
      </c>
      <c r="BR502" t="s">
        <v>17</v>
      </c>
      <c r="BS502" t="s">
        <v>17</v>
      </c>
      <c r="BT502" t="s">
        <v>0</v>
      </c>
      <c r="BU502" t="s">
        <v>0</v>
      </c>
      <c r="BV502" t="s">
        <v>0</v>
      </c>
      <c r="BW502" t="s">
        <v>0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</row>
    <row r="503" spans="1:80" ht="13.95" customHeight="1" x14ac:dyDescent="0.25">
      <c r="A503" t="s">
        <v>373</v>
      </c>
      <c r="B503" s="2">
        <v>45804</v>
      </c>
      <c r="C503" s="2"/>
      <c r="D503" s="2"/>
      <c r="E503" t="s">
        <v>2</v>
      </c>
      <c r="F503" t="s">
        <v>3</v>
      </c>
      <c r="G503" t="s">
        <v>0</v>
      </c>
      <c r="H503" t="s">
        <v>4</v>
      </c>
      <c r="I503" t="s">
        <v>363</v>
      </c>
      <c r="J503" t="s">
        <v>6</v>
      </c>
      <c r="K503" t="s">
        <v>89</v>
      </c>
      <c r="L503" t="s">
        <v>39</v>
      </c>
      <c r="M503" t="s">
        <v>40</v>
      </c>
      <c r="N503" t="s">
        <v>10</v>
      </c>
      <c r="O503" t="s">
        <v>0</v>
      </c>
      <c r="P503" t="s">
        <v>11</v>
      </c>
      <c r="Q503" s="5">
        <v>20</v>
      </c>
      <c r="R503" s="4">
        <v>57750</v>
      </c>
      <c r="S503" s="5">
        <v>1</v>
      </c>
      <c r="T503" s="4">
        <v>1155000</v>
      </c>
      <c r="U503" s="5">
        <v>0</v>
      </c>
      <c r="V503" s="4">
        <v>0</v>
      </c>
      <c r="W503" s="5">
        <v>0</v>
      </c>
      <c r="X503" s="4">
        <v>0</v>
      </c>
      <c r="Y503" s="4">
        <f t="shared" si="14"/>
        <v>1155000</v>
      </c>
      <c r="Z503" s="6" t="s">
        <v>0</v>
      </c>
      <c r="AA503" t="s">
        <v>2</v>
      </c>
      <c r="AB503" t="s">
        <v>12</v>
      </c>
      <c r="AC503">
        <f>_xlfn.XLOOKUP(AB503,'[1]GST Codes'!$A:$A,'[1]GST Codes'!$C:$C,0,0)</f>
        <v>18</v>
      </c>
      <c r="AD503">
        <f t="shared" si="15"/>
        <v>1362900</v>
      </c>
      <c r="AE503" t="s">
        <v>13</v>
      </c>
      <c r="AF503" t="s">
        <v>0</v>
      </c>
      <c r="AG503" t="s">
        <v>14</v>
      </c>
      <c r="AH503" t="s">
        <v>15</v>
      </c>
      <c r="AI503" t="s">
        <v>16</v>
      </c>
      <c r="AJ503" t="s">
        <v>17</v>
      </c>
      <c r="AK503" t="s">
        <v>18</v>
      </c>
      <c r="AL503" t="s">
        <v>19</v>
      </c>
      <c r="AM503" t="s">
        <v>363</v>
      </c>
      <c r="AN503" t="s">
        <v>0</v>
      </c>
      <c r="AO503" t="s">
        <v>0</v>
      </c>
      <c r="AP503" t="s">
        <v>0</v>
      </c>
      <c r="AQ503" s="5">
        <v>20</v>
      </c>
      <c r="AR503" t="s">
        <v>11</v>
      </c>
      <c r="AS503" t="s">
        <v>0</v>
      </c>
      <c r="AT503" t="s">
        <v>17</v>
      </c>
      <c r="AU503" s="4">
        <v>0</v>
      </c>
      <c r="AV503" s="4">
        <v>0</v>
      </c>
      <c r="AW503" s="4">
        <v>0</v>
      </c>
      <c r="AX503" s="4">
        <v>0</v>
      </c>
      <c r="AY503" s="5">
        <v>0</v>
      </c>
      <c r="AZ503" s="5">
        <v>0</v>
      </c>
      <c r="BA503" s="5">
        <v>0</v>
      </c>
      <c r="BB503" s="2"/>
      <c r="BC503" t="s">
        <v>0</v>
      </c>
      <c r="BD503" s="5">
        <v>1</v>
      </c>
      <c r="BE503" t="s">
        <v>0</v>
      </c>
      <c r="BF503" t="s">
        <v>368</v>
      </c>
      <c r="BG503" t="s">
        <v>17</v>
      </c>
      <c r="BH503" t="s">
        <v>0</v>
      </c>
      <c r="BI503" t="s">
        <v>11</v>
      </c>
      <c r="BJ503" t="s">
        <v>0</v>
      </c>
      <c r="BK503" t="s">
        <v>0</v>
      </c>
      <c r="BL503" s="5">
        <v>0</v>
      </c>
      <c r="BM503" t="s">
        <v>0</v>
      </c>
      <c r="BN503" t="s">
        <v>0</v>
      </c>
      <c r="BO503" t="s">
        <v>0</v>
      </c>
      <c r="BP503" t="s">
        <v>17</v>
      </c>
      <c r="BQ503" t="s">
        <v>0</v>
      </c>
      <c r="BR503" t="s">
        <v>17</v>
      </c>
      <c r="BS503" t="s">
        <v>17</v>
      </c>
      <c r="BT503" t="s">
        <v>0</v>
      </c>
      <c r="BU503" t="s">
        <v>0</v>
      </c>
      <c r="BV503" t="s">
        <v>0</v>
      </c>
      <c r="BW503" t="s">
        <v>0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</row>
    <row r="504" spans="1:80" ht="13.95" customHeight="1" x14ac:dyDescent="0.25">
      <c r="A504" t="s">
        <v>373</v>
      </c>
      <c r="B504" s="2">
        <v>45804</v>
      </c>
      <c r="C504" s="2"/>
      <c r="D504" s="2"/>
      <c r="E504" t="s">
        <v>2</v>
      </c>
      <c r="F504" t="s">
        <v>3</v>
      </c>
      <c r="G504" t="s">
        <v>0</v>
      </c>
      <c r="H504" t="s">
        <v>4</v>
      </c>
      <c r="I504" t="s">
        <v>363</v>
      </c>
      <c r="J504" t="s">
        <v>6</v>
      </c>
      <c r="K504" t="s">
        <v>90</v>
      </c>
      <c r="L504" t="s">
        <v>39</v>
      </c>
      <c r="M504" t="s">
        <v>40</v>
      </c>
      <c r="N504" t="s">
        <v>10</v>
      </c>
      <c r="O504" t="s">
        <v>0</v>
      </c>
      <c r="P504" t="s">
        <v>11</v>
      </c>
      <c r="Q504" s="5">
        <v>20</v>
      </c>
      <c r="R504" s="4">
        <v>57750</v>
      </c>
      <c r="S504" s="5">
        <v>1</v>
      </c>
      <c r="T504" s="4">
        <v>1155000</v>
      </c>
      <c r="U504" s="5">
        <v>0</v>
      </c>
      <c r="V504" s="4">
        <v>0</v>
      </c>
      <c r="W504" s="5">
        <v>0</v>
      </c>
      <c r="X504" s="4">
        <v>0</v>
      </c>
      <c r="Y504" s="4">
        <f t="shared" si="14"/>
        <v>1155000</v>
      </c>
      <c r="Z504" s="6" t="s">
        <v>0</v>
      </c>
      <c r="AA504" t="s">
        <v>2</v>
      </c>
      <c r="AB504" t="s">
        <v>12</v>
      </c>
      <c r="AC504">
        <f>_xlfn.XLOOKUP(AB504,'[1]GST Codes'!$A:$A,'[1]GST Codes'!$C:$C,0,0)</f>
        <v>18</v>
      </c>
      <c r="AD504">
        <f t="shared" si="15"/>
        <v>1362900</v>
      </c>
      <c r="AE504" t="s">
        <v>13</v>
      </c>
      <c r="AF504" t="s">
        <v>0</v>
      </c>
      <c r="AG504" t="s">
        <v>14</v>
      </c>
      <c r="AH504" t="s">
        <v>15</v>
      </c>
      <c r="AI504" t="s">
        <v>16</v>
      </c>
      <c r="AJ504" t="s">
        <v>17</v>
      </c>
      <c r="AK504" t="s">
        <v>18</v>
      </c>
      <c r="AL504" t="s">
        <v>19</v>
      </c>
      <c r="AM504" t="s">
        <v>363</v>
      </c>
      <c r="AN504" t="s">
        <v>0</v>
      </c>
      <c r="AO504" t="s">
        <v>0</v>
      </c>
      <c r="AP504" t="s">
        <v>0</v>
      </c>
      <c r="AQ504" s="5">
        <v>20</v>
      </c>
      <c r="AR504" t="s">
        <v>11</v>
      </c>
      <c r="AS504" t="s">
        <v>0</v>
      </c>
      <c r="AT504" t="s">
        <v>17</v>
      </c>
      <c r="AU504" s="4">
        <v>0</v>
      </c>
      <c r="AV504" s="4">
        <v>0</v>
      </c>
      <c r="AW504" s="4">
        <v>0</v>
      </c>
      <c r="AX504" s="4">
        <v>0</v>
      </c>
      <c r="AY504" s="5">
        <v>0</v>
      </c>
      <c r="AZ504" s="5">
        <v>0</v>
      </c>
      <c r="BA504" s="5">
        <v>0</v>
      </c>
      <c r="BB504" s="2"/>
      <c r="BC504" t="s">
        <v>0</v>
      </c>
      <c r="BD504" s="5">
        <v>1</v>
      </c>
      <c r="BE504" t="s">
        <v>0</v>
      </c>
      <c r="BF504" t="s">
        <v>368</v>
      </c>
      <c r="BG504" t="s">
        <v>17</v>
      </c>
      <c r="BH504" t="s">
        <v>0</v>
      </c>
      <c r="BI504" t="s">
        <v>11</v>
      </c>
      <c r="BJ504" t="s">
        <v>0</v>
      </c>
      <c r="BK504" t="s">
        <v>0</v>
      </c>
      <c r="BL504" s="5">
        <v>0</v>
      </c>
      <c r="BM504" t="s">
        <v>0</v>
      </c>
      <c r="BN504" t="s">
        <v>0</v>
      </c>
      <c r="BO504" t="s">
        <v>0</v>
      </c>
      <c r="BP504" t="s">
        <v>17</v>
      </c>
      <c r="BQ504" t="s">
        <v>0</v>
      </c>
      <c r="BR504" t="s">
        <v>17</v>
      </c>
      <c r="BS504" t="s">
        <v>17</v>
      </c>
      <c r="BT504" t="s">
        <v>0</v>
      </c>
      <c r="BU504" t="s">
        <v>0</v>
      </c>
      <c r="BV504" t="s">
        <v>0</v>
      </c>
      <c r="BW504" t="s">
        <v>0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</row>
    <row r="505" spans="1:80" ht="13.95" customHeight="1" x14ac:dyDescent="0.25">
      <c r="A505" t="s">
        <v>373</v>
      </c>
      <c r="B505" s="2">
        <v>45804</v>
      </c>
      <c r="C505" s="2"/>
      <c r="D505" s="2"/>
      <c r="E505" t="s">
        <v>2</v>
      </c>
      <c r="F505" t="s">
        <v>3</v>
      </c>
      <c r="G505" t="s">
        <v>0</v>
      </c>
      <c r="H505" t="s">
        <v>4</v>
      </c>
      <c r="I505" t="s">
        <v>363</v>
      </c>
      <c r="J505" t="s">
        <v>6</v>
      </c>
      <c r="K505" t="s">
        <v>177</v>
      </c>
      <c r="L505" t="s">
        <v>39</v>
      </c>
      <c r="M505" t="s">
        <v>40</v>
      </c>
      <c r="N505" t="s">
        <v>10</v>
      </c>
      <c r="O505" t="s">
        <v>0</v>
      </c>
      <c r="P505" t="s">
        <v>11</v>
      </c>
      <c r="Q505" s="5">
        <v>15</v>
      </c>
      <c r="R505" s="4">
        <v>57750</v>
      </c>
      <c r="S505" s="5">
        <v>1</v>
      </c>
      <c r="T505" s="4">
        <v>866250</v>
      </c>
      <c r="U505" s="5">
        <v>0</v>
      </c>
      <c r="V505" s="4">
        <v>0</v>
      </c>
      <c r="W505" s="5">
        <v>0</v>
      </c>
      <c r="X505" s="4">
        <v>0</v>
      </c>
      <c r="Y505" s="4">
        <f t="shared" si="14"/>
        <v>866250</v>
      </c>
      <c r="Z505" s="6" t="s">
        <v>0</v>
      </c>
      <c r="AA505" t="s">
        <v>2</v>
      </c>
      <c r="AB505" t="s">
        <v>12</v>
      </c>
      <c r="AC505">
        <f>_xlfn.XLOOKUP(AB505,'[1]GST Codes'!$A:$A,'[1]GST Codes'!$C:$C,0,0)</f>
        <v>18</v>
      </c>
      <c r="AD505">
        <f t="shared" si="15"/>
        <v>1022175</v>
      </c>
      <c r="AE505" t="s">
        <v>13</v>
      </c>
      <c r="AF505" t="s">
        <v>0</v>
      </c>
      <c r="AG505" t="s">
        <v>14</v>
      </c>
      <c r="AH505" t="s">
        <v>15</v>
      </c>
      <c r="AI505" t="s">
        <v>16</v>
      </c>
      <c r="AJ505" t="s">
        <v>17</v>
      </c>
      <c r="AK505" t="s">
        <v>18</v>
      </c>
      <c r="AL505" t="s">
        <v>19</v>
      </c>
      <c r="AM505" t="s">
        <v>363</v>
      </c>
      <c r="AN505" t="s">
        <v>0</v>
      </c>
      <c r="AO505" t="s">
        <v>0</v>
      </c>
      <c r="AP505" t="s">
        <v>0</v>
      </c>
      <c r="AQ505" s="5">
        <v>15</v>
      </c>
      <c r="AR505" t="s">
        <v>11</v>
      </c>
      <c r="AS505" t="s">
        <v>0</v>
      </c>
      <c r="AT505" t="s">
        <v>17</v>
      </c>
      <c r="AU505" s="4">
        <v>0</v>
      </c>
      <c r="AV505" s="4">
        <v>0</v>
      </c>
      <c r="AW505" s="4">
        <v>0</v>
      </c>
      <c r="AX505" s="4">
        <v>0</v>
      </c>
      <c r="AY505" s="5">
        <v>0</v>
      </c>
      <c r="AZ505" s="5">
        <v>0</v>
      </c>
      <c r="BA505" s="5">
        <v>0</v>
      </c>
      <c r="BB505" s="2"/>
      <c r="BC505" t="s">
        <v>0</v>
      </c>
      <c r="BD505" s="5">
        <v>1</v>
      </c>
      <c r="BE505" t="s">
        <v>0</v>
      </c>
      <c r="BF505" t="s">
        <v>368</v>
      </c>
      <c r="BG505" t="s">
        <v>17</v>
      </c>
      <c r="BH505" t="s">
        <v>0</v>
      </c>
      <c r="BI505" t="s">
        <v>11</v>
      </c>
      <c r="BJ505" t="s">
        <v>0</v>
      </c>
      <c r="BK505" t="s">
        <v>0</v>
      </c>
      <c r="BL505" s="5">
        <v>0</v>
      </c>
      <c r="BM505" t="s">
        <v>0</v>
      </c>
      <c r="BN505" t="s">
        <v>0</v>
      </c>
      <c r="BO505" t="s">
        <v>0</v>
      </c>
      <c r="BP505" t="s">
        <v>17</v>
      </c>
      <c r="BQ505" t="s">
        <v>0</v>
      </c>
      <c r="BR505" t="s">
        <v>17</v>
      </c>
      <c r="BS505" t="s">
        <v>17</v>
      </c>
      <c r="BT505" t="s">
        <v>0</v>
      </c>
      <c r="BU505" t="s">
        <v>0</v>
      </c>
      <c r="BV505" t="s">
        <v>0</v>
      </c>
      <c r="BW505" t="s">
        <v>0</v>
      </c>
      <c r="BX505" t="s">
        <v>0</v>
      </c>
      <c r="BY505" t="s">
        <v>0</v>
      </c>
      <c r="BZ505" t="s">
        <v>0</v>
      </c>
      <c r="CA505" t="s">
        <v>0</v>
      </c>
      <c r="CB505" t="s">
        <v>0</v>
      </c>
    </row>
    <row r="506" spans="1:80" ht="13.95" customHeight="1" x14ac:dyDescent="0.25">
      <c r="A506" t="s">
        <v>373</v>
      </c>
      <c r="B506" s="2">
        <v>45804</v>
      </c>
      <c r="C506" s="2"/>
      <c r="D506" s="2"/>
      <c r="E506" t="s">
        <v>2</v>
      </c>
      <c r="F506" t="s">
        <v>3</v>
      </c>
      <c r="G506" t="s">
        <v>0</v>
      </c>
      <c r="H506" t="s">
        <v>4</v>
      </c>
      <c r="I506" t="s">
        <v>363</v>
      </c>
      <c r="J506" t="s">
        <v>6</v>
      </c>
      <c r="K506" t="s">
        <v>181</v>
      </c>
      <c r="L506" t="s">
        <v>39</v>
      </c>
      <c r="M506" t="s">
        <v>40</v>
      </c>
      <c r="N506" t="s">
        <v>10</v>
      </c>
      <c r="O506" t="s">
        <v>0</v>
      </c>
      <c r="P506" t="s">
        <v>11</v>
      </c>
      <c r="Q506" s="5">
        <v>15</v>
      </c>
      <c r="R506" s="4">
        <v>57750</v>
      </c>
      <c r="S506" s="5">
        <v>1</v>
      </c>
      <c r="T506" s="4">
        <v>866250</v>
      </c>
      <c r="U506" s="5">
        <v>0</v>
      </c>
      <c r="V506" s="4">
        <v>0</v>
      </c>
      <c r="W506" s="5">
        <v>0</v>
      </c>
      <c r="X506" s="4">
        <v>0</v>
      </c>
      <c r="Y506" s="4">
        <f t="shared" si="14"/>
        <v>866250</v>
      </c>
      <c r="Z506" s="6" t="s">
        <v>0</v>
      </c>
      <c r="AA506" t="s">
        <v>2</v>
      </c>
      <c r="AB506" t="s">
        <v>12</v>
      </c>
      <c r="AC506">
        <f>_xlfn.XLOOKUP(AB506,'[1]GST Codes'!$A:$A,'[1]GST Codes'!$C:$C,0,0)</f>
        <v>18</v>
      </c>
      <c r="AD506">
        <f t="shared" si="15"/>
        <v>1022175</v>
      </c>
      <c r="AE506" t="s">
        <v>13</v>
      </c>
      <c r="AF506" t="s">
        <v>0</v>
      </c>
      <c r="AG506" t="s">
        <v>14</v>
      </c>
      <c r="AH506" t="s">
        <v>15</v>
      </c>
      <c r="AI506" t="s">
        <v>16</v>
      </c>
      <c r="AJ506" t="s">
        <v>17</v>
      </c>
      <c r="AK506" t="s">
        <v>18</v>
      </c>
      <c r="AL506" t="s">
        <v>19</v>
      </c>
      <c r="AM506" t="s">
        <v>363</v>
      </c>
      <c r="AN506" t="s">
        <v>0</v>
      </c>
      <c r="AO506" t="s">
        <v>0</v>
      </c>
      <c r="AP506" t="s">
        <v>0</v>
      </c>
      <c r="AQ506" s="5">
        <v>15</v>
      </c>
      <c r="AR506" t="s">
        <v>11</v>
      </c>
      <c r="AS506" t="s">
        <v>0</v>
      </c>
      <c r="AT506" t="s">
        <v>17</v>
      </c>
      <c r="AU506" s="4">
        <v>0</v>
      </c>
      <c r="AV506" s="4">
        <v>0</v>
      </c>
      <c r="AW506" s="4">
        <v>0</v>
      </c>
      <c r="AX506" s="4">
        <v>0</v>
      </c>
      <c r="AY506" s="5">
        <v>0</v>
      </c>
      <c r="AZ506" s="5">
        <v>0</v>
      </c>
      <c r="BA506" s="5">
        <v>0</v>
      </c>
      <c r="BB506" s="2"/>
      <c r="BC506" t="s">
        <v>0</v>
      </c>
      <c r="BD506" s="5">
        <v>1</v>
      </c>
      <c r="BE506" t="s">
        <v>0</v>
      </c>
      <c r="BF506" t="s">
        <v>368</v>
      </c>
      <c r="BG506" t="s">
        <v>17</v>
      </c>
      <c r="BH506" t="s">
        <v>0</v>
      </c>
      <c r="BI506" t="s">
        <v>11</v>
      </c>
      <c r="BJ506" t="s">
        <v>0</v>
      </c>
      <c r="BK506" t="s">
        <v>0</v>
      </c>
      <c r="BL506" s="5">
        <v>0</v>
      </c>
      <c r="BM506" t="s">
        <v>0</v>
      </c>
      <c r="BN506" t="s">
        <v>0</v>
      </c>
      <c r="BO506" t="s">
        <v>0</v>
      </c>
      <c r="BP506" t="s">
        <v>17</v>
      </c>
      <c r="BQ506" t="s">
        <v>0</v>
      </c>
      <c r="BR506" t="s">
        <v>17</v>
      </c>
      <c r="BS506" t="s">
        <v>17</v>
      </c>
      <c r="BT506" t="s">
        <v>0</v>
      </c>
      <c r="BU506" t="s">
        <v>0</v>
      </c>
      <c r="BV506" t="s">
        <v>0</v>
      </c>
      <c r="BW506" t="s">
        <v>0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</row>
    <row r="507" spans="1:80" ht="13.95" customHeight="1" x14ac:dyDescent="0.25">
      <c r="A507" t="s">
        <v>373</v>
      </c>
      <c r="B507" s="2">
        <v>45804</v>
      </c>
      <c r="C507" s="2"/>
      <c r="D507" s="2"/>
      <c r="E507" t="s">
        <v>2</v>
      </c>
      <c r="F507" t="s">
        <v>3</v>
      </c>
      <c r="G507" t="s">
        <v>0</v>
      </c>
      <c r="H507" t="s">
        <v>4</v>
      </c>
      <c r="I507" t="s">
        <v>363</v>
      </c>
      <c r="J507" t="s">
        <v>6</v>
      </c>
      <c r="K507" t="s">
        <v>185</v>
      </c>
      <c r="L507" t="s">
        <v>43</v>
      </c>
      <c r="M507" t="s">
        <v>44</v>
      </c>
      <c r="N507" t="s">
        <v>10</v>
      </c>
      <c r="O507" t="s">
        <v>0</v>
      </c>
      <c r="P507" t="s">
        <v>11</v>
      </c>
      <c r="Q507" s="5">
        <v>10</v>
      </c>
      <c r="R507" s="4">
        <v>57750</v>
      </c>
      <c r="S507" s="5">
        <v>1</v>
      </c>
      <c r="T507" s="4">
        <v>577500</v>
      </c>
      <c r="U507" s="5">
        <v>0</v>
      </c>
      <c r="V507" s="4">
        <v>0</v>
      </c>
      <c r="W507" s="5">
        <v>0</v>
      </c>
      <c r="X507" s="4">
        <v>0</v>
      </c>
      <c r="Y507" s="4">
        <f t="shared" si="14"/>
        <v>577500</v>
      </c>
      <c r="Z507" s="6" t="s">
        <v>0</v>
      </c>
      <c r="AA507" t="s">
        <v>2</v>
      </c>
      <c r="AB507" t="s">
        <v>12</v>
      </c>
      <c r="AC507">
        <f>_xlfn.XLOOKUP(AB507,'[1]GST Codes'!$A:$A,'[1]GST Codes'!$C:$C,0,0)</f>
        <v>18</v>
      </c>
      <c r="AD507">
        <f t="shared" si="15"/>
        <v>681450</v>
      </c>
      <c r="AE507" t="s">
        <v>13</v>
      </c>
      <c r="AF507" t="s">
        <v>0</v>
      </c>
      <c r="AG507" t="s">
        <v>14</v>
      </c>
      <c r="AH507" t="s">
        <v>15</v>
      </c>
      <c r="AI507" t="s">
        <v>16</v>
      </c>
      <c r="AJ507" t="s">
        <v>17</v>
      </c>
      <c r="AK507" t="s">
        <v>18</v>
      </c>
      <c r="AL507" t="s">
        <v>19</v>
      </c>
      <c r="AM507" t="s">
        <v>363</v>
      </c>
      <c r="AN507" t="s">
        <v>0</v>
      </c>
      <c r="AO507" t="s">
        <v>0</v>
      </c>
      <c r="AP507" t="s">
        <v>0</v>
      </c>
      <c r="AQ507" s="5">
        <v>10</v>
      </c>
      <c r="AR507" t="s">
        <v>11</v>
      </c>
      <c r="AS507" t="s">
        <v>0</v>
      </c>
      <c r="AT507" t="s">
        <v>17</v>
      </c>
      <c r="AU507" s="4">
        <v>0</v>
      </c>
      <c r="AV507" s="4">
        <v>0</v>
      </c>
      <c r="AW507" s="4">
        <v>0</v>
      </c>
      <c r="AX507" s="4">
        <v>0</v>
      </c>
      <c r="AY507" s="5">
        <v>0</v>
      </c>
      <c r="AZ507" s="5">
        <v>0</v>
      </c>
      <c r="BA507" s="5">
        <v>0</v>
      </c>
      <c r="BB507" s="2"/>
      <c r="BC507" t="s">
        <v>0</v>
      </c>
      <c r="BD507" s="5">
        <v>1</v>
      </c>
      <c r="BE507" t="s">
        <v>0</v>
      </c>
      <c r="BF507" t="s">
        <v>364</v>
      </c>
      <c r="BG507" t="s">
        <v>17</v>
      </c>
      <c r="BH507" t="s">
        <v>0</v>
      </c>
      <c r="BI507" t="s">
        <v>11</v>
      </c>
      <c r="BJ507" t="s">
        <v>0</v>
      </c>
      <c r="BK507" t="s">
        <v>0</v>
      </c>
      <c r="BL507" s="5">
        <v>0</v>
      </c>
      <c r="BM507" t="s">
        <v>0</v>
      </c>
      <c r="BN507" t="s">
        <v>0</v>
      </c>
      <c r="BO507" t="s">
        <v>0</v>
      </c>
      <c r="BP507" t="s">
        <v>17</v>
      </c>
      <c r="BQ507" t="s">
        <v>0</v>
      </c>
      <c r="BR507" t="s">
        <v>17</v>
      </c>
      <c r="BS507" t="s">
        <v>17</v>
      </c>
      <c r="BT507" t="s">
        <v>0</v>
      </c>
      <c r="BU507" t="s">
        <v>0</v>
      </c>
      <c r="BV507" t="s">
        <v>0</v>
      </c>
      <c r="BW507" t="s">
        <v>0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</row>
    <row r="508" spans="1:80" ht="13.95" customHeight="1" x14ac:dyDescent="0.25">
      <c r="A508" t="s">
        <v>373</v>
      </c>
      <c r="B508" s="2">
        <v>45804</v>
      </c>
      <c r="C508" s="2"/>
      <c r="D508" s="2"/>
      <c r="E508" t="s">
        <v>2</v>
      </c>
      <c r="F508" t="s">
        <v>3</v>
      </c>
      <c r="G508" t="s">
        <v>0</v>
      </c>
      <c r="H508" t="s">
        <v>4</v>
      </c>
      <c r="I508" t="s">
        <v>363</v>
      </c>
      <c r="J508" t="s">
        <v>6</v>
      </c>
      <c r="K508" t="s">
        <v>189</v>
      </c>
      <c r="L508" t="s">
        <v>354</v>
      </c>
      <c r="M508" t="s">
        <v>338</v>
      </c>
      <c r="N508" t="s">
        <v>10</v>
      </c>
      <c r="O508" t="s">
        <v>0</v>
      </c>
      <c r="P508" t="s">
        <v>11</v>
      </c>
      <c r="Q508" s="5">
        <v>10</v>
      </c>
      <c r="R508" s="4">
        <v>57750</v>
      </c>
      <c r="S508" s="5">
        <v>1</v>
      </c>
      <c r="T508" s="4">
        <v>577500</v>
      </c>
      <c r="U508" s="5">
        <v>0</v>
      </c>
      <c r="V508" s="4">
        <v>0</v>
      </c>
      <c r="W508" s="5">
        <v>0</v>
      </c>
      <c r="X508" s="4">
        <v>0</v>
      </c>
      <c r="Y508" s="4">
        <f t="shared" si="14"/>
        <v>577500</v>
      </c>
      <c r="Z508" s="6" t="s">
        <v>0</v>
      </c>
      <c r="AA508" t="s">
        <v>2</v>
      </c>
      <c r="AB508" t="s">
        <v>12</v>
      </c>
      <c r="AC508">
        <f>_xlfn.XLOOKUP(AB508,'[1]GST Codes'!$A:$A,'[1]GST Codes'!$C:$C,0,0)</f>
        <v>18</v>
      </c>
      <c r="AD508">
        <f t="shared" si="15"/>
        <v>681450</v>
      </c>
      <c r="AE508" t="s">
        <v>13</v>
      </c>
      <c r="AF508" t="s">
        <v>0</v>
      </c>
      <c r="AG508" t="s">
        <v>14</v>
      </c>
      <c r="AH508" t="s">
        <v>15</v>
      </c>
      <c r="AI508" t="s">
        <v>16</v>
      </c>
      <c r="AJ508" t="s">
        <v>17</v>
      </c>
      <c r="AK508" t="s">
        <v>18</v>
      </c>
      <c r="AL508" t="s">
        <v>19</v>
      </c>
      <c r="AM508" t="s">
        <v>363</v>
      </c>
      <c r="AN508" t="s">
        <v>0</v>
      </c>
      <c r="AO508" t="s">
        <v>0</v>
      </c>
      <c r="AP508" t="s">
        <v>0</v>
      </c>
      <c r="AQ508" s="5">
        <v>10</v>
      </c>
      <c r="AR508" t="s">
        <v>11</v>
      </c>
      <c r="AS508" t="s">
        <v>0</v>
      </c>
      <c r="AT508" t="s">
        <v>17</v>
      </c>
      <c r="AU508" s="4">
        <v>0</v>
      </c>
      <c r="AV508" s="4">
        <v>0</v>
      </c>
      <c r="AW508" s="4">
        <v>0</v>
      </c>
      <c r="AX508" s="4">
        <v>0</v>
      </c>
      <c r="AY508" s="5">
        <v>0</v>
      </c>
      <c r="AZ508" s="5">
        <v>0</v>
      </c>
      <c r="BA508" s="5">
        <v>0</v>
      </c>
      <c r="BB508" s="2"/>
      <c r="BC508" t="s">
        <v>0</v>
      </c>
      <c r="BD508" s="5">
        <v>1</v>
      </c>
      <c r="BE508" t="s">
        <v>0</v>
      </c>
      <c r="BF508" t="s">
        <v>371</v>
      </c>
      <c r="BG508" t="s">
        <v>17</v>
      </c>
      <c r="BH508" t="s">
        <v>0</v>
      </c>
      <c r="BI508" t="s">
        <v>11</v>
      </c>
      <c r="BJ508" t="s">
        <v>0</v>
      </c>
      <c r="BK508" t="s">
        <v>0</v>
      </c>
      <c r="BL508" s="5">
        <v>0</v>
      </c>
      <c r="BM508" t="s">
        <v>0</v>
      </c>
      <c r="BN508" t="s">
        <v>0</v>
      </c>
      <c r="BO508" t="s">
        <v>0</v>
      </c>
      <c r="BP508" t="s">
        <v>17</v>
      </c>
      <c r="BQ508" t="s">
        <v>0</v>
      </c>
      <c r="BR508" t="s">
        <v>17</v>
      </c>
      <c r="BS508" t="s">
        <v>17</v>
      </c>
      <c r="BT508" t="s">
        <v>0</v>
      </c>
      <c r="BU508" t="s">
        <v>0</v>
      </c>
      <c r="BV508" t="s">
        <v>0</v>
      </c>
      <c r="BW508" t="s">
        <v>0</v>
      </c>
      <c r="BX508" t="s">
        <v>0</v>
      </c>
      <c r="BY508" t="s">
        <v>0</v>
      </c>
      <c r="BZ508" t="s">
        <v>0</v>
      </c>
      <c r="CA508" t="s">
        <v>0</v>
      </c>
      <c r="CB508" t="s">
        <v>0</v>
      </c>
    </row>
    <row r="509" spans="1:80" ht="13.95" customHeight="1" x14ac:dyDescent="0.25">
      <c r="A509" t="s">
        <v>373</v>
      </c>
      <c r="B509" s="2">
        <v>45804</v>
      </c>
      <c r="C509" s="2"/>
      <c r="D509" s="2"/>
      <c r="E509" t="s">
        <v>2</v>
      </c>
      <c r="F509" t="s">
        <v>3</v>
      </c>
      <c r="G509" t="s">
        <v>0</v>
      </c>
      <c r="H509" t="s">
        <v>4</v>
      </c>
      <c r="I509" t="s">
        <v>363</v>
      </c>
      <c r="J509" t="s">
        <v>6</v>
      </c>
      <c r="K509" t="s">
        <v>193</v>
      </c>
      <c r="L509" t="s">
        <v>354</v>
      </c>
      <c r="M509" t="s">
        <v>338</v>
      </c>
      <c r="N509" t="s">
        <v>10</v>
      </c>
      <c r="O509" t="s">
        <v>0</v>
      </c>
      <c r="P509" t="s">
        <v>11</v>
      </c>
      <c r="Q509" s="5">
        <v>2</v>
      </c>
      <c r="R509" s="4">
        <v>57750</v>
      </c>
      <c r="S509" s="5">
        <v>1</v>
      </c>
      <c r="T509" s="4">
        <v>115500</v>
      </c>
      <c r="U509" s="5">
        <v>0</v>
      </c>
      <c r="V509" s="4">
        <v>0</v>
      </c>
      <c r="W509" s="5">
        <v>0</v>
      </c>
      <c r="X509" s="4">
        <v>0</v>
      </c>
      <c r="Y509" s="4">
        <f t="shared" si="14"/>
        <v>115500</v>
      </c>
      <c r="Z509" s="6" t="s">
        <v>0</v>
      </c>
      <c r="AA509" t="s">
        <v>2</v>
      </c>
      <c r="AB509" t="s">
        <v>12</v>
      </c>
      <c r="AC509">
        <f>_xlfn.XLOOKUP(AB509,'[1]GST Codes'!$A:$A,'[1]GST Codes'!$C:$C,0,0)</f>
        <v>18</v>
      </c>
      <c r="AD509">
        <f t="shared" si="15"/>
        <v>136290</v>
      </c>
      <c r="AE509" t="s">
        <v>13</v>
      </c>
      <c r="AF509" t="s">
        <v>0</v>
      </c>
      <c r="AG509" t="s">
        <v>14</v>
      </c>
      <c r="AH509" t="s">
        <v>15</v>
      </c>
      <c r="AI509" t="s">
        <v>16</v>
      </c>
      <c r="AJ509" t="s">
        <v>17</v>
      </c>
      <c r="AK509" t="s">
        <v>18</v>
      </c>
      <c r="AL509" t="s">
        <v>19</v>
      </c>
      <c r="AM509" t="s">
        <v>363</v>
      </c>
      <c r="AN509" t="s">
        <v>0</v>
      </c>
      <c r="AO509" t="s">
        <v>0</v>
      </c>
      <c r="AP509" t="s">
        <v>0</v>
      </c>
      <c r="AQ509" s="5">
        <v>2</v>
      </c>
      <c r="AR509" t="s">
        <v>11</v>
      </c>
      <c r="AS509" t="s">
        <v>0</v>
      </c>
      <c r="AT509" t="s">
        <v>17</v>
      </c>
      <c r="AU509" s="4">
        <v>0</v>
      </c>
      <c r="AV509" s="4">
        <v>0</v>
      </c>
      <c r="AW509" s="4">
        <v>0</v>
      </c>
      <c r="AX509" s="4">
        <v>0</v>
      </c>
      <c r="AY509" s="5">
        <v>0</v>
      </c>
      <c r="AZ509" s="5">
        <v>0</v>
      </c>
      <c r="BA509" s="5">
        <v>0</v>
      </c>
      <c r="BB509" s="2"/>
      <c r="BC509" t="s">
        <v>0</v>
      </c>
      <c r="BD509" s="5">
        <v>1</v>
      </c>
      <c r="BE509" t="s">
        <v>0</v>
      </c>
      <c r="BF509" t="s">
        <v>371</v>
      </c>
      <c r="BG509" t="s">
        <v>17</v>
      </c>
      <c r="BH509" t="s">
        <v>0</v>
      </c>
      <c r="BI509" t="s">
        <v>11</v>
      </c>
      <c r="BJ509" t="s">
        <v>0</v>
      </c>
      <c r="BK509" t="s">
        <v>0</v>
      </c>
      <c r="BL509" s="5">
        <v>0</v>
      </c>
      <c r="BM509" t="s">
        <v>0</v>
      </c>
      <c r="BN509" t="s">
        <v>0</v>
      </c>
      <c r="BO509" t="s">
        <v>0</v>
      </c>
      <c r="BP509" t="s">
        <v>17</v>
      </c>
      <c r="BQ509" t="s">
        <v>0</v>
      </c>
      <c r="BR509" t="s">
        <v>17</v>
      </c>
      <c r="BS509" t="s">
        <v>17</v>
      </c>
      <c r="BT509" t="s">
        <v>0</v>
      </c>
      <c r="BU509" t="s">
        <v>0</v>
      </c>
      <c r="BV509" t="s">
        <v>0</v>
      </c>
      <c r="BW509" t="s">
        <v>0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</row>
    <row r="510" spans="1:80" ht="13.95" customHeight="1" x14ac:dyDescent="0.25">
      <c r="A510" t="s">
        <v>373</v>
      </c>
      <c r="B510" s="2">
        <v>45804</v>
      </c>
      <c r="C510" s="2"/>
      <c r="D510" s="2"/>
      <c r="E510" t="s">
        <v>2</v>
      </c>
      <c r="F510" t="s">
        <v>3</v>
      </c>
      <c r="G510" t="s">
        <v>0</v>
      </c>
      <c r="H510" t="s">
        <v>4</v>
      </c>
      <c r="I510" t="s">
        <v>363</v>
      </c>
      <c r="J510" t="s">
        <v>6</v>
      </c>
      <c r="K510" t="s">
        <v>197</v>
      </c>
      <c r="L510" t="s">
        <v>354</v>
      </c>
      <c r="M510" t="s">
        <v>338</v>
      </c>
      <c r="N510" t="s">
        <v>10</v>
      </c>
      <c r="O510" t="s">
        <v>0</v>
      </c>
      <c r="P510" t="s">
        <v>11</v>
      </c>
      <c r="Q510" s="5">
        <v>2</v>
      </c>
      <c r="R510" s="4">
        <v>57750</v>
      </c>
      <c r="S510" s="5">
        <v>1</v>
      </c>
      <c r="T510" s="4">
        <v>115500</v>
      </c>
      <c r="U510" s="5">
        <v>0</v>
      </c>
      <c r="V510" s="4">
        <v>0</v>
      </c>
      <c r="W510" s="5">
        <v>0</v>
      </c>
      <c r="X510" s="4">
        <v>0</v>
      </c>
      <c r="Y510" s="4">
        <f t="shared" si="14"/>
        <v>115500</v>
      </c>
      <c r="Z510" s="6" t="s">
        <v>0</v>
      </c>
      <c r="AA510" t="s">
        <v>2</v>
      </c>
      <c r="AB510" t="s">
        <v>12</v>
      </c>
      <c r="AC510">
        <f>_xlfn.XLOOKUP(AB510,'[1]GST Codes'!$A:$A,'[1]GST Codes'!$C:$C,0,0)</f>
        <v>18</v>
      </c>
      <c r="AD510">
        <f t="shared" si="15"/>
        <v>136290</v>
      </c>
      <c r="AE510" t="s">
        <v>13</v>
      </c>
      <c r="AF510" t="s">
        <v>0</v>
      </c>
      <c r="AG510" t="s">
        <v>14</v>
      </c>
      <c r="AH510" t="s">
        <v>15</v>
      </c>
      <c r="AI510" t="s">
        <v>16</v>
      </c>
      <c r="AJ510" t="s">
        <v>17</v>
      </c>
      <c r="AK510" t="s">
        <v>18</v>
      </c>
      <c r="AL510" t="s">
        <v>19</v>
      </c>
      <c r="AM510" t="s">
        <v>363</v>
      </c>
      <c r="AN510" t="s">
        <v>0</v>
      </c>
      <c r="AO510" t="s">
        <v>0</v>
      </c>
      <c r="AP510" t="s">
        <v>0</v>
      </c>
      <c r="AQ510" s="5">
        <v>2</v>
      </c>
      <c r="AR510" t="s">
        <v>11</v>
      </c>
      <c r="AS510" t="s">
        <v>0</v>
      </c>
      <c r="AT510" t="s">
        <v>17</v>
      </c>
      <c r="AU510" s="4">
        <v>0</v>
      </c>
      <c r="AV510" s="4">
        <v>0</v>
      </c>
      <c r="AW510" s="4">
        <v>0</v>
      </c>
      <c r="AX510" s="4">
        <v>0</v>
      </c>
      <c r="AY510" s="5">
        <v>0</v>
      </c>
      <c r="AZ510" s="5">
        <v>0</v>
      </c>
      <c r="BA510" s="5">
        <v>0</v>
      </c>
      <c r="BB510" s="2"/>
      <c r="BC510" t="s">
        <v>0</v>
      </c>
      <c r="BD510" s="5">
        <v>1</v>
      </c>
      <c r="BE510" t="s">
        <v>0</v>
      </c>
      <c r="BF510" t="s">
        <v>371</v>
      </c>
      <c r="BG510" t="s">
        <v>17</v>
      </c>
      <c r="BH510" t="s">
        <v>0</v>
      </c>
      <c r="BI510" t="s">
        <v>11</v>
      </c>
      <c r="BJ510" t="s">
        <v>0</v>
      </c>
      <c r="BK510" t="s">
        <v>0</v>
      </c>
      <c r="BL510" s="5">
        <v>0</v>
      </c>
      <c r="BM510" t="s">
        <v>0</v>
      </c>
      <c r="BN510" t="s">
        <v>0</v>
      </c>
      <c r="BO510" t="s">
        <v>0</v>
      </c>
      <c r="BP510" t="s">
        <v>17</v>
      </c>
      <c r="BQ510" t="s">
        <v>0</v>
      </c>
      <c r="BR510" t="s">
        <v>17</v>
      </c>
      <c r="BS510" t="s">
        <v>17</v>
      </c>
      <c r="BT510" t="s">
        <v>0</v>
      </c>
      <c r="BU510" t="s">
        <v>0</v>
      </c>
      <c r="BV510" t="s">
        <v>0</v>
      </c>
      <c r="BW510" t="s">
        <v>0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</row>
    <row r="511" spans="1:80" ht="13.95" customHeight="1" x14ac:dyDescent="0.25">
      <c r="A511" t="s">
        <v>373</v>
      </c>
      <c r="B511" s="2">
        <v>45804</v>
      </c>
      <c r="C511" s="2"/>
      <c r="D511" s="2"/>
      <c r="E511" t="s">
        <v>2</v>
      </c>
      <c r="F511" t="s">
        <v>3</v>
      </c>
      <c r="G511" t="s">
        <v>0</v>
      </c>
      <c r="H511" t="s">
        <v>4</v>
      </c>
      <c r="I511" t="s">
        <v>363</v>
      </c>
      <c r="J511" t="s">
        <v>6</v>
      </c>
      <c r="K511" t="s">
        <v>201</v>
      </c>
      <c r="L511" t="s">
        <v>354</v>
      </c>
      <c r="M511" t="s">
        <v>338</v>
      </c>
      <c r="N511" t="s">
        <v>10</v>
      </c>
      <c r="O511" t="s">
        <v>0</v>
      </c>
      <c r="P511" t="s">
        <v>11</v>
      </c>
      <c r="Q511" s="5">
        <v>2</v>
      </c>
      <c r="R511" s="4">
        <v>57750</v>
      </c>
      <c r="S511" s="5">
        <v>1</v>
      </c>
      <c r="T511" s="4">
        <v>115500</v>
      </c>
      <c r="U511" s="5">
        <v>0</v>
      </c>
      <c r="V511" s="4">
        <v>0</v>
      </c>
      <c r="W511" s="5">
        <v>0</v>
      </c>
      <c r="X511" s="4">
        <v>0</v>
      </c>
      <c r="Y511" s="4">
        <f t="shared" si="14"/>
        <v>115500</v>
      </c>
      <c r="Z511" s="6" t="s">
        <v>0</v>
      </c>
      <c r="AA511" t="s">
        <v>2</v>
      </c>
      <c r="AB511" t="s">
        <v>12</v>
      </c>
      <c r="AC511">
        <f>_xlfn.XLOOKUP(AB511,'[1]GST Codes'!$A:$A,'[1]GST Codes'!$C:$C,0,0)</f>
        <v>18</v>
      </c>
      <c r="AD511">
        <f t="shared" si="15"/>
        <v>136290</v>
      </c>
      <c r="AE511" t="s">
        <v>13</v>
      </c>
      <c r="AF511" t="s">
        <v>0</v>
      </c>
      <c r="AG511" t="s">
        <v>14</v>
      </c>
      <c r="AH511" t="s">
        <v>15</v>
      </c>
      <c r="AI511" t="s">
        <v>16</v>
      </c>
      <c r="AJ511" t="s">
        <v>17</v>
      </c>
      <c r="AK511" t="s">
        <v>18</v>
      </c>
      <c r="AL511" t="s">
        <v>19</v>
      </c>
      <c r="AM511" t="s">
        <v>363</v>
      </c>
      <c r="AN511" t="s">
        <v>0</v>
      </c>
      <c r="AO511" t="s">
        <v>0</v>
      </c>
      <c r="AP511" t="s">
        <v>0</v>
      </c>
      <c r="AQ511" s="5">
        <v>2</v>
      </c>
      <c r="AR511" t="s">
        <v>11</v>
      </c>
      <c r="AS511" t="s">
        <v>0</v>
      </c>
      <c r="AT511" t="s">
        <v>17</v>
      </c>
      <c r="AU511" s="4">
        <v>0</v>
      </c>
      <c r="AV511" s="4">
        <v>0</v>
      </c>
      <c r="AW511" s="4">
        <v>0</v>
      </c>
      <c r="AX511" s="4">
        <v>0</v>
      </c>
      <c r="AY511" s="5">
        <v>0</v>
      </c>
      <c r="AZ511" s="5">
        <v>0</v>
      </c>
      <c r="BA511" s="5">
        <v>0</v>
      </c>
      <c r="BB511" s="2"/>
      <c r="BC511" t="s">
        <v>0</v>
      </c>
      <c r="BD511" s="5">
        <v>1</v>
      </c>
      <c r="BE511" t="s">
        <v>0</v>
      </c>
      <c r="BF511" t="s">
        <v>371</v>
      </c>
      <c r="BG511" t="s">
        <v>17</v>
      </c>
      <c r="BH511" t="s">
        <v>0</v>
      </c>
      <c r="BI511" t="s">
        <v>11</v>
      </c>
      <c r="BJ511" t="s">
        <v>0</v>
      </c>
      <c r="BK511" t="s">
        <v>0</v>
      </c>
      <c r="BL511" s="5">
        <v>0</v>
      </c>
      <c r="BM511" t="s">
        <v>0</v>
      </c>
      <c r="BN511" t="s">
        <v>0</v>
      </c>
      <c r="BO511" t="s">
        <v>0</v>
      </c>
      <c r="BP511" t="s">
        <v>17</v>
      </c>
      <c r="BQ511" t="s">
        <v>0</v>
      </c>
      <c r="BR511" t="s">
        <v>17</v>
      </c>
      <c r="BS511" t="s">
        <v>17</v>
      </c>
      <c r="BT511" t="s">
        <v>0</v>
      </c>
      <c r="BU511" t="s">
        <v>0</v>
      </c>
      <c r="BV511" t="s">
        <v>0</v>
      </c>
      <c r="BW511" t="s">
        <v>0</v>
      </c>
      <c r="BX511" t="s">
        <v>0</v>
      </c>
      <c r="BY511" t="s">
        <v>0</v>
      </c>
      <c r="BZ511" t="s">
        <v>0</v>
      </c>
      <c r="CA511" t="s">
        <v>0</v>
      </c>
      <c r="CB511" t="s">
        <v>0</v>
      </c>
    </row>
    <row r="512" spans="1:80" ht="13.95" customHeight="1" x14ac:dyDescent="0.25">
      <c r="A512" t="s">
        <v>373</v>
      </c>
      <c r="B512" s="2">
        <v>45804</v>
      </c>
      <c r="C512" s="2"/>
      <c r="D512" s="2"/>
      <c r="E512" t="s">
        <v>2</v>
      </c>
      <c r="F512" t="s">
        <v>3</v>
      </c>
      <c r="G512" t="s">
        <v>0</v>
      </c>
      <c r="H512" t="s">
        <v>4</v>
      </c>
      <c r="I512" t="s">
        <v>363</v>
      </c>
      <c r="J512" t="s">
        <v>6</v>
      </c>
      <c r="K512" t="s">
        <v>205</v>
      </c>
      <c r="L512" t="s">
        <v>354</v>
      </c>
      <c r="M512" t="s">
        <v>338</v>
      </c>
      <c r="N512" t="s">
        <v>10</v>
      </c>
      <c r="O512" t="s">
        <v>0</v>
      </c>
      <c r="P512" t="s">
        <v>11</v>
      </c>
      <c r="Q512" s="5">
        <v>4</v>
      </c>
      <c r="R512" s="4">
        <v>57750</v>
      </c>
      <c r="S512" s="5">
        <v>1</v>
      </c>
      <c r="T512" s="4">
        <v>231000</v>
      </c>
      <c r="U512" s="5">
        <v>0</v>
      </c>
      <c r="V512" s="4">
        <v>0</v>
      </c>
      <c r="W512" s="5">
        <v>0</v>
      </c>
      <c r="X512" s="4">
        <v>0</v>
      </c>
      <c r="Y512" s="4">
        <f t="shared" si="14"/>
        <v>231000</v>
      </c>
      <c r="Z512" s="6" t="s">
        <v>0</v>
      </c>
      <c r="AA512" t="s">
        <v>2</v>
      </c>
      <c r="AB512" t="s">
        <v>12</v>
      </c>
      <c r="AC512">
        <f>_xlfn.XLOOKUP(AB512,'[1]GST Codes'!$A:$A,'[1]GST Codes'!$C:$C,0,0)</f>
        <v>18</v>
      </c>
      <c r="AD512">
        <f t="shared" si="15"/>
        <v>272580</v>
      </c>
      <c r="AE512" t="s">
        <v>13</v>
      </c>
      <c r="AF512" t="s">
        <v>0</v>
      </c>
      <c r="AG512" t="s">
        <v>14</v>
      </c>
      <c r="AH512" t="s">
        <v>15</v>
      </c>
      <c r="AI512" t="s">
        <v>16</v>
      </c>
      <c r="AJ512" t="s">
        <v>17</v>
      </c>
      <c r="AK512" t="s">
        <v>18</v>
      </c>
      <c r="AL512" t="s">
        <v>19</v>
      </c>
      <c r="AM512" t="s">
        <v>363</v>
      </c>
      <c r="AN512" t="s">
        <v>0</v>
      </c>
      <c r="AO512" t="s">
        <v>0</v>
      </c>
      <c r="AP512" t="s">
        <v>0</v>
      </c>
      <c r="AQ512" s="5">
        <v>4</v>
      </c>
      <c r="AR512" t="s">
        <v>11</v>
      </c>
      <c r="AS512" t="s">
        <v>0</v>
      </c>
      <c r="AT512" t="s">
        <v>17</v>
      </c>
      <c r="AU512" s="4">
        <v>0</v>
      </c>
      <c r="AV512" s="4">
        <v>0</v>
      </c>
      <c r="AW512" s="4">
        <v>0</v>
      </c>
      <c r="AX512" s="4">
        <v>0</v>
      </c>
      <c r="AY512" s="5">
        <v>0</v>
      </c>
      <c r="AZ512" s="5">
        <v>0</v>
      </c>
      <c r="BA512" s="5">
        <v>0</v>
      </c>
      <c r="BB512" s="2"/>
      <c r="BC512" t="s">
        <v>0</v>
      </c>
      <c r="BD512" s="5">
        <v>1</v>
      </c>
      <c r="BE512" t="s">
        <v>0</v>
      </c>
      <c r="BF512" t="s">
        <v>371</v>
      </c>
      <c r="BG512" t="s">
        <v>17</v>
      </c>
      <c r="BH512" t="s">
        <v>0</v>
      </c>
      <c r="BI512" t="s">
        <v>11</v>
      </c>
      <c r="BJ512" t="s">
        <v>0</v>
      </c>
      <c r="BK512" t="s">
        <v>0</v>
      </c>
      <c r="BL512" s="5">
        <v>0</v>
      </c>
      <c r="BM512" t="s">
        <v>0</v>
      </c>
      <c r="BN512" t="s">
        <v>0</v>
      </c>
      <c r="BO512" t="s">
        <v>0</v>
      </c>
      <c r="BP512" t="s">
        <v>17</v>
      </c>
      <c r="BQ512" t="s">
        <v>0</v>
      </c>
      <c r="BR512" t="s">
        <v>17</v>
      </c>
      <c r="BS512" t="s">
        <v>17</v>
      </c>
      <c r="BT512" t="s">
        <v>0</v>
      </c>
      <c r="BU512" t="s">
        <v>0</v>
      </c>
      <c r="BV512" t="s">
        <v>0</v>
      </c>
      <c r="BW512" t="s">
        <v>0</v>
      </c>
      <c r="BX512" t="s">
        <v>0</v>
      </c>
      <c r="BY512" t="s">
        <v>0</v>
      </c>
      <c r="BZ512" t="s">
        <v>0</v>
      </c>
      <c r="CA512" t="s">
        <v>0</v>
      </c>
      <c r="CB512" t="s">
        <v>0</v>
      </c>
    </row>
    <row r="513" spans="1:80" ht="13.95" customHeight="1" x14ac:dyDescent="0.25">
      <c r="A513" t="s">
        <v>374</v>
      </c>
      <c r="B513" s="2">
        <v>45828</v>
      </c>
      <c r="C513" s="2">
        <v>45828</v>
      </c>
      <c r="D513" s="2">
        <v>45858</v>
      </c>
      <c r="E513" t="s">
        <v>2</v>
      </c>
      <c r="F513" t="s">
        <v>3</v>
      </c>
      <c r="G513" t="s">
        <v>0</v>
      </c>
      <c r="H513" t="s">
        <v>4</v>
      </c>
      <c r="I513" t="s">
        <v>363</v>
      </c>
      <c r="J513" t="s">
        <v>6</v>
      </c>
      <c r="K513" t="s">
        <v>7</v>
      </c>
      <c r="L513" t="s">
        <v>74</v>
      </c>
      <c r="M513" t="s">
        <v>75</v>
      </c>
      <c r="N513" t="s">
        <v>10</v>
      </c>
      <c r="O513" t="s">
        <v>0</v>
      </c>
      <c r="P513" t="s">
        <v>11</v>
      </c>
      <c r="Q513" s="5">
        <v>30</v>
      </c>
      <c r="R513" s="4">
        <v>50600</v>
      </c>
      <c r="S513" s="5">
        <v>1</v>
      </c>
      <c r="T513" s="4">
        <v>1518000</v>
      </c>
      <c r="U513" s="5">
        <v>0</v>
      </c>
      <c r="V513" s="4">
        <v>0</v>
      </c>
      <c r="W513" s="5">
        <v>0</v>
      </c>
      <c r="X513" s="4">
        <v>0</v>
      </c>
      <c r="Y513" s="4">
        <f t="shared" si="14"/>
        <v>1518000</v>
      </c>
      <c r="Z513" s="6" t="s">
        <v>0</v>
      </c>
      <c r="AA513" t="s">
        <v>2</v>
      </c>
      <c r="AB513" t="s">
        <v>12</v>
      </c>
      <c r="AC513">
        <f>_xlfn.XLOOKUP(AB513,'[1]GST Codes'!$A:$A,'[1]GST Codes'!$C:$C,0,0)</f>
        <v>18</v>
      </c>
      <c r="AD513">
        <f t="shared" si="15"/>
        <v>1791240</v>
      </c>
      <c r="AE513" t="s">
        <v>13</v>
      </c>
      <c r="AF513" t="s">
        <v>0</v>
      </c>
      <c r="AG513" t="s">
        <v>14</v>
      </c>
      <c r="AH513" t="s">
        <v>15</v>
      </c>
      <c r="AI513" t="s">
        <v>16</v>
      </c>
      <c r="AJ513" t="s">
        <v>17</v>
      </c>
      <c r="AK513" t="s">
        <v>18</v>
      </c>
      <c r="AL513" t="s">
        <v>19</v>
      </c>
      <c r="AM513" t="s">
        <v>363</v>
      </c>
      <c r="AN513" t="s">
        <v>0</v>
      </c>
      <c r="AO513" t="s">
        <v>0</v>
      </c>
      <c r="AP513" t="s">
        <v>0</v>
      </c>
      <c r="AQ513" s="5">
        <v>30</v>
      </c>
      <c r="AR513" t="s">
        <v>11</v>
      </c>
      <c r="AS513" t="s">
        <v>0</v>
      </c>
      <c r="AT513" t="s">
        <v>17</v>
      </c>
      <c r="AU513" s="4">
        <v>0</v>
      </c>
      <c r="AV513" s="4">
        <v>0</v>
      </c>
      <c r="AW513" s="4">
        <v>0</v>
      </c>
      <c r="AX513" s="4">
        <v>0</v>
      </c>
      <c r="AY513" s="5">
        <v>0</v>
      </c>
      <c r="AZ513" s="5">
        <v>0</v>
      </c>
      <c r="BA513" s="5">
        <v>0</v>
      </c>
      <c r="BB513" s="2"/>
      <c r="BC513" t="s">
        <v>0</v>
      </c>
      <c r="BD513" s="5">
        <v>1</v>
      </c>
      <c r="BE513" t="s">
        <v>0</v>
      </c>
      <c r="BF513" t="s">
        <v>367</v>
      </c>
      <c r="BG513" t="s">
        <v>17</v>
      </c>
      <c r="BH513" t="s">
        <v>0</v>
      </c>
      <c r="BI513" t="s">
        <v>11</v>
      </c>
      <c r="BJ513" t="s">
        <v>0</v>
      </c>
      <c r="BK513" t="s">
        <v>0</v>
      </c>
      <c r="BL513" s="5">
        <v>0</v>
      </c>
      <c r="BM513" t="s">
        <v>0</v>
      </c>
      <c r="BN513" t="s">
        <v>0</v>
      </c>
      <c r="BO513" t="s">
        <v>0</v>
      </c>
      <c r="BP513" t="s">
        <v>17</v>
      </c>
      <c r="BQ513" t="s">
        <v>0</v>
      </c>
      <c r="BR513" t="s">
        <v>17</v>
      </c>
      <c r="BS513" t="s">
        <v>17</v>
      </c>
      <c r="BT513" t="s">
        <v>0</v>
      </c>
      <c r="BU513" t="s">
        <v>0</v>
      </c>
      <c r="BV513" t="s">
        <v>0</v>
      </c>
      <c r="BW513" t="s">
        <v>0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</row>
    <row r="514" spans="1:80" ht="13.95" customHeight="1" x14ac:dyDescent="0.25">
      <c r="A514" t="s">
        <v>374</v>
      </c>
      <c r="B514" s="2">
        <v>45828</v>
      </c>
      <c r="C514" s="2">
        <v>45828</v>
      </c>
      <c r="D514" s="2">
        <v>45858</v>
      </c>
      <c r="E514" t="s">
        <v>2</v>
      </c>
      <c r="F514" t="s">
        <v>3</v>
      </c>
      <c r="G514" t="s">
        <v>0</v>
      </c>
      <c r="H514" t="s">
        <v>4</v>
      </c>
      <c r="I514" t="s">
        <v>363</v>
      </c>
      <c r="J514" t="s">
        <v>6</v>
      </c>
      <c r="K514" t="s">
        <v>22</v>
      </c>
      <c r="L514" t="s">
        <v>74</v>
      </c>
      <c r="M514" t="s">
        <v>75</v>
      </c>
      <c r="N514" t="s">
        <v>10</v>
      </c>
      <c r="O514" t="s">
        <v>0</v>
      </c>
      <c r="P514" t="s">
        <v>11</v>
      </c>
      <c r="Q514" s="5">
        <v>30</v>
      </c>
      <c r="R514" s="4">
        <v>50600</v>
      </c>
      <c r="S514" s="5">
        <v>1</v>
      </c>
      <c r="T514" s="4">
        <v>1518000</v>
      </c>
      <c r="U514" s="5">
        <v>0</v>
      </c>
      <c r="V514" s="4">
        <v>0</v>
      </c>
      <c r="W514" s="5">
        <v>0</v>
      </c>
      <c r="X514" s="4">
        <v>0</v>
      </c>
      <c r="Y514" s="4">
        <f t="shared" si="14"/>
        <v>1518000</v>
      </c>
      <c r="Z514" s="6" t="s">
        <v>0</v>
      </c>
      <c r="AA514" t="s">
        <v>2</v>
      </c>
      <c r="AB514" t="s">
        <v>12</v>
      </c>
      <c r="AC514">
        <f>_xlfn.XLOOKUP(AB514,'[1]GST Codes'!$A:$A,'[1]GST Codes'!$C:$C,0,0)</f>
        <v>18</v>
      </c>
      <c r="AD514">
        <f t="shared" si="15"/>
        <v>1791240</v>
      </c>
      <c r="AE514" t="s">
        <v>13</v>
      </c>
      <c r="AF514" t="s">
        <v>0</v>
      </c>
      <c r="AG514" t="s">
        <v>14</v>
      </c>
      <c r="AH514" t="s">
        <v>15</v>
      </c>
      <c r="AI514" t="s">
        <v>16</v>
      </c>
      <c r="AJ514" t="s">
        <v>17</v>
      </c>
      <c r="AK514" t="s">
        <v>18</v>
      </c>
      <c r="AL514" t="s">
        <v>19</v>
      </c>
      <c r="AM514" t="s">
        <v>363</v>
      </c>
      <c r="AN514" t="s">
        <v>0</v>
      </c>
      <c r="AO514" t="s">
        <v>0</v>
      </c>
      <c r="AP514" t="s">
        <v>0</v>
      </c>
      <c r="AQ514" s="5">
        <v>30</v>
      </c>
      <c r="AR514" t="s">
        <v>11</v>
      </c>
      <c r="AS514" t="s">
        <v>0</v>
      </c>
      <c r="AT514" t="s">
        <v>17</v>
      </c>
      <c r="AU514" s="4">
        <v>0</v>
      </c>
      <c r="AV514" s="4">
        <v>0</v>
      </c>
      <c r="AW514" s="4">
        <v>0</v>
      </c>
      <c r="AX514" s="4">
        <v>0</v>
      </c>
      <c r="AY514" s="5">
        <v>0</v>
      </c>
      <c r="AZ514" s="5">
        <v>0</v>
      </c>
      <c r="BA514" s="5">
        <v>0</v>
      </c>
      <c r="BB514" s="2"/>
      <c r="BC514" t="s">
        <v>0</v>
      </c>
      <c r="BD514" s="5">
        <v>1</v>
      </c>
      <c r="BE514" t="s">
        <v>0</v>
      </c>
      <c r="BF514" t="s">
        <v>367</v>
      </c>
      <c r="BG514" t="s">
        <v>17</v>
      </c>
      <c r="BH514" t="s">
        <v>0</v>
      </c>
      <c r="BI514" t="s">
        <v>11</v>
      </c>
      <c r="BJ514" t="s">
        <v>0</v>
      </c>
      <c r="BK514" t="s">
        <v>0</v>
      </c>
      <c r="BL514" s="5">
        <v>0</v>
      </c>
      <c r="BM514" t="s">
        <v>0</v>
      </c>
      <c r="BN514" t="s">
        <v>0</v>
      </c>
      <c r="BO514" t="s">
        <v>0</v>
      </c>
      <c r="BP514" t="s">
        <v>17</v>
      </c>
      <c r="BQ514" t="s">
        <v>0</v>
      </c>
      <c r="BR514" t="s">
        <v>17</v>
      </c>
      <c r="BS514" t="s">
        <v>17</v>
      </c>
      <c r="BT514" t="s">
        <v>0</v>
      </c>
      <c r="BU514" t="s">
        <v>0</v>
      </c>
      <c r="BV514" t="s">
        <v>0</v>
      </c>
      <c r="BW514" t="s">
        <v>0</v>
      </c>
      <c r="BX514" t="s">
        <v>0</v>
      </c>
      <c r="BY514" t="s">
        <v>0</v>
      </c>
      <c r="BZ514" t="s">
        <v>0</v>
      </c>
      <c r="CA514" t="s">
        <v>0</v>
      </c>
      <c r="CB514" t="s">
        <v>0</v>
      </c>
    </row>
    <row r="515" spans="1:80" ht="13.95" customHeight="1" x14ac:dyDescent="0.25">
      <c r="A515" t="s">
        <v>374</v>
      </c>
      <c r="B515" s="2">
        <v>45828</v>
      </c>
      <c r="C515" s="2">
        <v>45828</v>
      </c>
      <c r="D515" s="2">
        <v>45858</v>
      </c>
      <c r="E515" t="s">
        <v>2</v>
      </c>
      <c r="F515" t="s">
        <v>3</v>
      </c>
      <c r="G515" t="s">
        <v>0</v>
      </c>
      <c r="H515" t="s">
        <v>4</v>
      </c>
      <c r="I515" t="s">
        <v>363</v>
      </c>
      <c r="J515" t="s">
        <v>6</v>
      </c>
      <c r="K515" t="s">
        <v>26</v>
      </c>
      <c r="L515" t="s">
        <v>74</v>
      </c>
      <c r="M515" t="s">
        <v>75</v>
      </c>
      <c r="N515" t="s">
        <v>10</v>
      </c>
      <c r="O515" t="s">
        <v>0</v>
      </c>
      <c r="P515" t="s">
        <v>11</v>
      </c>
      <c r="Q515" s="5">
        <v>30</v>
      </c>
      <c r="R515" s="4">
        <v>50600</v>
      </c>
      <c r="S515" s="5">
        <v>1</v>
      </c>
      <c r="T515" s="4">
        <v>1518000</v>
      </c>
      <c r="U515" s="5">
        <v>0</v>
      </c>
      <c r="V515" s="4">
        <v>0</v>
      </c>
      <c r="W515" s="5">
        <v>0</v>
      </c>
      <c r="X515" s="4">
        <v>0</v>
      </c>
      <c r="Y515" s="4">
        <f t="shared" ref="Y515:Y578" si="16">T515-V515</f>
        <v>1518000</v>
      </c>
      <c r="Z515" s="6" t="s">
        <v>0</v>
      </c>
      <c r="AA515" t="s">
        <v>2</v>
      </c>
      <c r="AB515" t="s">
        <v>12</v>
      </c>
      <c r="AC515">
        <f>_xlfn.XLOOKUP(AB515,'[1]GST Codes'!$A:$A,'[1]GST Codes'!$C:$C,0,0)</f>
        <v>18</v>
      </c>
      <c r="AD515">
        <f t="shared" ref="AD515:AD578" si="17">Y515+(Y515*AC515/100)</f>
        <v>1791240</v>
      </c>
      <c r="AE515" t="s">
        <v>13</v>
      </c>
      <c r="AF515" t="s">
        <v>0</v>
      </c>
      <c r="AG515" t="s">
        <v>14</v>
      </c>
      <c r="AH515" t="s">
        <v>15</v>
      </c>
      <c r="AI515" t="s">
        <v>16</v>
      </c>
      <c r="AJ515" t="s">
        <v>17</v>
      </c>
      <c r="AK515" t="s">
        <v>18</v>
      </c>
      <c r="AL515" t="s">
        <v>19</v>
      </c>
      <c r="AM515" t="s">
        <v>363</v>
      </c>
      <c r="AN515" t="s">
        <v>0</v>
      </c>
      <c r="AO515" t="s">
        <v>0</v>
      </c>
      <c r="AP515" t="s">
        <v>0</v>
      </c>
      <c r="AQ515" s="5">
        <v>30</v>
      </c>
      <c r="AR515" t="s">
        <v>11</v>
      </c>
      <c r="AS515" t="s">
        <v>0</v>
      </c>
      <c r="AT515" t="s">
        <v>17</v>
      </c>
      <c r="AU515" s="4">
        <v>0</v>
      </c>
      <c r="AV515" s="4">
        <v>0</v>
      </c>
      <c r="AW515" s="4">
        <v>0</v>
      </c>
      <c r="AX515" s="4">
        <v>0</v>
      </c>
      <c r="AY515" s="5">
        <v>0</v>
      </c>
      <c r="AZ515" s="5">
        <v>0</v>
      </c>
      <c r="BA515" s="5">
        <v>0</v>
      </c>
      <c r="BB515" s="2"/>
      <c r="BC515" t="s">
        <v>0</v>
      </c>
      <c r="BD515" s="5">
        <v>1</v>
      </c>
      <c r="BE515" t="s">
        <v>0</v>
      </c>
      <c r="BF515" t="s">
        <v>367</v>
      </c>
      <c r="BG515" t="s">
        <v>17</v>
      </c>
      <c r="BH515" t="s">
        <v>0</v>
      </c>
      <c r="BI515" t="s">
        <v>11</v>
      </c>
      <c r="BJ515" t="s">
        <v>0</v>
      </c>
      <c r="BK515" t="s">
        <v>0</v>
      </c>
      <c r="BL515" s="5">
        <v>0</v>
      </c>
      <c r="BM515" t="s">
        <v>0</v>
      </c>
      <c r="BN515" t="s">
        <v>0</v>
      </c>
      <c r="BO515" t="s">
        <v>0</v>
      </c>
      <c r="BP515" t="s">
        <v>17</v>
      </c>
      <c r="BQ515" t="s">
        <v>0</v>
      </c>
      <c r="BR515" t="s">
        <v>17</v>
      </c>
      <c r="BS515" t="s">
        <v>17</v>
      </c>
      <c r="BT515" t="s">
        <v>0</v>
      </c>
      <c r="BU515" t="s">
        <v>0</v>
      </c>
      <c r="BV515" t="s">
        <v>0</v>
      </c>
      <c r="BW515" t="s">
        <v>0</v>
      </c>
      <c r="BX515" t="s">
        <v>0</v>
      </c>
      <c r="BY515" t="s">
        <v>0</v>
      </c>
      <c r="BZ515" t="s">
        <v>0</v>
      </c>
      <c r="CA515" t="s">
        <v>0</v>
      </c>
      <c r="CB515" t="s">
        <v>0</v>
      </c>
    </row>
    <row r="516" spans="1:80" ht="13.95" customHeight="1" x14ac:dyDescent="0.25">
      <c r="A516" t="s">
        <v>374</v>
      </c>
      <c r="B516" s="2">
        <v>45828</v>
      </c>
      <c r="C516" s="2">
        <v>45828</v>
      </c>
      <c r="D516" s="2">
        <v>45858</v>
      </c>
      <c r="E516" t="s">
        <v>2</v>
      </c>
      <c r="F516" t="s">
        <v>3</v>
      </c>
      <c r="G516" t="s">
        <v>0</v>
      </c>
      <c r="H516" t="s">
        <v>4</v>
      </c>
      <c r="I516" t="s">
        <v>363</v>
      </c>
      <c r="J516" t="s">
        <v>6</v>
      </c>
      <c r="K516" t="s">
        <v>30</v>
      </c>
      <c r="L516" t="s">
        <v>74</v>
      </c>
      <c r="M516" t="s">
        <v>75</v>
      </c>
      <c r="N516" t="s">
        <v>10</v>
      </c>
      <c r="O516" t="s">
        <v>0</v>
      </c>
      <c r="P516" t="s">
        <v>11</v>
      </c>
      <c r="Q516" s="5">
        <v>30</v>
      </c>
      <c r="R516" s="4">
        <v>50600</v>
      </c>
      <c r="S516" s="5">
        <v>1</v>
      </c>
      <c r="T516" s="4">
        <v>1518000</v>
      </c>
      <c r="U516" s="5">
        <v>0</v>
      </c>
      <c r="V516" s="4">
        <v>0</v>
      </c>
      <c r="W516" s="5">
        <v>0</v>
      </c>
      <c r="X516" s="4">
        <v>0</v>
      </c>
      <c r="Y516" s="4">
        <f t="shared" si="16"/>
        <v>1518000</v>
      </c>
      <c r="Z516" s="6" t="s">
        <v>0</v>
      </c>
      <c r="AA516" t="s">
        <v>2</v>
      </c>
      <c r="AB516" t="s">
        <v>12</v>
      </c>
      <c r="AC516">
        <f>_xlfn.XLOOKUP(AB516,'[1]GST Codes'!$A:$A,'[1]GST Codes'!$C:$C,0,0)</f>
        <v>18</v>
      </c>
      <c r="AD516">
        <f t="shared" si="17"/>
        <v>1791240</v>
      </c>
      <c r="AE516" t="s">
        <v>13</v>
      </c>
      <c r="AF516" t="s">
        <v>0</v>
      </c>
      <c r="AG516" t="s">
        <v>14</v>
      </c>
      <c r="AH516" t="s">
        <v>15</v>
      </c>
      <c r="AI516" t="s">
        <v>16</v>
      </c>
      <c r="AJ516" t="s">
        <v>17</v>
      </c>
      <c r="AK516" t="s">
        <v>18</v>
      </c>
      <c r="AL516" t="s">
        <v>19</v>
      </c>
      <c r="AM516" t="s">
        <v>363</v>
      </c>
      <c r="AN516" t="s">
        <v>0</v>
      </c>
      <c r="AO516" t="s">
        <v>0</v>
      </c>
      <c r="AP516" t="s">
        <v>0</v>
      </c>
      <c r="AQ516" s="5">
        <v>30</v>
      </c>
      <c r="AR516" t="s">
        <v>11</v>
      </c>
      <c r="AS516" t="s">
        <v>0</v>
      </c>
      <c r="AT516" t="s">
        <v>17</v>
      </c>
      <c r="AU516" s="4">
        <v>0</v>
      </c>
      <c r="AV516" s="4">
        <v>0</v>
      </c>
      <c r="AW516" s="4">
        <v>0</v>
      </c>
      <c r="AX516" s="4">
        <v>0</v>
      </c>
      <c r="AY516" s="5">
        <v>0</v>
      </c>
      <c r="AZ516" s="5">
        <v>0</v>
      </c>
      <c r="BA516" s="5">
        <v>0</v>
      </c>
      <c r="BB516" s="2"/>
      <c r="BC516" t="s">
        <v>0</v>
      </c>
      <c r="BD516" s="5">
        <v>1</v>
      </c>
      <c r="BE516" t="s">
        <v>0</v>
      </c>
      <c r="BF516" t="s">
        <v>367</v>
      </c>
      <c r="BG516" t="s">
        <v>17</v>
      </c>
      <c r="BH516" t="s">
        <v>0</v>
      </c>
      <c r="BI516" t="s">
        <v>11</v>
      </c>
      <c r="BJ516" t="s">
        <v>0</v>
      </c>
      <c r="BK516" t="s">
        <v>0</v>
      </c>
      <c r="BL516" s="5">
        <v>0</v>
      </c>
      <c r="BM516" t="s">
        <v>0</v>
      </c>
      <c r="BN516" t="s">
        <v>0</v>
      </c>
      <c r="BO516" t="s">
        <v>0</v>
      </c>
      <c r="BP516" t="s">
        <v>17</v>
      </c>
      <c r="BQ516" t="s">
        <v>0</v>
      </c>
      <c r="BR516" t="s">
        <v>17</v>
      </c>
      <c r="BS516" t="s">
        <v>17</v>
      </c>
      <c r="BT516" t="s">
        <v>0</v>
      </c>
      <c r="BU516" t="s">
        <v>0</v>
      </c>
      <c r="BV516" t="s">
        <v>0</v>
      </c>
      <c r="BW516" t="s">
        <v>0</v>
      </c>
      <c r="BX516" t="s">
        <v>0</v>
      </c>
      <c r="BY516" t="s">
        <v>0</v>
      </c>
      <c r="BZ516" t="s">
        <v>0</v>
      </c>
      <c r="CA516" t="s">
        <v>0</v>
      </c>
      <c r="CB516" t="s">
        <v>0</v>
      </c>
    </row>
    <row r="517" spans="1:80" ht="13.95" customHeight="1" x14ac:dyDescent="0.25">
      <c r="A517" t="s">
        <v>374</v>
      </c>
      <c r="B517" s="2">
        <v>45828</v>
      </c>
      <c r="C517" s="2">
        <v>45828</v>
      </c>
      <c r="D517" s="2">
        <v>45858</v>
      </c>
      <c r="E517" t="s">
        <v>2</v>
      </c>
      <c r="F517" t="s">
        <v>3</v>
      </c>
      <c r="G517" t="s">
        <v>0</v>
      </c>
      <c r="H517" t="s">
        <v>4</v>
      </c>
      <c r="I517" t="s">
        <v>363</v>
      </c>
      <c r="J517" t="s">
        <v>6</v>
      </c>
      <c r="K517" t="s">
        <v>34</v>
      </c>
      <c r="L517" t="s">
        <v>74</v>
      </c>
      <c r="M517" t="s">
        <v>75</v>
      </c>
      <c r="N517" t="s">
        <v>10</v>
      </c>
      <c r="O517" t="s">
        <v>0</v>
      </c>
      <c r="P517" t="s">
        <v>11</v>
      </c>
      <c r="Q517" s="5">
        <v>30</v>
      </c>
      <c r="R517" s="4">
        <v>50600</v>
      </c>
      <c r="S517" s="5">
        <v>1</v>
      </c>
      <c r="T517" s="4">
        <v>1518000</v>
      </c>
      <c r="U517" s="5">
        <v>0</v>
      </c>
      <c r="V517" s="4">
        <v>0</v>
      </c>
      <c r="W517" s="5">
        <v>0</v>
      </c>
      <c r="X517" s="4">
        <v>0</v>
      </c>
      <c r="Y517" s="4">
        <f t="shared" si="16"/>
        <v>1518000</v>
      </c>
      <c r="Z517" s="6" t="s">
        <v>0</v>
      </c>
      <c r="AA517" t="s">
        <v>2</v>
      </c>
      <c r="AB517" t="s">
        <v>12</v>
      </c>
      <c r="AC517">
        <f>_xlfn.XLOOKUP(AB517,'[1]GST Codes'!$A:$A,'[1]GST Codes'!$C:$C,0,0)</f>
        <v>18</v>
      </c>
      <c r="AD517">
        <f t="shared" si="17"/>
        <v>1791240</v>
      </c>
      <c r="AE517" t="s">
        <v>13</v>
      </c>
      <c r="AF517" t="s">
        <v>0</v>
      </c>
      <c r="AG517" t="s">
        <v>14</v>
      </c>
      <c r="AH517" t="s">
        <v>15</v>
      </c>
      <c r="AI517" t="s">
        <v>16</v>
      </c>
      <c r="AJ517" t="s">
        <v>17</v>
      </c>
      <c r="AK517" t="s">
        <v>18</v>
      </c>
      <c r="AL517" t="s">
        <v>19</v>
      </c>
      <c r="AM517" t="s">
        <v>363</v>
      </c>
      <c r="AN517" t="s">
        <v>0</v>
      </c>
      <c r="AO517" t="s">
        <v>0</v>
      </c>
      <c r="AP517" t="s">
        <v>0</v>
      </c>
      <c r="AQ517" s="5">
        <v>30</v>
      </c>
      <c r="AR517" t="s">
        <v>11</v>
      </c>
      <c r="AS517" t="s">
        <v>0</v>
      </c>
      <c r="AT517" t="s">
        <v>17</v>
      </c>
      <c r="AU517" s="4">
        <v>0</v>
      </c>
      <c r="AV517" s="4">
        <v>0</v>
      </c>
      <c r="AW517" s="4">
        <v>0</v>
      </c>
      <c r="AX517" s="4">
        <v>0</v>
      </c>
      <c r="AY517" s="5">
        <v>0</v>
      </c>
      <c r="AZ517" s="5">
        <v>0</v>
      </c>
      <c r="BA517" s="5">
        <v>0</v>
      </c>
      <c r="BB517" s="2"/>
      <c r="BC517" t="s">
        <v>0</v>
      </c>
      <c r="BD517" s="5">
        <v>1</v>
      </c>
      <c r="BE517" t="s">
        <v>0</v>
      </c>
      <c r="BF517" t="s">
        <v>367</v>
      </c>
      <c r="BG517" t="s">
        <v>17</v>
      </c>
      <c r="BH517" t="s">
        <v>0</v>
      </c>
      <c r="BI517" t="s">
        <v>11</v>
      </c>
      <c r="BJ517" t="s">
        <v>0</v>
      </c>
      <c r="BK517" t="s">
        <v>0</v>
      </c>
      <c r="BL517" s="5">
        <v>0</v>
      </c>
      <c r="BM517" t="s">
        <v>0</v>
      </c>
      <c r="BN517" t="s">
        <v>0</v>
      </c>
      <c r="BO517" t="s">
        <v>0</v>
      </c>
      <c r="BP517" t="s">
        <v>17</v>
      </c>
      <c r="BQ517" t="s">
        <v>0</v>
      </c>
      <c r="BR517" t="s">
        <v>17</v>
      </c>
      <c r="BS517" t="s">
        <v>17</v>
      </c>
      <c r="BT517" t="s">
        <v>0</v>
      </c>
      <c r="BU517" t="s">
        <v>0</v>
      </c>
      <c r="BV517" t="s">
        <v>0</v>
      </c>
      <c r="BW517" t="s">
        <v>0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</row>
    <row r="518" spans="1:80" ht="13.95" customHeight="1" x14ac:dyDescent="0.25">
      <c r="A518" t="s">
        <v>374</v>
      </c>
      <c r="B518" s="2">
        <v>45828</v>
      </c>
      <c r="C518" s="2">
        <v>45828</v>
      </c>
      <c r="D518" s="2">
        <v>45858</v>
      </c>
      <c r="E518" t="s">
        <v>2</v>
      </c>
      <c r="F518" t="s">
        <v>3</v>
      </c>
      <c r="G518" t="s">
        <v>0</v>
      </c>
      <c r="H518" t="s">
        <v>4</v>
      </c>
      <c r="I518" t="s">
        <v>363</v>
      </c>
      <c r="J518" t="s">
        <v>6</v>
      </c>
      <c r="K518" t="s">
        <v>38</v>
      </c>
      <c r="L518" t="s">
        <v>74</v>
      </c>
      <c r="M518" t="s">
        <v>75</v>
      </c>
      <c r="N518" t="s">
        <v>10</v>
      </c>
      <c r="O518" t="s">
        <v>0</v>
      </c>
      <c r="P518" t="s">
        <v>11</v>
      </c>
      <c r="Q518" s="5">
        <v>30</v>
      </c>
      <c r="R518" s="4">
        <v>50600</v>
      </c>
      <c r="S518" s="5">
        <v>1</v>
      </c>
      <c r="T518" s="4">
        <v>1518000</v>
      </c>
      <c r="U518" s="5">
        <v>0</v>
      </c>
      <c r="V518" s="4">
        <v>0</v>
      </c>
      <c r="W518" s="5">
        <v>0</v>
      </c>
      <c r="X518" s="4">
        <v>0</v>
      </c>
      <c r="Y518" s="4">
        <f t="shared" si="16"/>
        <v>1518000</v>
      </c>
      <c r="Z518" s="6" t="s">
        <v>0</v>
      </c>
      <c r="AA518" t="s">
        <v>2</v>
      </c>
      <c r="AB518" t="s">
        <v>12</v>
      </c>
      <c r="AC518">
        <f>_xlfn.XLOOKUP(AB518,'[1]GST Codes'!$A:$A,'[1]GST Codes'!$C:$C,0,0)</f>
        <v>18</v>
      </c>
      <c r="AD518">
        <f t="shared" si="17"/>
        <v>1791240</v>
      </c>
      <c r="AE518" t="s">
        <v>13</v>
      </c>
      <c r="AF518" t="s">
        <v>0</v>
      </c>
      <c r="AG518" t="s">
        <v>14</v>
      </c>
      <c r="AH518" t="s">
        <v>15</v>
      </c>
      <c r="AI518" t="s">
        <v>16</v>
      </c>
      <c r="AJ518" t="s">
        <v>17</v>
      </c>
      <c r="AK518" t="s">
        <v>18</v>
      </c>
      <c r="AL518" t="s">
        <v>19</v>
      </c>
      <c r="AM518" t="s">
        <v>363</v>
      </c>
      <c r="AN518" t="s">
        <v>0</v>
      </c>
      <c r="AO518" t="s">
        <v>0</v>
      </c>
      <c r="AP518" t="s">
        <v>0</v>
      </c>
      <c r="AQ518" s="5">
        <v>30</v>
      </c>
      <c r="AR518" t="s">
        <v>11</v>
      </c>
      <c r="AS518" t="s">
        <v>0</v>
      </c>
      <c r="AT518" t="s">
        <v>17</v>
      </c>
      <c r="AU518" s="4">
        <v>0</v>
      </c>
      <c r="AV518" s="4">
        <v>0</v>
      </c>
      <c r="AW518" s="4">
        <v>0</v>
      </c>
      <c r="AX518" s="4">
        <v>0</v>
      </c>
      <c r="AY518" s="5">
        <v>0</v>
      </c>
      <c r="AZ518" s="5">
        <v>0</v>
      </c>
      <c r="BA518" s="5">
        <v>0</v>
      </c>
      <c r="BB518" s="2"/>
      <c r="BC518" t="s">
        <v>0</v>
      </c>
      <c r="BD518" s="5">
        <v>1</v>
      </c>
      <c r="BE518" t="s">
        <v>0</v>
      </c>
      <c r="BF518" t="s">
        <v>367</v>
      </c>
      <c r="BG518" t="s">
        <v>17</v>
      </c>
      <c r="BH518" t="s">
        <v>0</v>
      </c>
      <c r="BI518" t="s">
        <v>11</v>
      </c>
      <c r="BJ518" t="s">
        <v>0</v>
      </c>
      <c r="BK518" t="s">
        <v>0</v>
      </c>
      <c r="BL518" s="5">
        <v>0</v>
      </c>
      <c r="BM518" t="s">
        <v>0</v>
      </c>
      <c r="BN518" t="s">
        <v>0</v>
      </c>
      <c r="BO518" t="s">
        <v>0</v>
      </c>
      <c r="BP518" t="s">
        <v>17</v>
      </c>
      <c r="BQ518" t="s">
        <v>0</v>
      </c>
      <c r="BR518" t="s">
        <v>17</v>
      </c>
      <c r="BS518" t="s">
        <v>17</v>
      </c>
      <c r="BT518" t="s">
        <v>0</v>
      </c>
      <c r="BU518" t="s">
        <v>0</v>
      </c>
      <c r="BV518" t="s">
        <v>0</v>
      </c>
      <c r="BW518" t="s">
        <v>0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</row>
    <row r="519" spans="1:80" ht="13.95" customHeight="1" x14ac:dyDescent="0.25">
      <c r="A519" t="s">
        <v>374</v>
      </c>
      <c r="B519" s="2">
        <v>45828</v>
      </c>
      <c r="C519" s="2">
        <v>45828</v>
      </c>
      <c r="D519" s="2">
        <v>45858</v>
      </c>
      <c r="E519" t="s">
        <v>2</v>
      </c>
      <c r="F519" t="s">
        <v>3</v>
      </c>
      <c r="G519" t="s">
        <v>0</v>
      </c>
      <c r="H519" t="s">
        <v>4</v>
      </c>
      <c r="I519" t="s">
        <v>363</v>
      </c>
      <c r="J519" t="s">
        <v>6</v>
      </c>
      <c r="K519" t="s">
        <v>42</v>
      </c>
      <c r="L519" t="s">
        <v>74</v>
      </c>
      <c r="M519" t="s">
        <v>75</v>
      </c>
      <c r="N519" t="s">
        <v>10</v>
      </c>
      <c r="O519" t="s">
        <v>0</v>
      </c>
      <c r="P519" t="s">
        <v>11</v>
      </c>
      <c r="Q519" s="5">
        <v>35</v>
      </c>
      <c r="R519" s="4">
        <v>50600</v>
      </c>
      <c r="S519" s="5">
        <v>1</v>
      </c>
      <c r="T519" s="4">
        <v>1771000</v>
      </c>
      <c r="U519" s="5">
        <v>10</v>
      </c>
      <c r="V519" s="4">
        <v>506000</v>
      </c>
      <c r="W519" s="5">
        <v>10</v>
      </c>
      <c r="X519" s="4">
        <v>506000</v>
      </c>
      <c r="Y519" s="4">
        <f t="shared" si="16"/>
        <v>1265000</v>
      </c>
      <c r="Z519" s="6" t="s">
        <v>0</v>
      </c>
      <c r="AA519" t="s">
        <v>2</v>
      </c>
      <c r="AB519" t="s">
        <v>12</v>
      </c>
      <c r="AC519">
        <f>_xlfn.XLOOKUP(AB519,'[1]GST Codes'!$A:$A,'[1]GST Codes'!$C:$C,0,0)</f>
        <v>18</v>
      </c>
      <c r="AD519">
        <f t="shared" si="17"/>
        <v>1492700</v>
      </c>
      <c r="AE519" t="s">
        <v>13</v>
      </c>
      <c r="AF519" t="s">
        <v>0</v>
      </c>
      <c r="AG519" t="s">
        <v>14</v>
      </c>
      <c r="AH519" t="s">
        <v>15</v>
      </c>
      <c r="AI519" t="s">
        <v>16</v>
      </c>
      <c r="AJ519" t="s">
        <v>17</v>
      </c>
      <c r="AK519" t="s">
        <v>18</v>
      </c>
      <c r="AL519" t="s">
        <v>19</v>
      </c>
      <c r="AM519" t="s">
        <v>363</v>
      </c>
      <c r="AN519" t="s">
        <v>0</v>
      </c>
      <c r="AO519" t="s">
        <v>0</v>
      </c>
      <c r="AP519" t="s">
        <v>0</v>
      </c>
      <c r="AQ519" s="5">
        <v>35</v>
      </c>
      <c r="AR519" t="s">
        <v>11</v>
      </c>
      <c r="AS519" t="s">
        <v>0</v>
      </c>
      <c r="AT519" t="s">
        <v>17</v>
      </c>
      <c r="AU519" s="4">
        <v>0</v>
      </c>
      <c r="AV519" s="4">
        <v>0</v>
      </c>
      <c r="AW519" s="4">
        <v>0</v>
      </c>
      <c r="AX519" s="4">
        <v>0</v>
      </c>
      <c r="AY519" s="5">
        <v>0</v>
      </c>
      <c r="AZ519" s="5">
        <v>0</v>
      </c>
      <c r="BA519" s="5">
        <v>0</v>
      </c>
      <c r="BB519" s="2"/>
      <c r="BC519" t="s">
        <v>0</v>
      </c>
      <c r="BD519" s="5">
        <v>1</v>
      </c>
      <c r="BE519" t="s">
        <v>0</v>
      </c>
      <c r="BF519" t="s">
        <v>367</v>
      </c>
      <c r="BG519" t="s">
        <v>17</v>
      </c>
      <c r="BH519" t="s">
        <v>0</v>
      </c>
      <c r="BI519" t="s">
        <v>11</v>
      </c>
      <c r="BJ519" t="s">
        <v>0</v>
      </c>
      <c r="BK519" t="s">
        <v>0</v>
      </c>
      <c r="BL519" s="5">
        <v>0</v>
      </c>
      <c r="BM519" t="s">
        <v>0</v>
      </c>
      <c r="BN519" t="s">
        <v>0</v>
      </c>
      <c r="BO519" t="s">
        <v>0</v>
      </c>
      <c r="BP519" t="s">
        <v>17</v>
      </c>
      <c r="BQ519" t="s">
        <v>0</v>
      </c>
      <c r="BR519" t="s">
        <v>17</v>
      </c>
      <c r="BS519" t="s">
        <v>17</v>
      </c>
      <c r="BT519" t="s">
        <v>0</v>
      </c>
      <c r="BU519" t="s">
        <v>0</v>
      </c>
      <c r="BV519" t="s">
        <v>0</v>
      </c>
      <c r="BW519" t="s">
        <v>0</v>
      </c>
      <c r="BX519" t="s">
        <v>0</v>
      </c>
      <c r="BY519" t="s">
        <v>0</v>
      </c>
      <c r="BZ519" t="s">
        <v>0</v>
      </c>
      <c r="CA519" t="s">
        <v>0</v>
      </c>
      <c r="CB519" t="s">
        <v>0</v>
      </c>
    </row>
    <row r="520" spans="1:80" ht="13.95" customHeight="1" x14ac:dyDescent="0.25">
      <c r="A520" t="s">
        <v>374</v>
      </c>
      <c r="B520" s="2">
        <v>45828</v>
      </c>
      <c r="C520" s="2">
        <v>45828</v>
      </c>
      <c r="D520" s="2">
        <v>45858</v>
      </c>
      <c r="E520" t="s">
        <v>2</v>
      </c>
      <c r="F520" t="s">
        <v>3</v>
      </c>
      <c r="G520" t="s">
        <v>0</v>
      </c>
      <c r="H520" t="s">
        <v>4</v>
      </c>
      <c r="I520" t="s">
        <v>363</v>
      </c>
      <c r="J520" t="s">
        <v>6</v>
      </c>
      <c r="K520" t="s">
        <v>86</v>
      </c>
      <c r="L520" t="s">
        <v>74</v>
      </c>
      <c r="M520" t="s">
        <v>75</v>
      </c>
      <c r="N520" t="s">
        <v>10</v>
      </c>
      <c r="O520" t="s">
        <v>0</v>
      </c>
      <c r="P520" t="s">
        <v>11</v>
      </c>
      <c r="Q520" s="5">
        <v>35</v>
      </c>
      <c r="R520" s="4">
        <v>50600</v>
      </c>
      <c r="S520" s="5">
        <v>1</v>
      </c>
      <c r="T520" s="4">
        <v>1771000</v>
      </c>
      <c r="U520" s="3">
        <v>5.0220000000000002</v>
      </c>
      <c r="V520" s="4">
        <v>254113.2</v>
      </c>
      <c r="W520" s="3">
        <v>5.0220000000000002</v>
      </c>
      <c r="X520" s="4">
        <v>254113.2</v>
      </c>
      <c r="Y520" s="4">
        <f t="shared" si="16"/>
        <v>1516886.8</v>
      </c>
      <c r="Z520" s="6" t="s">
        <v>0</v>
      </c>
      <c r="AA520" t="s">
        <v>2</v>
      </c>
      <c r="AB520" t="s">
        <v>12</v>
      </c>
      <c r="AC520">
        <f>_xlfn.XLOOKUP(AB520,'[1]GST Codes'!$A:$A,'[1]GST Codes'!$C:$C,0,0)</f>
        <v>18</v>
      </c>
      <c r="AD520">
        <f t="shared" si="17"/>
        <v>1789926.4240000001</v>
      </c>
      <c r="AE520" t="s">
        <v>13</v>
      </c>
      <c r="AF520" t="s">
        <v>0</v>
      </c>
      <c r="AG520" t="s">
        <v>14</v>
      </c>
      <c r="AH520" t="s">
        <v>15</v>
      </c>
      <c r="AI520" t="s">
        <v>16</v>
      </c>
      <c r="AJ520" t="s">
        <v>17</v>
      </c>
      <c r="AK520" t="s">
        <v>18</v>
      </c>
      <c r="AL520" t="s">
        <v>19</v>
      </c>
      <c r="AM520" t="s">
        <v>363</v>
      </c>
      <c r="AN520" t="s">
        <v>0</v>
      </c>
      <c r="AO520" t="s">
        <v>0</v>
      </c>
      <c r="AP520" t="s">
        <v>0</v>
      </c>
      <c r="AQ520" s="5">
        <v>35</v>
      </c>
      <c r="AR520" t="s">
        <v>11</v>
      </c>
      <c r="AS520" t="s">
        <v>0</v>
      </c>
      <c r="AT520" t="s">
        <v>17</v>
      </c>
      <c r="AU520" s="4">
        <v>0</v>
      </c>
      <c r="AV520" s="4">
        <v>0</v>
      </c>
      <c r="AW520" s="4">
        <v>0</v>
      </c>
      <c r="AX520" s="4">
        <v>0</v>
      </c>
      <c r="AY520" s="5">
        <v>0</v>
      </c>
      <c r="AZ520" s="5">
        <v>0</v>
      </c>
      <c r="BA520" s="5">
        <v>0</v>
      </c>
      <c r="BB520" s="2"/>
      <c r="BC520" t="s">
        <v>0</v>
      </c>
      <c r="BD520" s="5">
        <v>1</v>
      </c>
      <c r="BE520" t="s">
        <v>0</v>
      </c>
      <c r="BF520" t="s">
        <v>367</v>
      </c>
      <c r="BG520" t="s">
        <v>17</v>
      </c>
      <c r="BH520" t="s">
        <v>0</v>
      </c>
      <c r="BI520" t="s">
        <v>11</v>
      </c>
      <c r="BJ520" t="s">
        <v>0</v>
      </c>
      <c r="BK520" t="s">
        <v>0</v>
      </c>
      <c r="BL520" s="5">
        <v>0</v>
      </c>
      <c r="BM520" t="s">
        <v>0</v>
      </c>
      <c r="BN520" t="s">
        <v>0</v>
      </c>
      <c r="BO520" t="s">
        <v>0</v>
      </c>
      <c r="BP520" t="s">
        <v>17</v>
      </c>
      <c r="BQ520" t="s">
        <v>0</v>
      </c>
      <c r="BR520" t="s">
        <v>17</v>
      </c>
      <c r="BS520" t="s">
        <v>17</v>
      </c>
      <c r="BT520" t="s">
        <v>0</v>
      </c>
      <c r="BU520" t="s">
        <v>0</v>
      </c>
      <c r="BV520" t="s">
        <v>0</v>
      </c>
      <c r="BW520" t="s">
        <v>0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</row>
    <row r="521" spans="1:80" ht="13.95" customHeight="1" x14ac:dyDescent="0.25">
      <c r="A521" t="s">
        <v>374</v>
      </c>
      <c r="B521" s="2">
        <v>45828</v>
      </c>
      <c r="C521" s="2">
        <v>45828</v>
      </c>
      <c r="D521" s="2">
        <v>45858</v>
      </c>
      <c r="E521" t="s">
        <v>2</v>
      </c>
      <c r="F521" t="s">
        <v>3</v>
      </c>
      <c r="G521" t="s">
        <v>0</v>
      </c>
      <c r="H521" t="s">
        <v>4</v>
      </c>
      <c r="I521" t="s">
        <v>363</v>
      </c>
      <c r="J521" t="s">
        <v>6</v>
      </c>
      <c r="K521" t="s">
        <v>87</v>
      </c>
      <c r="L521" t="s">
        <v>39</v>
      </c>
      <c r="M521" t="s">
        <v>40</v>
      </c>
      <c r="N521" t="s">
        <v>10</v>
      </c>
      <c r="O521" t="s">
        <v>0</v>
      </c>
      <c r="P521" t="s">
        <v>11</v>
      </c>
      <c r="Q521" s="5">
        <v>25</v>
      </c>
      <c r="R521" s="4">
        <v>50600</v>
      </c>
      <c r="S521" s="5">
        <v>1</v>
      </c>
      <c r="T521" s="4">
        <v>1265000</v>
      </c>
      <c r="U521" s="5">
        <v>0</v>
      </c>
      <c r="V521" s="4">
        <v>0</v>
      </c>
      <c r="W521" s="5">
        <v>0</v>
      </c>
      <c r="X521" s="4">
        <v>0</v>
      </c>
      <c r="Y521" s="4">
        <f t="shared" si="16"/>
        <v>1265000</v>
      </c>
      <c r="Z521" s="6" t="s">
        <v>0</v>
      </c>
      <c r="AA521" t="s">
        <v>2</v>
      </c>
      <c r="AB521" t="s">
        <v>12</v>
      </c>
      <c r="AC521">
        <f>_xlfn.XLOOKUP(AB521,'[1]GST Codes'!$A:$A,'[1]GST Codes'!$C:$C,0,0)</f>
        <v>18</v>
      </c>
      <c r="AD521">
        <f t="shared" si="17"/>
        <v>1492700</v>
      </c>
      <c r="AE521" t="s">
        <v>13</v>
      </c>
      <c r="AF521" t="s">
        <v>0</v>
      </c>
      <c r="AG521" t="s">
        <v>14</v>
      </c>
      <c r="AH521" t="s">
        <v>15</v>
      </c>
      <c r="AI521" t="s">
        <v>16</v>
      </c>
      <c r="AJ521" t="s">
        <v>17</v>
      </c>
      <c r="AK521" t="s">
        <v>18</v>
      </c>
      <c r="AL521" t="s">
        <v>19</v>
      </c>
      <c r="AM521" t="s">
        <v>363</v>
      </c>
      <c r="AN521" t="s">
        <v>0</v>
      </c>
      <c r="AO521" t="s">
        <v>0</v>
      </c>
      <c r="AP521" t="s">
        <v>0</v>
      </c>
      <c r="AQ521" s="5">
        <v>25</v>
      </c>
      <c r="AR521" t="s">
        <v>11</v>
      </c>
      <c r="AS521" t="s">
        <v>0</v>
      </c>
      <c r="AT521" t="s">
        <v>17</v>
      </c>
      <c r="AU521" s="4">
        <v>0</v>
      </c>
      <c r="AV521" s="4">
        <v>0</v>
      </c>
      <c r="AW521" s="4">
        <v>0</v>
      </c>
      <c r="AX521" s="4">
        <v>0</v>
      </c>
      <c r="AY521" s="5">
        <v>0</v>
      </c>
      <c r="AZ521" s="5">
        <v>0</v>
      </c>
      <c r="BA521" s="5">
        <v>0</v>
      </c>
      <c r="BB521" s="2"/>
      <c r="BC521" t="s">
        <v>0</v>
      </c>
      <c r="BD521" s="5">
        <v>1</v>
      </c>
      <c r="BE521" t="s">
        <v>0</v>
      </c>
      <c r="BF521" t="s">
        <v>368</v>
      </c>
      <c r="BG521" t="s">
        <v>17</v>
      </c>
      <c r="BH521" t="s">
        <v>0</v>
      </c>
      <c r="BI521" t="s">
        <v>11</v>
      </c>
      <c r="BJ521" t="s">
        <v>0</v>
      </c>
      <c r="BK521" t="s">
        <v>0</v>
      </c>
      <c r="BL521" s="5">
        <v>0</v>
      </c>
      <c r="BM521" t="s">
        <v>0</v>
      </c>
      <c r="BN521" t="s">
        <v>0</v>
      </c>
      <c r="BO521" t="s">
        <v>0</v>
      </c>
      <c r="BP521" t="s">
        <v>17</v>
      </c>
      <c r="BQ521" t="s">
        <v>0</v>
      </c>
      <c r="BR521" t="s">
        <v>17</v>
      </c>
      <c r="BS521" t="s">
        <v>17</v>
      </c>
      <c r="BT521" t="s">
        <v>0</v>
      </c>
      <c r="BU521" t="s">
        <v>0</v>
      </c>
      <c r="BV521" t="s">
        <v>0</v>
      </c>
      <c r="BW521" t="s">
        <v>0</v>
      </c>
      <c r="BX521" t="s">
        <v>0</v>
      </c>
      <c r="BY521" t="s">
        <v>0</v>
      </c>
      <c r="BZ521" t="s">
        <v>0</v>
      </c>
      <c r="CA521" t="s">
        <v>0</v>
      </c>
      <c r="CB521" t="s">
        <v>0</v>
      </c>
    </row>
    <row r="522" spans="1:80" ht="13.95" customHeight="1" x14ac:dyDescent="0.25">
      <c r="A522" t="s">
        <v>374</v>
      </c>
      <c r="B522" s="2">
        <v>45828</v>
      </c>
      <c r="C522" s="2">
        <v>45828</v>
      </c>
      <c r="D522" s="2">
        <v>45858</v>
      </c>
      <c r="E522" t="s">
        <v>2</v>
      </c>
      <c r="F522" t="s">
        <v>3</v>
      </c>
      <c r="G522" t="s">
        <v>0</v>
      </c>
      <c r="H522" t="s">
        <v>4</v>
      </c>
      <c r="I522" t="s">
        <v>363</v>
      </c>
      <c r="J522" t="s">
        <v>6</v>
      </c>
      <c r="K522" t="s">
        <v>88</v>
      </c>
      <c r="L522" t="s">
        <v>39</v>
      </c>
      <c r="M522" t="s">
        <v>40</v>
      </c>
      <c r="N522" t="s">
        <v>10</v>
      </c>
      <c r="O522" t="s">
        <v>0</v>
      </c>
      <c r="P522" t="s">
        <v>11</v>
      </c>
      <c r="Q522" s="5">
        <v>25</v>
      </c>
      <c r="R522" s="4">
        <v>50600</v>
      </c>
      <c r="S522" s="5">
        <v>1</v>
      </c>
      <c r="T522" s="4">
        <v>1265000</v>
      </c>
      <c r="U522" s="5">
        <v>0</v>
      </c>
      <c r="V522" s="4">
        <v>0</v>
      </c>
      <c r="W522" s="5">
        <v>0</v>
      </c>
      <c r="X522" s="4">
        <v>0</v>
      </c>
      <c r="Y522" s="4">
        <f t="shared" si="16"/>
        <v>1265000</v>
      </c>
      <c r="Z522" s="6" t="s">
        <v>0</v>
      </c>
      <c r="AA522" t="s">
        <v>2</v>
      </c>
      <c r="AB522" t="s">
        <v>12</v>
      </c>
      <c r="AC522">
        <f>_xlfn.XLOOKUP(AB522,'[1]GST Codes'!$A:$A,'[1]GST Codes'!$C:$C,0,0)</f>
        <v>18</v>
      </c>
      <c r="AD522">
        <f t="shared" si="17"/>
        <v>1492700</v>
      </c>
      <c r="AE522" t="s">
        <v>13</v>
      </c>
      <c r="AF522" t="s">
        <v>0</v>
      </c>
      <c r="AG522" t="s">
        <v>14</v>
      </c>
      <c r="AH522" t="s">
        <v>15</v>
      </c>
      <c r="AI522" t="s">
        <v>16</v>
      </c>
      <c r="AJ522" t="s">
        <v>17</v>
      </c>
      <c r="AK522" t="s">
        <v>18</v>
      </c>
      <c r="AL522" t="s">
        <v>19</v>
      </c>
      <c r="AM522" t="s">
        <v>363</v>
      </c>
      <c r="AN522" t="s">
        <v>0</v>
      </c>
      <c r="AO522" t="s">
        <v>0</v>
      </c>
      <c r="AP522" t="s">
        <v>0</v>
      </c>
      <c r="AQ522" s="5">
        <v>25</v>
      </c>
      <c r="AR522" t="s">
        <v>11</v>
      </c>
      <c r="AS522" t="s">
        <v>0</v>
      </c>
      <c r="AT522" t="s">
        <v>17</v>
      </c>
      <c r="AU522" s="4">
        <v>0</v>
      </c>
      <c r="AV522" s="4">
        <v>0</v>
      </c>
      <c r="AW522" s="4">
        <v>0</v>
      </c>
      <c r="AX522" s="4">
        <v>0</v>
      </c>
      <c r="AY522" s="5">
        <v>0</v>
      </c>
      <c r="AZ522" s="5">
        <v>0</v>
      </c>
      <c r="BA522" s="5">
        <v>0</v>
      </c>
      <c r="BB522" s="2"/>
      <c r="BC522" t="s">
        <v>0</v>
      </c>
      <c r="BD522" s="5">
        <v>1</v>
      </c>
      <c r="BE522" t="s">
        <v>0</v>
      </c>
      <c r="BF522" t="s">
        <v>368</v>
      </c>
      <c r="BG522" t="s">
        <v>17</v>
      </c>
      <c r="BH522" t="s">
        <v>0</v>
      </c>
      <c r="BI522" t="s">
        <v>11</v>
      </c>
      <c r="BJ522" t="s">
        <v>0</v>
      </c>
      <c r="BK522" t="s">
        <v>0</v>
      </c>
      <c r="BL522" s="5">
        <v>0</v>
      </c>
      <c r="BM522" t="s">
        <v>0</v>
      </c>
      <c r="BN522" t="s">
        <v>0</v>
      </c>
      <c r="BO522" t="s">
        <v>0</v>
      </c>
      <c r="BP522" t="s">
        <v>17</v>
      </c>
      <c r="BQ522" t="s">
        <v>0</v>
      </c>
      <c r="BR522" t="s">
        <v>17</v>
      </c>
      <c r="BS522" t="s">
        <v>17</v>
      </c>
      <c r="BT522" t="s">
        <v>0</v>
      </c>
      <c r="BU522" t="s">
        <v>0</v>
      </c>
      <c r="BV522" t="s">
        <v>0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</row>
    <row r="523" spans="1:80" ht="13.95" customHeight="1" x14ac:dyDescent="0.25">
      <c r="A523" t="s">
        <v>374</v>
      </c>
      <c r="B523" s="2">
        <v>45828</v>
      </c>
      <c r="C523" s="2">
        <v>45828</v>
      </c>
      <c r="D523" s="2">
        <v>45858</v>
      </c>
      <c r="E523" t="s">
        <v>2</v>
      </c>
      <c r="F523" t="s">
        <v>3</v>
      </c>
      <c r="G523" t="s">
        <v>0</v>
      </c>
      <c r="H523" t="s">
        <v>4</v>
      </c>
      <c r="I523" t="s">
        <v>363</v>
      </c>
      <c r="J523" t="s">
        <v>6</v>
      </c>
      <c r="K523" t="s">
        <v>89</v>
      </c>
      <c r="L523" t="s">
        <v>39</v>
      </c>
      <c r="M523" t="s">
        <v>40</v>
      </c>
      <c r="N523" t="s">
        <v>10</v>
      </c>
      <c r="O523" t="s">
        <v>0</v>
      </c>
      <c r="P523" t="s">
        <v>11</v>
      </c>
      <c r="Q523" s="5">
        <v>25</v>
      </c>
      <c r="R523" s="4">
        <v>50600</v>
      </c>
      <c r="S523" s="5">
        <v>1</v>
      </c>
      <c r="T523" s="4">
        <v>1265000</v>
      </c>
      <c r="U523" s="5">
        <v>0</v>
      </c>
      <c r="V523" s="4">
        <v>0</v>
      </c>
      <c r="W523" s="5">
        <v>0</v>
      </c>
      <c r="X523" s="4">
        <v>0</v>
      </c>
      <c r="Y523" s="4">
        <f t="shared" si="16"/>
        <v>1265000</v>
      </c>
      <c r="Z523" s="6" t="s">
        <v>0</v>
      </c>
      <c r="AA523" t="s">
        <v>2</v>
      </c>
      <c r="AB523" t="s">
        <v>12</v>
      </c>
      <c r="AC523">
        <f>_xlfn.XLOOKUP(AB523,'[1]GST Codes'!$A:$A,'[1]GST Codes'!$C:$C,0,0)</f>
        <v>18</v>
      </c>
      <c r="AD523">
        <f t="shared" si="17"/>
        <v>1492700</v>
      </c>
      <c r="AE523" t="s">
        <v>13</v>
      </c>
      <c r="AF523" t="s">
        <v>0</v>
      </c>
      <c r="AG523" t="s">
        <v>14</v>
      </c>
      <c r="AH523" t="s">
        <v>15</v>
      </c>
      <c r="AI523" t="s">
        <v>16</v>
      </c>
      <c r="AJ523" t="s">
        <v>17</v>
      </c>
      <c r="AK523" t="s">
        <v>18</v>
      </c>
      <c r="AL523" t="s">
        <v>19</v>
      </c>
      <c r="AM523" t="s">
        <v>363</v>
      </c>
      <c r="AN523" t="s">
        <v>0</v>
      </c>
      <c r="AO523" t="s">
        <v>0</v>
      </c>
      <c r="AP523" t="s">
        <v>0</v>
      </c>
      <c r="AQ523" s="5">
        <v>25</v>
      </c>
      <c r="AR523" t="s">
        <v>11</v>
      </c>
      <c r="AS523" t="s">
        <v>0</v>
      </c>
      <c r="AT523" t="s">
        <v>17</v>
      </c>
      <c r="AU523" s="4">
        <v>0</v>
      </c>
      <c r="AV523" s="4">
        <v>0</v>
      </c>
      <c r="AW523" s="4">
        <v>0</v>
      </c>
      <c r="AX523" s="4">
        <v>0</v>
      </c>
      <c r="AY523" s="5">
        <v>0</v>
      </c>
      <c r="AZ523" s="5">
        <v>0</v>
      </c>
      <c r="BA523" s="5">
        <v>0</v>
      </c>
      <c r="BB523" s="2"/>
      <c r="BC523" t="s">
        <v>0</v>
      </c>
      <c r="BD523" s="5">
        <v>1</v>
      </c>
      <c r="BE523" t="s">
        <v>0</v>
      </c>
      <c r="BF523" t="s">
        <v>368</v>
      </c>
      <c r="BG523" t="s">
        <v>17</v>
      </c>
      <c r="BH523" t="s">
        <v>0</v>
      </c>
      <c r="BI523" t="s">
        <v>11</v>
      </c>
      <c r="BJ523" t="s">
        <v>0</v>
      </c>
      <c r="BK523" t="s">
        <v>0</v>
      </c>
      <c r="BL523" s="5">
        <v>0</v>
      </c>
      <c r="BM523" t="s">
        <v>0</v>
      </c>
      <c r="BN523" t="s">
        <v>0</v>
      </c>
      <c r="BO523" t="s">
        <v>0</v>
      </c>
      <c r="BP523" t="s">
        <v>17</v>
      </c>
      <c r="BQ523" t="s">
        <v>0</v>
      </c>
      <c r="BR523" t="s">
        <v>17</v>
      </c>
      <c r="BS523" t="s">
        <v>17</v>
      </c>
      <c r="BT523" t="s">
        <v>0</v>
      </c>
      <c r="BU523" t="s">
        <v>0</v>
      </c>
      <c r="BV523" t="s">
        <v>0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</row>
    <row r="524" spans="1:80" ht="13.95" customHeight="1" x14ac:dyDescent="0.25">
      <c r="A524" t="s">
        <v>374</v>
      </c>
      <c r="B524" s="2">
        <v>45828</v>
      </c>
      <c r="C524" s="2">
        <v>45828</v>
      </c>
      <c r="D524" s="2">
        <v>45858</v>
      </c>
      <c r="E524" t="s">
        <v>2</v>
      </c>
      <c r="F524" t="s">
        <v>3</v>
      </c>
      <c r="G524" t="s">
        <v>0</v>
      </c>
      <c r="H524" t="s">
        <v>4</v>
      </c>
      <c r="I524" t="s">
        <v>363</v>
      </c>
      <c r="J524" t="s">
        <v>6</v>
      </c>
      <c r="K524" t="s">
        <v>90</v>
      </c>
      <c r="L524" t="s">
        <v>39</v>
      </c>
      <c r="M524" t="s">
        <v>40</v>
      </c>
      <c r="N524" t="s">
        <v>10</v>
      </c>
      <c r="O524" t="s">
        <v>0</v>
      </c>
      <c r="P524" t="s">
        <v>11</v>
      </c>
      <c r="Q524" s="5">
        <v>25</v>
      </c>
      <c r="R524" s="4">
        <v>50600</v>
      </c>
      <c r="S524" s="5">
        <v>1</v>
      </c>
      <c r="T524" s="4">
        <v>1265000</v>
      </c>
      <c r="U524" s="5">
        <v>0</v>
      </c>
      <c r="V524" s="4">
        <v>0</v>
      </c>
      <c r="W524" s="5">
        <v>0</v>
      </c>
      <c r="X524" s="4">
        <v>0</v>
      </c>
      <c r="Y524" s="4">
        <f t="shared" si="16"/>
        <v>1265000</v>
      </c>
      <c r="Z524" s="6" t="s">
        <v>0</v>
      </c>
      <c r="AA524" t="s">
        <v>2</v>
      </c>
      <c r="AB524" t="s">
        <v>12</v>
      </c>
      <c r="AC524">
        <f>_xlfn.XLOOKUP(AB524,'[1]GST Codes'!$A:$A,'[1]GST Codes'!$C:$C,0,0)</f>
        <v>18</v>
      </c>
      <c r="AD524">
        <f t="shared" si="17"/>
        <v>1492700</v>
      </c>
      <c r="AE524" t="s">
        <v>13</v>
      </c>
      <c r="AF524" t="s">
        <v>0</v>
      </c>
      <c r="AG524" t="s">
        <v>14</v>
      </c>
      <c r="AH524" t="s">
        <v>15</v>
      </c>
      <c r="AI524" t="s">
        <v>16</v>
      </c>
      <c r="AJ524" t="s">
        <v>17</v>
      </c>
      <c r="AK524" t="s">
        <v>18</v>
      </c>
      <c r="AL524" t="s">
        <v>19</v>
      </c>
      <c r="AM524" t="s">
        <v>363</v>
      </c>
      <c r="AN524" t="s">
        <v>0</v>
      </c>
      <c r="AO524" t="s">
        <v>0</v>
      </c>
      <c r="AP524" t="s">
        <v>0</v>
      </c>
      <c r="AQ524" s="5">
        <v>25</v>
      </c>
      <c r="AR524" t="s">
        <v>11</v>
      </c>
      <c r="AS524" t="s">
        <v>0</v>
      </c>
      <c r="AT524" t="s">
        <v>17</v>
      </c>
      <c r="AU524" s="4">
        <v>0</v>
      </c>
      <c r="AV524" s="4">
        <v>0</v>
      </c>
      <c r="AW524" s="4">
        <v>0</v>
      </c>
      <c r="AX524" s="4">
        <v>0</v>
      </c>
      <c r="AY524" s="5">
        <v>0</v>
      </c>
      <c r="AZ524" s="5">
        <v>0</v>
      </c>
      <c r="BA524" s="5">
        <v>0</v>
      </c>
      <c r="BB524" s="2"/>
      <c r="BC524" t="s">
        <v>0</v>
      </c>
      <c r="BD524" s="5">
        <v>1</v>
      </c>
      <c r="BE524" t="s">
        <v>0</v>
      </c>
      <c r="BF524" t="s">
        <v>368</v>
      </c>
      <c r="BG524" t="s">
        <v>17</v>
      </c>
      <c r="BH524" t="s">
        <v>0</v>
      </c>
      <c r="BI524" t="s">
        <v>11</v>
      </c>
      <c r="BJ524" t="s">
        <v>0</v>
      </c>
      <c r="BK524" t="s">
        <v>0</v>
      </c>
      <c r="BL524" s="5">
        <v>0</v>
      </c>
      <c r="BM524" t="s">
        <v>0</v>
      </c>
      <c r="BN524" t="s">
        <v>0</v>
      </c>
      <c r="BO524" t="s">
        <v>0</v>
      </c>
      <c r="BP524" t="s">
        <v>17</v>
      </c>
      <c r="BQ524" t="s">
        <v>0</v>
      </c>
      <c r="BR524" t="s">
        <v>17</v>
      </c>
      <c r="BS524" t="s">
        <v>17</v>
      </c>
      <c r="BT524" t="s">
        <v>0</v>
      </c>
      <c r="BU524" t="s">
        <v>0</v>
      </c>
      <c r="BV524" t="s">
        <v>0</v>
      </c>
      <c r="BW524" t="s">
        <v>0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</row>
    <row r="525" spans="1:80" ht="13.95" customHeight="1" x14ac:dyDescent="0.25">
      <c r="A525" t="s">
        <v>374</v>
      </c>
      <c r="B525" s="2">
        <v>45828</v>
      </c>
      <c r="C525" s="2">
        <v>45828</v>
      </c>
      <c r="D525" s="2">
        <v>45858</v>
      </c>
      <c r="E525" t="s">
        <v>2</v>
      </c>
      <c r="F525" t="s">
        <v>3</v>
      </c>
      <c r="G525" t="s">
        <v>0</v>
      </c>
      <c r="H525" t="s">
        <v>4</v>
      </c>
      <c r="I525" t="s">
        <v>363</v>
      </c>
      <c r="J525" t="s">
        <v>6</v>
      </c>
      <c r="K525" t="s">
        <v>177</v>
      </c>
      <c r="L525" t="s">
        <v>39</v>
      </c>
      <c r="M525" t="s">
        <v>40</v>
      </c>
      <c r="N525" t="s">
        <v>10</v>
      </c>
      <c r="O525" t="s">
        <v>0</v>
      </c>
      <c r="P525" t="s">
        <v>11</v>
      </c>
      <c r="Q525" s="5">
        <v>25</v>
      </c>
      <c r="R525" s="4">
        <v>50600</v>
      </c>
      <c r="S525" s="5">
        <v>1</v>
      </c>
      <c r="T525" s="4">
        <v>1265000</v>
      </c>
      <c r="U525" s="5">
        <v>0</v>
      </c>
      <c r="V525" s="4">
        <v>0</v>
      </c>
      <c r="W525" s="5">
        <v>0</v>
      </c>
      <c r="X525" s="4">
        <v>0</v>
      </c>
      <c r="Y525" s="4">
        <f t="shared" si="16"/>
        <v>1265000</v>
      </c>
      <c r="Z525" s="6" t="s">
        <v>0</v>
      </c>
      <c r="AA525" t="s">
        <v>2</v>
      </c>
      <c r="AB525" t="s">
        <v>12</v>
      </c>
      <c r="AC525">
        <f>_xlfn.XLOOKUP(AB525,'[1]GST Codes'!$A:$A,'[1]GST Codes'!$C:$C,0,0)</f>
        <v>18</v>
      </c>
      <c r="AD525">
        <f t="shared" si="17"/>
        <v>1492700</v>
      </c>
      <c r="AE525" t="s">
        <v>13</v>
      </c>
      <c r="AF525" t="s">
        <v>0</v>
      </c>
      <c r="AG525" t="s">
        <v>14</v>
      </c>
      <c r="AH525" t="s">
        <v>15</v>
      </c>
      <c r="AI525" t="s">
        <v>16</v>
      </c>
      <c r="AJ525" t="s">
        <v>17</v>
      </c>
      <c r="AK525" t="s">
        <v>18</v>
      </c>
      <c r="AL525" t="s">
        <v>19</v>
      </c>
      <c r="AM525" t="s">
        <v>363</v>
      </c>
      <c r="AN525" t="s">
        <v>0</v>
      </c>
      <c r="AO525" t="s">
        <v>0</v>
      </c>
      <c r="AP525" t="s">
        <v>0</v>
      </c>
      <c r="AQ525" s="5">
        <v>25</v>
      </c>
      <c r="AR525" t="s">
        <v>11</v>
      </c>
      <c r="AS525" t="s">
        <v>0</v>
      </c>
      <c r="AT525" t="s">
        <v>17</v>
      </c>
      <c r="AU525" s="4">
        <v>0</v>
      </c>
      <c r="AV525" s="4">
        <v>0</v>
      </c>
      <c r="AW525" s="4">
        <v>0</v>
      </c>
      <c r="AX525" s="4">
        <v>0</v>
      </c>
      <c r="AY525" s="5">
        <v>0</v>
      </c>
      <c r="AZ525" s="5">
        <v>0</v>
      </c>
      <c r="BA525" s="5">
        <v>0</v>
      </c>
      <c r="BB525" s="2"/>
      <c r="BC525" t="s">
        <v>0</v>
      </c>
      <c r="BD525" s="5">
        <v>1</v>
      </c>
      <c r="BE525" t="s">
        <v>0</v>
      </c>
      <c r="BF525" t="s">
        <v>368</v>
      </c>
      <c r="BG525" t="s">
        <v>17</v>
      </c>
      <c r="BH525" t="s">
        <v>0</v>
      </c>
      <c r="BI525" t="s">
        <v>11</v>
      </c>
      <c r="BJ525" t="s">
        <v>0</v>
      </c>
      <c r="BK525" t="s">
        <v>0</v>
      </c>
      <c r="BL525" s="5">
        <v>0</v>
      </c>
      <c r="BM525" t="s">
        <v>0</v>
      </c>
      <c r="BN525" t="s">
        <v>0</v>
      </c>
      <c r="BO525" t="s">
        <v>0</v>
      </c>
      <c r="BP525" t="s">
        <v>17</v>
      </c>
      <c r="BQ525" t="s">
        <v>0</v>
      </c>
      <c r="BR525" t="s">
        <v>17</v>
      </c>
      <c r="BS525" t="s">
        <v>17</v>
      </c>
      <c r="BT525" t="s">
        <v>0</v>
      </c>
      <c r="BU525" t="s">
        <v>0</v>
      </c>
      <c r="BV525" t="s">
        <v>0</v>
      </c>
      <c r="BW525" t="s">
        <v>0</v>
      </c>
      <c r="BX525" t="s">
        <v>0</v>
      </c>
      <c r="BY525" t="s">
        <v>0</v>
      </c>
      <c r="BZ525" t="s">
        <v>0</v>
      </c>
      <c r="CA525" t="s">
        <v>0</v>
      </c>
      <c r="CB525" t="s">
        <v>0</v>
      </c>
    </row>
    <row r="526" spans="1:80" ht="13.95" customHeight="1" x14ac:dyDescent="0.25">
      <c r="A526" t="s">
        <v>374</v>
      </c>
      <c r="B526" s="2">
        <v>45828</v>
      </c>
      <c r="C526" s="2">
        <v>45828</v>
      </c>
      <c r="D526" s="2">
        <v>45858</v>
      </c>
      <c r="E526" t="s">
        <v>2</v>
      </c>
      <c r="F526" t="s">
        <v>3</v>
      </c>
      <c r="G526" t="s">
        <v>0</v>
      </c>
      <c r="H526" t="s">
        <v>4</v>
      </c>
      <c r="I526" t="s">
        <v>363</v>
      </c>
      <c r="J526" t="s">
        <v>6</v>
      </c>
      <c r="K526" t="s">
        <v>181</v>
      </c>
      <c r="L526" t="s">
        <v>39</v>
      </c>
      <c r="M526" t="s">
        <v>40</v>
      </c>
      <c r="N526" t="s">
        <v>10</v>
      </c>
      <c r="O526" t="s">
        <v>0</v>
      </c>
      <c r="P526" t="s">
        <v>11</v>
      </c>
      <c r="Q526" s="5">
        <v>25</v>
      </c>
      <c r="R526" s="4">
        <v>50600</v>
      </c>
      <c r="S526" s="5">
        <v>1</v>
      </c>
      <c r="T526" s="4">
        <v>1265000</v>
      </c>
      <c r="U526" s="5">
        <v>0</v>
      </c>
      <c r="V526" s="4">
        <v>0</v>
      </c>
      <c r="W526" s="5">
        <v>0</v>
      </c>
      <c r="X526" s="4">
        <v>0</v>
      </c>
      <c r="Y526" s="4">
        <f t="shared" si="16"/>
        <v>1265000</v>
      </c>
      <c r="Z526" s="6" t="s">
        <v>0</v>
      </c>
      <c r="AA526" t="s">
        <v>2</v>
      </c>
      <c r="AB526" t="s">
        <v>12</v>
      </c>
      <c r="AC526">
        <f>_xlfn.XLOOKUP(AB526,'[1]GST Codes'!$A:$A,'[1]GST Codes'!$C:$C,0,0)</f>
        <v>18</v>
      </c>
      <c r="AD526">
        <f t="shared" si="17"/>
        <v>1492700</v>
      </c>
      <c r="AE526" t="s">
        <v>13</v>
      </c>
      <c r="AF526" t="s">
        <v>0</v>
      </c>
      <c r="AG526" t="s">
        <v>14</v>
      </c>
      <c r="AH526" t="s">
        <v>15</v>
      </c>
      <c r="AI526" t="s">
        <v>16</v>
      </c>
      <c r="AJ526" t="s">
        <v>17</v>
      </c>
      <c r="AK526" t="s">
        <v>18</v>
      </c>
      <c r="AL526" t="s">
        <v>19</v>
      </c>
      <c r="AM526" t="s">
        <v>363</v>
      </c>
      <c r="AN526" t="s">
        <v>0</v>
      </c>
      <c r="AO526" t="s">
        <v>0</v>
      </c>
      <c r="AP526" t="s">
        <v>0</v>
      </c>
      <c r="AQ526" s="5">
        <v>25</v>
      </c>
      <c r="AR526" t="s">
        <v>11</v>
      </c>
      <c r="AS526" t="s">
        <v>0</v>
      </c>
      <c r="AT526" t="s">
        <v>17</v>
      </c>
      <c r="AU526" s="4">
        <v>0</v>
      </c>
      <c r="AV526" s="4">
        <v>0</v>
      </c>
      <c r="AW526" s="4">
        <v>0</v>
      </c>
      <c r="AX526" s="4">
        <v>0</v>
      </c>
      <c r="AY526" s="5">
        <v>0</v>
      </c>
      <c r="AZ526" s="5">
        <v>0</v>
      </c>
      <c r="BA526" s="5">
        <v>0</v>
      </c>
      <c r="BB526" s="2"/>
      <c r="BC526" t="s">
        <v>0</v>
      </c>
      <c r="BD526" s="5">
        <v>1</v>
      </c>
      <c r="BE526" t="s">
        <v>0</v>
      </c>
      <c r="BF526" t="s">
        <v>368</v>
      </c>
      <c r="BG526" t="s">
        <v>17</v>
      </c>
      <c r="BH526" t="s">
        <v>0</v>
      </c>
      <c r="BI526" t="s">
        <v>11</v>
      </c>
      <c r="BJ526" t="s">
        <v>0</v>
      </c>
      <c r="BK526" t="s">
        <v>0</v>
      </c>
      <c r="BL526" s="5">
        <v>0</v>
      </c>
      <c r="BM526" t="s">
        <v>0</v>
      </c>
      <c r="BN526" t="s">
        <v>0</v>
      </c>
      <c r="BO526" t="s">
        <v>0</v>
      </c>
      <c r="BP526" t="s">
        <v>17</v>
      </c>
      <c r="BQ526" t="s">
        <v>0</v>
      </c>
      <c r="BR526" t="s">
        <v>17</v>
      </c>
      <c r="BS526" t="s">
        <v>17</v>
      </c>
      <c r="BT526" t="s">
        <v>0</v>
      </c>
      <c r="BU526" t="s">
        <v>0</v>
      </c>
      <c r="BV526" t="s">
        <v>0</v>
      </c>
      <c r="BW526" t="s">
        <v>0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</row>
    <row r="527" spans="1:80" ht="13.95" customHeight="1" x14ac:dyDescent="0.25">
      <c r="A527" t="s">
        <v>374</v>
      </c>
      <c r="B527" s="2">
        <v>45828</v>
      </c>
      <c r="C527" s="2">
        <v>45828</v>
      </c>
      <c r="D527" s="2">
        <v>45858</v>
      </c>
      <c r="E527" t="s">
        <v>2</v>
      </c>
      <c r="F527" t="s">
        <v>3</v>
      </c>
      <c r="G527" t="s">
        <v>0</v>
      </c>
      <c r="H527" t="s">
        <v>4</v>
      </c>
      <c r="I527" t="s">
        <v>363</v>
      </c>
      <c r="J527" t="s">
        <v>6</v>
      </c>
      <c r="K527" t="s">
        <v>185</v>
      </c>
      <c r="L527" t="s">
        <v>39</v>
      </c>
      <c r="M527" t="s">
        <v>40</v>
      </c>
      <c r="N527" t="s">
        <v>10</v>
      </c>
      <c r="O527" t="s">
        <v>0</v>
      </c>
      <c r="P527" t="s">
        <v>11</v>
      </c>
      <c r="Q527" s="5">
        <v>25</v>
      </c>
      <c r="R527" s="4">
        <v>50600</v>
      </c>
      <c r="S527" s="5">
        <v>1</v>
      </c>
      <c r="T527" s="4">
        <v>1265000</v>
      </c>
      <c r="U527" s="5">
        <v>0</v>
      </c>
      <c r="V527" s="4">
        <v>0</v>
      </c>
      <c r="W527" s="5">
        <v>0</v>
      </c>
      <c r="X527" s="4">
        <v>0</v>
      </c>
      <c r="Y527" s="4">
        <f t="shared" si="16"/>
        <v>1265000</v>
      </c>
      <c r="Z527" s="6" t="s">
        <v>0</v>
      </c>
      <c r="AA527" t="s">
        <v>2</v>
      </c>
      <c r="AB527" t="s">
        <v>12</v>
      </c>
      <c r="AC527">
        <f>_xlfn.XLOOKUP(AB527,'[1]GST Codes'!$A:$A,'[1]GST Codes'!$C:$C,0,0)</f>
        <v>18</v>
      </c>
      <c r="AD527">
        <f t="shared" si="17"/>
        <v>1492700</v>
      </c>
      <c r="AE527" t="s">
        <v>13</v>
      </c>
      <c r="AF527" t="s">
        <v>0</v>
      </c>
      <c r="AG527" t="s">
        <v>14</v>
      </c>
      <c r="AH527" t="s">
        <v>15</v>
      </c>
      <c r="AI527" t="s">
        <v>16</v>
      </c>
      <c r="AJ527" t="s">
        <v>17</v>
      </c>
      <c r="AK527" t="s">
        <v>18</v>
      </c>
      <c r="AL527" t="s">
        <v>19</v>
      </c>
      <c r="AM527" t="s">
        <v>363</v>
      </c>
      <c r="AN527" t="s">
        <v>0</v>
      </c>
      <c r="AO527" t="s">
        <v>0</v>
      </c>
      <c r="AP527" t="s">
        <v>0</v>
      </c>
      <c r="AQ527" s="5">
        <v>25</v>
      </c>
      <c r="AR527" t="s">
        <v>11</v>
      </c>
      <c r="AS527" t="s">
        <v>0</v>
      </c>
      <c r="AT527" t="s">
        <v>17</v>
      </c>
      <c r="AU527" s="4">
        <v>0</v>
      </c>
      <c r="AV527" s="4">
        <v>0</v>
      </c>
      <c r="AW527" s="4">
        <v>0</v>
      </c>
      <c r="AX527" s="4">
        <v>0</v>
      </c>
      <c r="AY527" s="5">
        <v>0</v>
      </c>
      <c r="AZ527" s="5">
        <v>0</v>
      </c>
      <c r="BA527" s="5">
        <v>0</v>
      </c>
      <c r="BB527" s="2"/>
      <c r="BC527" t="s">
        <v>0</v>
      </c>
      <c r="BD527" s="5">
        <v>1</v>
      </c>
      <c r="BE527" t="s">
        <v>0</v>
      </c>
      <c r="BF527" t="s">
        <v>368</v>
      </c>
      <c r="BG527" t="s">
        <v>17</v>
      </c>
      <c r="BH527" t="s">
        <v>0</v>
      </c>
      <c r="BI527" t="s">
        <v>11</v>
      </c>
      <c r="BJ527" t="s">
        <v>0</v>
      </c>
      <c r="BK527" t="s">
        <v>0</v>
      </c>
      <c r="BL527" s="5">
        <v>0</v>
      </c>
      <c r="BM527" t="s">
        <v>0</v>
      </c>
      <c r="BN527" t="s">
        <v>0</v>
      </c>
      <c r="BO527" t="s">
        <v>0</v>
      </c>
      <c r="BP527" t="s">
        <v>17</v>
      </c>
      <c r="BQ527" t="s">
        <v>0</v>
      </c>
      <c r="BR527" t="s">
        <v>17</v>
      </c>
      <c r="BS527" t="s">
        <v>17</v>
      </c>
      <c r="BT527" t="s">
        <v>0</v>
      </c>
      <c r="BU527" t="s">
        <v>0</v>
      </c>
      <c r="BV527" t="s">
        <v>0</v>
      </c>
      <c r="BW527" t="s">
        <v>0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</row>
    <row r="528" spans="1:80" ht="13.95" customHeight="1" x14ac:dyDescent="0.25">
      <c r="A528" t="s">
        <v>374</v>
      </c>
      <c r="B528" s="2">
        <v>45828</v>
      </c>
      <c r="C528" s="2">
        <v>45828</v>
      </c>
      <c r="D528" s="2">
        <v>45858</v>
      </c>
      <c r="E528" t="s">
        <v>2</v>
      </c>
      <c r="F528" t="s">
        <v>3</v>
      </c>
      <c r="G528" t="s">
        <v>0</v>
      </c>
      <c r="H528" t="s">
        <v>4</v>
      </c>
      <c r="I528" t="s">
        <v>363</v>
      </c>
      <c r="J528" t="s">
        <v>6</v>
      </c>
      <c r="K528" t="s">
        <v>189</v>
      </c>
      <c r="L528" t="s">
        <v>39</v>
      </c>
      <c r="M528" t="s">
        <v>40</v>
      </c>
      <c r="N528" t="s">
        <v>10</v>
      </c>
      <c r="O528" t="s">
        <v>0</v>
      </c>
      <c r="P528" t="s">
        <v>11</v>
      </c>
      <c r="Q528" s="5">
        <v>25</v>
      </c>
      <c r="R528" s="4">
        <v>50600</v>
      </c>
      <c r="S528" s="5">
        <v>1</v>
      </c>
      <c r="T528" s="4">
        <v>1265000</v>
      </c>
      <c r="U528" s="5">
        <v>0</v>
      </c>
      <c r="V528" s="4">
        <v>0</v>
      </c>
      <c r="W528" s="5">
        <v>0</v>
      </c>
      <c r="X528" s="4">
        <v>0</v>
      </c>
      <c r="Y528" s="4">
        <f t="shared" si="16"/>
        <v>1265000</v>
      </c>
      <c r="Z528" s="6" t="s">
        <v>0</v>
      </c>
      <c r="AA528" t="s">
        <v>2</v>
      </c>
      <c r="AB528" t="s">
        <v>12</v>
      </c>
      <c r="AC528">
        <f>_xlfn.XLOOKUP(AB528,'[1]GST Codes'!$A:$A,'[1]GST Codes'!$C:$C,0,0)</f>
        <v>18</v>
      </c>
      <c r="AD528">
        <f t="shared" si="17"/>
        <v>1492700</v>
      </c>
      <c r="AE528" t="s">
        <v>13</v>
      </c>
      <c r="AF528" t="s">
        <v>0</v>
      </c>
      <c r="AG528" t="s">
        <v>14</v>
      </c>
      <c r="AH528" t="s">
        <v>15</v>
      </c>
      <c r="AI528" t="s">
        <v>16</v>
      </c>
      <c r="AJ528" t="s">
        <v>17</v>
      </c>
      <c r="AK528" t="s">
        <v>18</v>
      </c>
      <c r="AL528" t="s">
        <v>19</v>
      </c>
      <c r="AM528" t="s">
        <v>363</v>
      </c>
      <c r="AN528" t="s">
        <v>0</v>
      </c>
      <c r="AO528" t="s">
        <v>0</v>
      </c>
      <c r="AP528" t="s">
        <v>0</v>
      </c>
      <c r="AQ528" s="5">
        <v>25</v>
      </c>
      <c r="AR528" t="s">
        <v>11</v>
      </c>
      <c r="AS528" t="s">
        <v>0</v>
      </c>
      <c r="AT528" t="s">
        <v>17</v>
      </c>
      <c r="AU528" s="4">
        <v>0</v>
      </c>
      <c r="AV528" s="4">
        <v>0</v>
      </c>
      <c r="AW528" s="4">
        <v>0</v>
      </c>
      <c r="AX528" s="4">
        <v>0</v>
      </c>
      <c r="AY528" s="5">
        <v>0</v>
      </c>
      <c r="AZ528" s="5">
        <v>0</v>
      </c>
      <c r="BA528" s="5">
        <v>0</v>
      </c>
      <c r="BB528" s="2"/>
      <c r="BC528" t="s">
        <v>0</v>
      </c>
      <c r="BD528" s="5">
        <v>1</v>
      </c>
      <c r="BE528" t="s">
        <v>0</v>
      </c>
      <c r="BF528" t="s">
        <v>368</v>
      </c>
      <c r="BG528" t="s">
        <v>17</v>
      </c>
      <c r="BH528" t="s">
        <v>0</v>
      </c>
      <c r="BI528" t="s">
        <v>11</v>
      </c>
      <c r="BJ528" t="s">
        <v>0</v>
      </c>
      <c r="BK528" t="s">
        <v>0</v>
      </c>
      <c r="BL528" s="5">
        <v>0</v>
      </c>
      <c r="BM528" t="s">
        <v>0</v>
      </c>
      <c r="BN528" t="s">
        <v>0</v>
      </c>
      <c r="BO528" t="s">
        <v>0</v>
      </c>
      <c r="BP528" t="s">
        <v>17</v>
      </c>
      <c r="BQ528" t="s">
        <v>0</v>
      </c>
      <c r="BR528" t="s">
        <v>17</v>
      </c>
      <c r="BS528" t="s">
        <v>17</v>
      </c>
      <c r="BT528" t="s">
        <v>0</v>
      </c>
      <c r="BU528" t="s">
        <v>0</v>
      </c>
      <c r="BV528" t="s">
        <v>0</v>
      </c>
      <c r="BW528" t="s">
        <v>0</v>
      </c>
      <c r="BX528" t="s">
        <v>0</v>
      </c>
      <c r="BY528" t="s">
        <v>0</v>
      </c>
      <c r="BZ528" t="s">
        <v>0</v>
      </c>
      <c r="CA528" t="s">
        <v>0</v>
      </c>
      <c r="CB528" t="s">
        <v>0</v>
      </c>
    </row>
    <row r="529" spans="1:80" ht="13.95" customHeight="1" x14ac:dyDescent="0.25">
      <c r="A529" t="s">
        <v>374</v>
      </c>
      <c r="B529" s="2">
        <v>45828</v>
      </c>
      <c r="C529" s="2">
        <v>45828</v>
      </c>
      <c r="D529" s="2">
        <v>45858</v>
      </c>
      <c r="E529" t="s">
        <v>2</v>
      </c>
      <c r="F529" t="s">
        <v>3</v>
      </c>
      <c r="G529" t="s">
        <v>0</v>
      </c>
      <c r="H529" t="s">
        <v>4</v>
      </c>
      <c r="I529" t="s">
        <v>363</v>
      </c>
      <c r="J529" t="s">
        <v>6</v>
      </c>
      <c r="K529" t="s">
        <v>193</v>
      </c>
      <c r="L529" t="s">
        <v>43</v>
      </c>
      <c r="M529" t="s">
        <v>44</v>
      </c>
      <c r="N529" t="s">
        <v>10</v>
      </c>
      <c r="O529" t="s">
        <v>0</v>
      </c>
      <c r="P529" t="s">
        <v>11</v>
      </c>
      <c r="Q529" s="5">
        <v>15</v>
      </c>
      <c r="R529" s="4">
        <v>50600</v>
      </c>
      <c r="S529" s="5">
        <v>1</v>
      </c>
      <c r="T529" s="4">
        <v>759000</v>
      </c>
      <c r="U529" s="5">
        <v>0</v>
      </c>
      <c r="V529" s="4">
        <v>0</v>
      </c>
      <c r="W529" s="5">
        <v>0</v>
      </c>
      <c r="X529" s="4">
        <v>0</v>
      </c>
      <c r="Y529" s="4">
        <f t="shared" si="16"/>
        <v>759000</v>
      </c>
      <c r="Z529" s="6" t="s">
        <v>0</v>
      </c>
      <c r="AA529" t="s">
        <v>2</v>
      </c>
      <c r="AB529" t="s">
        <v>12</v>
      </c>
      <c r="AC529">
        <f>_xlfn.XLOOKUP(AB529,'[1]GST Codes'!$A:$A,'[1]GST Codes'!$C:$C,0,0)</f>
        <v>18</v>
      </c>
      <c r="AD529">
        <f t="shared" si="17"/>
        <v>895620</v>
      </c>
      <c r="AE529" t="s">
        <v>13</v>
      </c>
      <c r="AF529" t="s">
        <v>0</v>
      </c>
      <c r="AG529" t="s">
        <v>14</v>
      </c>
      <c r="AH529" t="s">
        <v>15</v>
      </c>
      <c r="AI529" t="s">
        <v>16</v>
      </c>
      <c r="AJ529" t="s">
        <v>17</v>
      </c>
      <c r="AK529" t="s">
        <v>18</v>
      </c>
      <c r="AL529" t="s">
        <v>19</v>
      </c>
      <c r="AM529" t="s">
        <v>363</v>
      </c>
      <c r="AN529" t="s">
        <v>0</v>
      </c>
      <c r="AO529" t="s">
        <v>0</v>
      </c>
      <c r="AP529" t="s">
        <v>0</v>
      </c>
      <c r="AQ529" s="5">
        <v>15</v>
      </c>
      <c r="AR529" t="s">
        <v>11</v>
      </c>
      <c r="AS529" t="s">
        <v>0</v>
      </c>
      <c r="AT529" t="s">
        <v>17</v>
      </c>
      <c r="AU529" s="4">
        <v>0</v>
      </c>
      <c r="AV529" s="4">
        <v>0</v>
      </c>
      <c r="AW529" s="4">
        <v>0</v>
      </c>
      <c r="AX529" s="4">
        <v>0</v>
      </c>
      <c r="AY529" s="5">
        <v>0</v>
      </c>
      <c r="AZ529" s="5">
        <v>0</v>
      </c>
      <c r="BA529" s="5">
        <v>0</v>
      </c>
      <c r="BB529" s="2"/>
      <c r="BC529" t="s">
        <v>0</v>
      </c>
      <c r="BD529" s="5">
        <v>1</v>
      </c>
      <c r="BE529" t="s">
        <v>0</v>
      </c>
      <c r="BF529" t="s">
        <v>364</v>
      </c>
      <c r="BG529" t="s">
        <v>17</v>
      </c>
      <c r="BH529" t="s">
        <v>0</v>
      </c>
      <c r="BI529" t="s">
        <v>11</v>
      </c>
      <c r="BJ529" t="s">
        <v>0</v>
      </c>
      <c r="BK529" t="s">
        <v>0</v>
      </c>
      <c r="BL529" s="5">
        <v>0</v>
      </c>
      <c r="BM529" t="s">
        <v>0</v>
      </c>
      <c r="BN529" t="s">
        <v>0</v>
      </c>
      <c r="BO529" t="s">
        <v>0</v>
      </c>
      <c r="BP529" t="s">
        <v>17</v>
      </c>
      <c r="BQ529" t="s">
        <v>0</v>
      </c>
      <c r="BR529" t="s">
        <v>17</v>
      </c>
      <c r="BS529" t="s">
        <v>17</v>
      </c>
      <c r="BT529" t="s">
        <v>0</v>
      </c>
      <c r="BU529" t="s">
        <v>0</v>
      </c>
      <c r="BV529" t="s">
        <v>0</v>
      </c>
      <c r="BW529" t="s">
        <v>0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</row>
    <row r="530" spans="1:80" ht="13.95" customHeight="1" x14ac:dyDescent="0.25">
      <c r="A530" t="s">
        <v>374</v>
      </c>
      <c r="B530" s="2">
        <v>45828</v>
      </c>
      <c r="C530" s="2">
        <v>45828</v>
      </c>
      <c r="D530" s="2">
        <v>45858</v>
      </c>
      <c r="E530" t="s">
        <v>2</v>
      </c>
      <c r="F530" t="s">
        <v>3</v>
      </c>
      <c r="G530" t="s">
        <v>0</v>
      </c>
      <c r="H530" t="s">
        <v>4</v>
      </c>
      <c r="I530" t="s">
        <v>363</v>
      </c>
      <c r="J530" t="s">
        <v>6</v>
      </c>
      <c r="K530" t="s">
        <v>197</v>
      </c>
      <c r="L530" t="s">
        <v>43</v>
      </c>
      <c r="M530" t="s">
        <v>44</v>
      </c>
      <c r="N530" t="s">
        <v>10</v>
      </c>
      <c r="O530" t="s">
        <v>0</v>
      </c>
      <c r="P530" t="s">
        <v>11</v>
      </c>
      <c r="Q530" s="5">
        <v>15</v>
      </c>
      <c r="R530" s="4">
        <v>50600</v>
      </c>
      <c r="S530" s="5">
        <v>1</v>
      </c>
      <c r="T530" s="4">
        <v>759000</v>
      </c>
      <c r="U530" s="5">
        <v>0</v>
      </c>
      <c r="V530" s="4">
        <v>0</v>
      </c>
      <c r="W530" s="5">
        <v>0</v>
      </c>
      <c r="X530" s="4">
        <v>0</v>
      </c>
      <c r="Y530" s="4">
        <f t="shared" si="16"/>
        <v>759000</v>
      </c>
      <c r="Z530" s="6" t="s">
        <v>0</v>
      </c>
      <c r="AA530" t="s">
        <v>2</v>
      </c>
      <c r="AB530" t="s">
        <v>12</v>
      </c>
      <c r="AC530">
        <f>_xlfn.XLOOKUP(AB530,'[1]GST Codes'!$A:$A,'[1]GST Codes'!$C:$C,0,0)</f>
        <v>18</v>
      </c>
      <c r="AD530">
        <f t="shared" si="17"/>
        <v>895620</v>
      </c>
      <c r="AE530" t="s">
        <v>13</v>
      </c>
      <c r="AF530" t="s">
        <v>0</v>
      </c>
      <c r="AG530" t="s">
        <v>14</v>
      </c>
      <c r="AH530" t="s">
        <v>15</v>
      </c>
      <c r="AI530" t="s">
        <v>16</v>
      </c>
      <c r="AJ530" t="s">
        <v>17</v>
      </c>
      <c r="AK530" t="s">
        <v>18</v>
      </c>
      <c r="AL530" t="s">
        <v>19</v>
      </c>
      <c r="AM530" t="s">
        <v>363</v>
      </c>
      <c r="AN530" t="s">
        <v>0</v>
      </c>
      <c r="AO530" t="s">
        <v>0</v>
      </c>
      <c r="AP530" t="s">
        <v>0</v>
      </c>
      <c r="AQ530" s="5">
        <v>15</v>
      </c>
      <c r="AR530" t="s">
        <v>11</v>
      </c>
      <c r="AS530" t="s">
        <v>0</v>
      </c>
      <c r="AT530" t="s">
        <v>17</v>
      </c>
      <c r="AU530" s="4">
        <v>0</v>
      </c>
      <c r="AV530" s="4">
        <v>0</v>
      </c>
      <c r="AW530" s="4">
        <v>0</v>
      </c>
      <c r="AX530" s="4">
        <v>0</v>
      </c>
      <c r="AY530" s="5">
        <v>0</v>
      </c>
      <c r="AZ530" s="5">
        <v>0</v>
      </c>
      <c r="BA530" s="5">
        <v>0</v>
      </c>
      <c r="BB530" s="2"/>
      <c r="BC530" t="s">
        <v>0</v>
      </c>
      <c r="BD530" s="5">
        <v>1</v>
      </c>
      <c r="BE530" t="s">
        <v>0</v>
      </c>
      <c r="BF530" t="s">
        <v>364</v>
      </c>
      <c r="BG530" t="s">
        <v>17</v>
      </c>
      <c r="BH530" t="s">
        <v>0</v>
      </c>
      <c r="BI530" t="s">
        <v>11</v>
      </c>
      <c r="BJ530" t="s">
        <v>0</v>
      </c>
      <c r="BK530" t="s">
        <v>0</v>
      </c>
      <c r="BL530" s="5">
        <v>0</v>
      </c>
      <c r="BM530" t="s">
        <v>0</v>
      </c>
      <c r="BN530" t="s">
        <v>0</v>
      </c>
      <c r="BO530" t="s">
        <v>0</v>
      </c>
      <c r="BP530" t="s">
        <v>17</v>
      </c>
      <c r="BQ530" t="s">
        <v>0</v>
      </c>
      <c r="BR530" t="s">
        <v>17</v>
      </c>
      <c r="BS530" t="s">
        <v>17</v>
      </c>
      <c r="BT530" t="s">
        <v>0</v>
      </c>
      <c r="BU530" t="s">
        <v>0</v>
      </c>
      <c r="BV530" t="s">
        <v>0</v>
      </c>
      <c r="BW530" t="s">
        <v>0</v>
      </c>
      <c r="BX530" t="s">
        <v>0</v>
      </c>
      <c r="BY530" t="s">
        <v>0</v>
      </c>
      <c r="BZ530" t="s">
        <v>0</v>
      </c>
      <c r="CA530" t="s">
        <v>0</v>
      </c>
      <c r="CB530" t="s">
        <v>0</v>
      </c>
    </row>
    <row r="531" spans="1:80" ht="13.95" customHeight="1" x14ac:dyDescent="0.25">
      <c r="A531" t="s">
        <v>374</v>
      </c>
      <c r="B531" s="2">
        <v>45828</v>
      </c>
      <c r="C531" s="2">
        <v>45828</v>
      </c>
      <c r="D531" s="2">
        <v>45858</v>
      </c>
      <c r="E531" t="s">
        <v>2</v>
      </c>
      <c r="F531" t="s">
        <v>3</v>
      </c>
      <c r="G531" t="s">
        <v>0</v>
      </c>
      <c r="H531" t="s">
        <v>4</v>
      </c>
      <c r="I531" t="s">
        <v>363</v>
      </c>
      <c r="J531" t="s">
        <v>6</v>
      </c>
      <c r="K531" t="s">
        <v>201</v>
      </c>
      <c r="L531" t="s">
        <v>43</v>
      </c>
      <c r="M531" t="s">
        <v>44</v>
      </c>
      <c r="N531" t="s">
        <v>10</v>
      </c>
      <c r="O531" t="s">
        <v>0</v>
      </c>
      <c r="P531" t="s">
        <v>11</v>
      </c>
      <c r="Q531" s="5">
        <v>15</v>
      </c>
      <c r="R531" s="4">
        <v>50600</v>
      </c>
      <c r="S531" s="5">
        <v>1</v>
      </c>
      <c r="T531" s="4">
        <v>759000</v>
      </c>
      <c r="U531" s="5">
        <v>0</v>
      </c>
      <c r="V531" s="4">
        <v>0</v>
      </c>
      <c r="W531" s="5">
        <v>0</v>
      </c>
      <c r="X531" s="4">
        <v>0</v>
      </c>
      <c r="Y531" s="4">
        <f t="shared" si="16"/>
        <v>759000</v>
      </c>
      <c r="Z531" s="6" t="s">
        <v>0</v>
      </c>
      <c r="AA531" t="s">
        <v>2</v>
      </c>
      <c r="AB531" t="s">
        <v>12</v>
      </c>
      <c r="AC531">
        <f>_xlfn.XLOOKUP(AB531,'[1]GST Codes'!$A:$A,'[1]GST Codes'!$C:$C,0,0)</f>
        <v>18</v>
      </c>
      <c r="AD531">
        <f t="shared" si="17"/>
        <v>895620</v>
      </c>
      <c r="AE531" t="s">
        <v>13</v>
      </c>
      <c r="AF531" t="s">
        <v>0</v>
      </c>
      <c r="AG531" t="s">
        <v>14</v>
      </c>
      <c r="AH531" t="s">
        <v>15</v>
      </c>
      <c r="AI531" t="s">
        <v>16</v>
      </c>
      <c r="AJ531" t="s">
        <v>17</v>
      </c>
      <c r="AK531" t="s">
        <v>18</v>
      </c>
      <c r="AL531" t="s">
        <v>19</v>
      </c>
      <c r="AM531" t="s">
        <v>363</v>
      </c>
      <c r="AN531" t="s">
        <v>0</v>
      </c>
      <c r="AO531" t="s">
        <v>0</v>
      </c>
      <c r="AP531" t="s">
        <v>0</v>
      </c>
      <c r="AQ531" s="5">
        <v>15</v>
      </c>
      <c r="AR531" t="s">
        <v>11</v>
      </c>
      <c r="AS531" t="s">
        <v>0</v>
      </c>
      <c r="AT531" t="s">
        <v>17</v>
      </c>
      <c r="AU531" s="4">
        <v>0</v>
      </c>
      <c r="AV531" s="4">
        <v>0</v>
      </c>
      <c r="AW531" s="4">
        <v>0</v>
      </c>
      <c r="AX531" s="4">
        <v>0</v>
      </c>
      <c r="AY531" s="5">
        <v>0</v>
      </c>
      <c r="AZ531" s="5">
        <v>0</v>
      </c>
      <c r="BA531" s="5">
        <v>0</v>
      </c>
      <c r="BB531" s="2"/>
      <c r="BC531" t="s">
        <v>0</v>
      </c>
      <c r="BD531" s="5">
        <v>1</v>
      </c>
      <c r="BE531" t="s">
        <v>0</v>
      </c>
      <c r="BF531" t="s">
        <v>364</v>
      </c>
      <c r="BG531" t="s">
        <v>17</v>
      </c>
      <c r="BH531" t="s">
        <v>0</v>
      </c>
      <c r="BI531" t="s">
        <v>11</v>
      </c>
      <c r="BJ531" t="s">
        <v>0</v>
      </c>
      <c r="BK531" t="s">
        <v>0</v>
      </c>
      <c r="BL531" s="5">
        <v>0</v>
      </c>
      <c r="BM531" t="s">
        <v>0</v>
      </c>
      <c r="BN531" t="s">
        <v>0</v>
      </c>
      <c r="BO531" t="s">
        <v>0</v>
      </c>
      <c r="BP531" t="s">
        <v>17</v>
      </c>
      <c r="BQ531" t="s">
        <v>0</v>
      </c>
      <c r="BR531" t="s">
        <v>17</v>
      </c>
      <c r="BS531" t="s">
        <v>17</v>
      </c>
      <c r="BT531" t="s">
        <v>0</v>
      </c>
      <c r="BU531" t="s">
        <v>0</v>
      </c>
      <c r="BV531" t="s">
        <v>0</v>
      </c>
      <c r="BW531" t="s">
        <v>0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</row>
    <row r="532" spans="1:80" ht="13.95" customHeight="1" x14ac:dyDescent="0.25">
      <c r="A532" t="s">
        <v>374</v>
      </c>
      <c r="B532" s="2">
        <v>45828</v>
      </c>
      <c r="C532" s="2">
        <v>45828</v>
      </c>
      <c r="D532" s="2">
        <v>45858</v>
      </c>
      <c r="E532" t="s">
        <v>2</v>
      </c>
      <c r="F532" t="s">
        <v>3</v>
      </c>
      <c r="G532" t="s">
        <v>0</v>
      </c>
      <c r="H532" t="s">
        <v>4</v>
      </c>
      <c r="I532" t="s">
        <v>363</v>
      </c>
      <c r="J532" t="s">
        <v>6</v>
      </c>
      <c r="K532" t="s">
        <v>205</v>
      </c>
      <c r="L532" t="s">
        <v>43</v>
      </c>
      <c r="M532" t="s">
        <v>44</v>
      </c>
      <c r="N532" t="s">
        <v>10</v>
      </c>
      <c r="O532" t="s">
        <v>0</v>
      </c>
      <c r="P532" t="s">
        <v>11</v>
      </c>
      <c r="Q532" s="5">
        <v>15</v>
      </c>
      <c r="R532" s="4">
        <v>50600</v>
      </c>
      <c r="S532" s="5">
        <v>1</v>
      </c>
      <c r="T532" s="4">
        <v>759000</v>
      </c>
      <c r="U532" s="5">
        <v>0</v>
      </c>
      <c r="V532" s="4">
        <v>0</v>
      </c>
      <c r="W532" s="5">
        <v>0</v>
      </c>
      <c r="X532" s="4">
        <v>0</v>
      </c>
      <c r="Y532" s="4">
        <f t="shared" si="16"/>
        <v>759000</v>
      </c>
      <c r="Z532" s="6" t="s">
        <v>0</v>
      </c>
      <c r="AA532" t="s">
        <v>2</v>
      </c>
      <c r="AB532" t="s">
        <v>12</v>
      </c>
      <c r="AC532">
        <f>_xlfn.XLOOKUP(AB532,'[1]GST Codes'!$A:$A,'[1]GST Codes'!$C:$C,0,0)</f>
        <v>18</v>
      </c>
      <c r="AD532">
        <f t="shared" si="17"/>
        <v>895620</v>
      </c>
      <c r="AE532" t="s">
        <v>13</v>
      </c>
      <c r="AF532" t="s">
        <v>0</v>
      </c>
      <c r="AG532" t="s">
        <v>14</v>
      </c>
      <c r="AH532" t="s">
        <v>15</v>
      </c>
      <c r="AI532" t="s">
        <v>16</v>
      </c>
      <c r="AJ532" t="s">
        <v>17</v>
      </c>
      <c r="AK532" t="s">
        <v>18</v>
      </c>
      <c r="AL532" t="s">
        <v>19</v>
      </c>
      <c r="AM532" t="s">
        <v>363</v>
      </c>
      <c r="AN532" t="s">
        <v>0</v>
      </c>
      <c r="AO532" t="s">
        <v>0</v>
      </c>
      <c r="AP532" t="s">
        <v>0</v>
      </c>
      <c r="AQ532" s="5">
        <v>15</v>
      </c>
      <c r="AR532" t="s">
        <v>11</v>
      </c>
      <c r="AS532" t="s">
        <v>0</v>
      </c>
      <c r="AT532" t="s">
        <v>17</v>
      </c>
      <c r="AU532" s="4">
        <v>0</v>
      </c>
      <c r="AV532" s="4">
        <v>0</v>
      </c>
      <c r="AW532" s="4">
        <v>0</v>
      </c>
      <c r="AX532" s="4">
        <v>0</v>
      </c>
      <c r="AY532" s="5">
        <v>0</v>
      </c>
      <c r="AZ532" s="5">
        <v>0</v>
      </c>
      <c r="BA532" s="5">
        <v>0</v>
      </c>
      <c r="BB532" s="2"/>
      <c r="BC532" t="s">
        <v>0</v>
      </c>
      <c r="BD532" s="5">
        <v>1</v>
      </c>
      <c r="BE532" t="s">
        <v>0</v>
      </c>
      <c r="BF532" t="s">
        <v>364</v>
      </c>
      <c r="BG532" t="s">
        <v>17</v>
      </c>
      <c r="BH532" t="s">
        <v>0</v>
      </c>
      <c r="BI532" t="s">
        <v>11</v>
      </c>
      <c r="BJ532" t="s">
        <v>0</v>
      </c>
      <c r="BK532" t="s">
        <v>0</v>
      </c>
      <c r="BL532" s="5">
        <v>0</v>
      </c>
      <c r="BM532" t="s">
        <v>0</v>
      </c>
      <c r="BN532" t="s">
        <v>0</v>
      </c>
      <c r="BO532" t="s">
        <v>0</v>
      </c>
      <c r="BP532" t="s">
        <v>17</v>
      </c>
      <c r="BQ532" t="s">
        <v>0</v>
      </c>
      <c r="BR532" t="s">
        <v>17</v>
      </c>
      <c r="BS532" t="s">
        <v>17</v>
      </c>
      <c r="BT532" t="s">
        <v>0</v>
      </c>
      <c r="BU532" t="s">
        <v>0</v>
      </c>
      <c r="BV532" t="s">
        <v>0</v>
      </c>
      <c r="BW532" t="s">
        <v>0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</row>
    <row r="533" spans="1:80" ht="13.95" customHeight="1" x14ac:dyDescent="0.25">
      <c r="A533" t="s">
        <v>374</v>
      </c>
      <c r="B533" s="2">
        <v>45828</v>
      </c>
      <c r="C533" s="2">
        <v>45828</v>
      </c>
      <c r="D533" s="2">
        <v>45858</v>
      </c>
      <c r="E533" t="s">
        <v>2</v>
      </c>
      <c r="F533" t="s">
        <v>3</v>
      </c>
      <c r="G533" t="s">
        <v>0</v>
      </c>
      <c r="H533" t="s">
        <v>4</v>
      </c>
      <c r="I533" t="s">
        <v>363</v>
      </c>
      <c r="J533" t="s">
        <v>6</v>
      </c>
      <c r="K533" t="s">
        <v>209</v>
      </c>
      <c r="L533" t="s">
        <v>43</v>
      </c>
      <c r="M533" t="s">
        <v>44</v>
      </c>
      <c r="N533" t="s">
        <v>10</v>
      </c>
      <c r="O533" t="s">
        <v>0</v>
      </c>
      <c r="P533" t="s">
        <v>11</v>
      </c>
      <c r="Q533" s="5">
        <v>15</v>
      </c>
      <c r="R533" s="4">
        <v>50600</v>
      </c>
      <c r="S533" s="5">
        <v>1</v>
      </c>
      <c r="T533" s="4">
        <v>759000</v>
      </c>
      <c r="U533" s="5">
        <v>0</v>
      </c>
      <c r="V533" s="4">
        <v>0</v>
      </c>
      <c r="W533" s="5">
        <v>0</v>
      </c>
      <c r="X533" s="4">
        <v>0</v>
      </c>
      <c r="Y533" s="4">
        <f t="shared" si="16"/>
        <v>759000</v>
      </c>
      <c r="Z533" s="6" t="s">
        <v>0</v>
      </c>
      <c r="AA533" t="s">
        <v>2</v>
      </c>
      <c r="AB533" t="s">
        <v>12</v>
      </c>
      <c r="AC533">
        <f>_xlfn.XLOOKUP(AB533,'[1]GST Codes'!$A:$A,'[1]GST Codes'!$C:$C,0,0)</f>
        <v>18</v>
      </c>
      <c r="AD533">
        <f t="shared" si="17"/>
        <v>895620</v>
      </c>
      <c r="AE533" t="s">
        <v>13</v>
      </c>
      <c r="AF533" t="s">
        <v>0</v>
      </c>
      <c r="AG533" t="s">
        <v>14</v>
      </c>
      <c r="AH533" t="s">
        <v>15</v>
      </c>
      <c r="AI533" t="s">
        <v>16</v>
      </c>
      <c r="AJ533" t="s">
        <v>17</v>
      </c>
      <c r="AK533" t="s">
        <v>18</v>
      </c>
      <c r="AL533" t="s">
        <v>19</v>
      </c>
      <c r="AM533" t="s">
        <v>363</v>
      </c>
      <c r="AN533" t="s">
        <v>0</v>
      </c>
      <c r="AO533" t="s">
        <v>0</v>
      </c>
      <c r="AP533" t="s">
        <v>0</v>
      </c>
      <c r="AQ533" s="5">
        <v>15</v>
      </c>
      <c r="AR533" t="s">
        <v>11</v>
      </c>
      <c r="AS533" t="s">
        <v>0</v>
      </c>
      <c r="AT533" t="s">
        <v>17</v>
      </c>
      <c r="AU533" s="4">
        <v>0</v>
      </c>
      <c r="AV533" s="4">
        <v>0</v>
      </c>
      <c r="AW533" s="4">
        <v>0</v>
      </c>
      <c r="AX533" s="4">
        <v>0</v>
      </c>
      <c r="AY533" s="5">
        <v>0</v>
      </c>
      <c r="AZ533" s="5">
        <v>0</v>
      </c>
      <c r="BA533" s="5">
        <v>0</v>
      </c>
      <c r="BB533" s="2"/>
      <c r="BC533" t="s">
        <v>0</v>
      </c>
      <c r="BD533" s="5">
        <v>1</v>
      </c>
      <c r="BE533" t="s">
        <v>0</v>
      </c>
      <c r="BF533" t="s">
        <v>364</v>
      </c>
      <c r="BG533" t="s">
        <v>17</v>
      </c>
      <c r="BH533" t="s">
        <v>0</v>
      </c>
      <c r="BI533" t="s">
        <v>11</v>
      </c>
      <c r="BJ533" t="s">
        <v>0</v>
      </c>
      <c r="BK533" t="s">
        <v>0</v>
      </c>
      <c r="BL533" s="5">
        <v>0</v>
      </c>
      <c r="BM533" t="s">
        <v>0</v>
      </c>
      <c r="BN533" t="s">
        <v>0</v>
      </c>
      <c r="BO533" t="s">
        <v>0</v>
      </c>
      <c r="BP533" t="s">
        <v>17</v>
      </c>
      <c r="BQ533" t="s">
        <v>0</v>
      </c>
      <c r="BR533" t="s">
        <v>17</v>
      </c>
      <c r="BS533" t="s">
        <v>17</v>
      </c>
      <c r="BT533" t="s">
        <v>0</v>
      </c>
      <c r="BU533" t="s">
        <v>0</v>
      </c>
      <c r="BV533" t="s">
        <v>0</v>
      </c>
      <c r="BW533" t="s">
        <v>0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</row>
    <row r="534" spans="1:80" ht="13.95" customHeight="1" x14ac:dyDescent="0.25">
      <c r="A534" t="s">
        <v>374</v>
      </c>
      <c r="B534" s="2">
        <v>45828</v>
      </c>
      <c r="C534" s="2">
        <v>45828</v>
      </c>
      <c r="D534" s="2">
        <v>45858</v>
      </c>
      <c r="E534" t="s">
        <v>2</v>
      </c>
      <c r="F534" t="s">
        <v>3</v>
      </c>
      <c r="G534" t="s">
        <v>0</v>
      </c>
      <c r="H534" t="s">
        <v>4</v>
      </c>
      <c r="I534" t="s">
        <v>363</v>
      </c>
      <c r="J534" t="s">
        <v>6</v>
      </c>
      <c r="K534" t="s">
        <v>213</v>
      </c>
      <c r="L534" t="s">
        <v>43</v>
      </c>
      <c r="M534" t="s">
        <v>44</v>
      </c>
      <c r="N534" t="s">
        <v>10</v>
      </c>
      <c r="O534" t="s">
        <v>0</v>
      </c>
      <c r="P534" t="s">
        <v>11</v>
      </c>
      <c r="Q534" s="5">
        <v>15</v>
      </c>
      <c r="R534" s="4">
        <v>50600</v>
      </c>
      <c r="S534" s="5">
        <v>1</v>
      </c>
      <c r="T534" s="4">
        <v>759000</v>
      </c>
      <c r="U534" s="5">
        <v>0</v>
      </c>
      <c r="V534" s="4">
        <v>0</v>
      </c>
      <c r="W534" s="5">
        <v>0</v>
      </c>
      <c r="X534" s="4">
        <v>0</v>
      </c>
      <c r="Y534" s="4">
        <f t="shared" si="16"/>
        <v>759000</v>
      </c>
      <c r="Z534" s="6" t="s">
        <v>0</v>
      </c>
      <c r="AA534" t="s">
        <v>2</v>
      </c>
      <c r="AB534" t="s">
        <v>12</v>
      </c>
      <c r="AC534">
        <f>_xlfn.XLOOKUP(AB534,'[1]GST Codes'!$A:$A,'[1]GST Codes'!$C:$C,0,0)</f>
        <v>18</v>
      </c>
      <c r="AD534">
        <f t="shared" si="17"/>
        <v>895620</v>
      </c>
      <c r="AE534" t="s">
        <v>13</v>
      </c>
      <c r="AF534" t="s">
        <v>0</v>
      </c>
      <c r="AG534" t="s">
        <v>14</v>
      </c>
      <c r="AH534" t="s">
        <v>15</v>
      </c>
      <c r="AI534" t="s">
        <v>16</v>
      </c>
      <c r="AJ534" t="s">
        <v>17</v>
      </c>
      <c r="AK534" t="s">
        <v>18</v>
      </c>
      <c r="AL534" t="s">
        <v>19</v>
      </c>
      <c r="AM534" t="s">
        <v>363</v>
      </c>
      <c r="AN534" t="s">
        <v>0</v>
      </c>
      <c r="AO534" t="s">
        <v>0</v>
      </c>
      <c r="AP534" t="s">
        <v>0</v>
      </c>
      <c r="AQ534" s="5">
        <v>15</v>
      </c>
      <c r="AR534" t="s">
        <v>11</v>
      </c>
      <c r="AS534" t="s">
        <v>0</v>
      </c>
      <c r="AT534" t="s">
        <v>17</v>
      </c>
      <c r="AU534" s="4">
        <v>0</v>
      </c>
      <c r="AV534" s="4">
        <v>0</v>
      </c>
      <c r="AW534" s="4">
        <v>0</v>
      </c>
      <c r="AX534" s="4">
        <v>0</v>
      </c>
      <c r="AY534" s="5">
        <v>0</v>
      </c>
      <c r="AZ534" s="5">
        <v>0</v>
      </c>
      <c r="BA534" s="5">
        <v>0</v>
      </c>
      <c r="BB534" s="2"/>
      <c r="BC534" t="s">
        <v>0</v>
      </c>
      <c r="BD534" s="5">
        <v>1</v>
      </c>
      <c r="BE534" t="s">
        <v>0</v>
      </c>
      <c r="BF534" t="s">
        <v>364</v>
      </c>
      <c r="BG534" t="s">
        <v>17</v>
      </c>
      <c r="BH534" t="s">
        <v>0</v>
      </c>
      <c r="BI534" t="s">
        <v>11</v>
      </c>
      <c r="BJ534" t="s">
        <v>0</v>
      </c>
      <c r="BK534" t="s">
        <v>0</v>
      </c>
      <c r="BL534" s="5">
        <v>0</v>
      </c>
      <c r="BM534" t="s">
        <v>0</v>
      </c>
      <c r="BN534" t="s">
        <v>0</v>
      </c>
      <c r="BO534" t="s">
        <v>0</v>
      </c>
      <c r="BP534" t="s">
        <v>17</v>
      </c>
      <c r="BQ534" t="s">
        <v>0</v>
      </c>
      <c r="BR534" t="s">
        <v>17</v>
      </c>
      <c r="BS534" t="s">
        <v>17</v>
      </c>
      <c r="BT534" t="s">
        <v>0</v>
      </c>
      <c r="BU534" t="s">
        <v>0</v>
      </c>
      <c r="BV534" t="s">
        <v>0</v>
      </c>
      <c r="BW534" t="s">
        <v>0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</row>
    <row r="535" spans="1:80" ht="13.95" customHeight="1" x14ac:dyDescent="0.25">
      <c r="A535" t="s">
        <v>374</v>
      </c>
      <c r="B535" s="2">
        <v>45828</v>
      </c>
      <c r="C535" s="2">
        <v>45828</v>
      </c>
      <c r="D535" s="2">
        <v>45858</v>
      </c>
      <c r="E535" t="s">
        <v>2</v>
      </c>
      <c r="F535" t="s">
        <v>3</v>
      </c>
      <c r="G535" t="s">
        <v>0</v>
      </c>
      <c r="H535" t="s">
        <v>4</v>
      </c>
      <c r="I535" t="s">
        <v>363</v>
      </c>
      <c r="J535" t="s">
        <v>6</v>
      </c>
      <c r="K535" t="s">
        <v>215</v>
      </c>
      <c r="L535" t="s">
        <v>43</v>
      </c>
      <c r="M535" t="s">
        <v>44</v>
      </c>
      <c r="N535" t="s">
        <v>10</v>
      </c>
      <c r="O535" t="s">
        <v>0</v>
      </c>
      <c r="P535" t="s">
        <v>11</v>
      </c>
      <c r="Q535" s="5">
        <v>10</v>
      </c>
      <c r="R535" s="4">
        <v>50600</v>
      </c>
      <c r="S535" s="5">
        <v>1</v>
      </c>
      <c r="T535" s="4">
        <v>506000</v>
      </c>
      <c r="U535" s="5">
        <v>0</v>
      </c>
      <c r="V535" s="4">
        <v>0</v>
      </c>
      <c r="W535" s="5">
        <v>0</v>
      </c>
      <c r="X535" s="4">
        <v>0</v>
      </c>
      <c r="Y535" s="4">
        <f t="shared" si="16"/>
        <v>506000</v>
      </c>
      <c r="Z535" s="6" t="s">
        <v>0</v>
      </c>
      <c r="AA535" t="s">
        <v>2</v>
      </c>
      <c r="AB535" t="s">
        <v>12</v>
      </c>
      <c r="AC535">
        <f>_xlfn.XLOOKUP(AB535,'[1]GST Codes'!$A:$A,'[1]GST Codes'!$C:$C,0,0)</f>
        <v>18</v>
      </c>
      <c r="AD535">
        <f t="shared" si="17"/>
        <v>597080</v>
      </c>
      <c r="AE535" t="s">
        <v>13</v>
      </c>
      <c r="AF535" t="s">
        <v>0</v>
      </c>
      <c r="AG535" t="s">
        <v>14</v>
      </c>
      <c r="AH535" t="s">
        <v>15</v>
      </c>
      <c r="AI535" t="s">
        <v>16</v>
      </c>
      <c r="AJ535" t="s">
        <v>17</v>
      </c>
      <c r="AK535" t="s">
        <v>18</v>
      </c>
      <c r="AL535" t="s">
        <v>19</v>
      </c>
      <c r="AM535" t="s">
        <v>363</v>
      </c>
      <c r="AN535" t="s">
        <v>0</v>
      </c>
      <c r="AO535" t="s">
        <v>0</v>
      </c>
      <c r="AP535" t="s">
        <v>0</v>
      </c>
      <c r="AQ535" s="5">
        <v>10</v>
      </c>
      <c r="AR535" t="s">
        <v>11</v>
      </c>
      <c r="AS535" t="s">
        <v>0</v>
      </c>
      <c r="AT535" t="s">
        <v>17</v>
      </c>
      <c r="AU535" s="4">
        <v>0</v>
      </c>
      <c r="AV535" s="4">
        <v>0</v>
      </c>
      <c r="AW535" s="4">
        <v>0</v>
      </c>
      <c r="AX535" s="4">
        <v>0</v>
      </c>
      <c r="AY535" s="5">
        <v>0</v>
      </c>
      <c r="AZ535" s="5">
        <v>0</v>
      </c>
      <c r="BA535" s="5">
        <v>0</v>
      </c>
      <c r="BB535" s="2"/>
      <c r="BC535" t="s">
        <v>0</v>
      </c>
      <c r="BD535" s="5">
        <v>1</v>
      </c>
      <c r="BE535" t="s">
        <v>0</v>
      </c>
      <c r="BF535" t="s">
        <v>364</v>
      </c>
      <c r="BG535" t="s">
        <v>17</v>
      </c>
      <c r="BH535" t="s">
        <v>0</v>
      </c>
      <c r="BI535" t="s">
        <v>11</v>
      </c>
      <c r="BJ535" t="s">
        <v>0</v>
      </c>
      <c r="BK535" t="s">
        <v>0</v>
      </c>
      <c r="BL535" s="5">
        <v>0</v>
      </c>
      <c r="BM535" t="s">
        <v>0</v>
      </c>
      <c r="BN535" t="s">
        <v>0</v>
      </c>
      <c r="BO535" t="s">
        <v>0</v>
      </c>
      <c r="BP535" t="s">
        <v>17</v>
      </c>
      <c r="BQ535" t="s">
        <v>0</v>
      </c>
      <c r="BR535" t="s">
        <v>17</v>
      </c>
      <c r="BS535" t="s">
        <v>17</v>
      </c>
      <c r="BT535" t="s">
        <v>0</v>
      </c>
      <c r="BU535" t="s">
        <v>0</v>
      </c>
      <c r="BV535" t="s">
        <v>0</v>
      </c>
      <c r="BW535" t="s">
        <v>0</v>
      </c>
      <c r="BX535" t="s">
        <v>0</v>
      </c>
      <c r="BY535" t="s">
        <v>0</v>
      </c>
      <c r="BZ535" t="s">
        <v>0</v>
      </c>
      <c r="CA535" t="s">
        <v>0</v>
      </c>
      <c r="CB535" t="s">
        <v>0</v>
      </c>
    </row>
    <row r="536" spans="1:80" ht="13.95" customHeight="1" x14ac:dyDescent="0.25">
      <c r="A536" t="s">
        <v>374</v>
      </c>
      <c r="B536" s="2">
        <v>45828</v>
      </c>
      <c r="C536" s="2">
        <v>45828</v>
      </c>
      <c r="D536" s="2">
        <v>45858</v>
      </c>
      <c r="E536" t="s">
        <v>2</v>
      </c>
      <c r="F536" t="s">
        <v>3</v>
      </c>
      <c r="G536" t="s">
        <v>0</v>
      </c>
      <c r="H536" t="s">
        <v>4</v>
      </c>
      <c r="I536" t="s">
        <v>363</v>
      </c>
      <c r="J536" t="s">
        <v>6</v>
      </c>
      <c r="K536" t="s">
        <v>216</v>
      </c>
      <c r="L536" t="s">
        <v>354</v>
      </c>
      <c r="M536" t="s">
        <v>338</v>
      </c>
      <c r="N536" t="s">
        <v>10</v>
      </c>
      <c r="O536" t="s">
        <v>0</v>
      </c>
      <c r="P536" t="s">
        <v>11</v>
      </c>
      <c r="Q536" s="5">
        <v>20</v>
      </c>
      <c r="R536" s="4">
        <v>50600</v>
      </c>
      <c r="S536" s="5">
        <v>1</v>
      </c>
      <c r="T536" s="4">
        <v>1012000</v>
      </c>
      <c r="U536" s="5">
        <v>0</v>
      </c>
      <c r="V536" s="4">
        <v>0</v>
      </c>
      <c r="W536" s="5">
        <v>0</v>
      </c>
      <c r="X536" s="4">
        <v>0</v>
      </c>
      <c r="Y536" s="4">
        <f t="shared" si="16"/>
        <v>1012000</v>
      </c>
      <c r="Z536" s="6" t="s">
        <v>0</v>
      </c>
      <c r="AA536" t="s">
        <v>2</v>
      </c>
      <c r="AB536" t="s">
        <v>12</v>
      </c>
      <c r="AC536">
        <f>_xlfn.XLOOKUP(AB536,'[1]GST Codes'!$A:$A,'[1]GST Codes'!$C:$C,0,0)</f>
        <v>18</v>
      </c>
      <c r="AD536">
        <f t="shared" si="17"/>
        <v>1194160</v>
      </c>
      <c r="AE536" t="s">
        <v>13</v>
      </c>
      <c r="AF536" t="s">
        <v>0</v>
      </c>
      <c r="AG536" t="s">
        <v>14</v>
      </c>
      <c r="AH536" t="s">
        <v>15</v>
      </c>
      <c r="AI536" t="s">
        <v>16</v>
      </c>
      <c r="AJ536" t="s">
        <v>17</v>
      </c>
      <c r="AK536" t="s">
        <v>18</v>
      </c>
      <c r="AL536" t="s">
        <v>19</v>
      </c>
      <c r="AM536" t="s">
        <v>363</v>
      </c>
      <c r="AN536" t="s">
        <v>0</v>
      </c>
      <c r="AO536" t="s">
        <v>0</v>
      </c>
      <c r="AP536" t="s">
        <v>0</v>
      </c>
      <c r="AQ536" s="5">
        <v>20</v>
      </c>
      <c r="AR536" t="s">
        <v>11</v>
      </c>
      <c r="AS536" t="s">
        <v>0</v>
      </c>
      <c r="AT536" t="s">
        <v>17</v>
      </c>
      <c r="AU536" s="4">
        <v>0</v>
      </c>
      <c r="AV536" s="4">
        <v>0</v>
      </c>
      <c r="AW536" s="4">
        <v>0</v>
      </c>
      <c r="AX536" s="4">
        <v>0</v>
      </c>
      <c r="AY536" s="5">
        <v>0</v>
      </c>
      <c r="AZ536" s="5">
        <v>0</v>
      </c>
      <c r="BA536" s="5">
        <v>0</v>
      </c>
      <c r="BB536" s="2"/>
      <c r="BC536" t="s">
        <v>0</v>
      </c>
      <c r="BD536" s="5">
        <v>1</v>
      </c>
      <c r="BE536" t="s">
        <v>0</v>
      </c>
      <c r="BF536" t="s">
        <v>371</v>
      </c>
      <c r="BG536" t="s">
        <v>17</v>
      </c>
      <c r="BH536" t="s">
        <v>0</v>
      </c>
      <c r="BI536" t="s">
        <v>11</v>
      </c>
      <c r="BJ536" t="s">
        <v>0</v>
      </c>
      <c r="BK536" t="s">
        <v>0</v>
      </c>
      <c r="BL536" s="5">
        <v>0</v>
      </c>
      <c r="BM536" t="s">
        <v>0</v>
      </c>
      <c r="BN536" t="s">
        <v>0</v>
      </c>
      <c r="BO536" t="s">
        <v>0</v>
      </c>
      <c r="BP536" t="s">
        <v>17</v>
      </c>
      <c r="BQ536" t="s">
        <v>0</v>
      </c>
      <c r="BR536" t="s">
        <v>17</v>
      </c>
      <c r="BS536" t="s">
        <v>17</v>
      </c>
      <c r="BT536" t="s">
        <v>0</v>
      </c>
      <c r="BU536" t="s">
        <v>0</v>
      </c>
      <c r="BV536" t="s">
        <v>0</v>
      </c>
      <c r="BW536" t="s">
        <v>0</v>
      </c>
      <c r="BX536" t="s">
        <v>0</v>
      </c>
      <c r="BY536" t="s">
        <v>0</v>
      </c>
      <c r="BZ536" t="s">
        <v>0</v>
      </c>
      <c r="CA536" t="s">
        <v>0</v>
      </c>
      <c r="CB536" t="s">
        <v>0</v>
      </c>
    </row>
    <row r="537" spans="1:80" ht="13.95" customHeight="1" x14ac:dyDescent="0.25">
      <c r="A537" t="s">
        <v>374</v>
      </c>
      <c r="B537" s="2">
        <v>45828</v>
      </c>
      <c r="C537" s="2">
        <v>45828</v>
      </c>
      <c r="D537" s="2">
        <v>45858</v>
      </c>
      <c r="E537" t="s">
        <v>2</v>
      </c>
      <c r="F537" t="s">
        <v>3</v>
      </c>
      <c r="G537" t="s">
        <v>0</v>
      </c>
      <c r="H537" t="s">
        <v>4</v>
      </c>
      <c r="I537" t="s">
        <v>363</v>
      </c>
      <c r="J537" t="s">
        <v>6</v>
      </c>
      <c r="K537" t="s">
        <v>217</v>
      </c>
      <c r="L537" t="s">
        <v>354</v>
      </c>
      <c r="M537" t="s">
        <v>338</v>
      </c>
      <c r="N537" t="s">
        <v>10</v>
      </c>
      <c r="O537" t="s">
        <v>0</v>
      </c>
      <c r="P537" t="s">
        <v>11</v>
      </c>
      <c r="Q537" s="5">
        <v>20</v>
      </c>
      <c r="R537" s="4">
        <v>50600</v>
      </c>
      <c r="S537" s="5">
        <v>1</v>
      </c>
      <c r="T537" s="4">
        <v>1012000</v>
      </c>
      <c r="U537" s="5">
        <v>0</v>
      </c>
      <c r="V537" s="4">
        <v>0</v>
      </c>
      <c r="W537" s="5">
        <v>0</v>
      </c>
      <c r="X537" s="4">
        <v>0</v>
      </c>
      <c r="Y537" s="4">
        <f t="shared" si="16"/>
        <v>1012000</v>
      </c>
      <c r="Z537" s="6" t="s">
        <v>0</v>
      </c>
      <c r="AA537" t="s">
        <v>2</v>
      </c>
      <c r="AB537" t="s">
        <v>12</v>
      </c>
      <c r="AC537">
        <f>_xlfn.XLOOKUP(AB537,'[1]GST Codes'!$A:$A,'[1]GST Codes'!$C:$C,0,0)</f>
        <v>18</v>
      </c>
      <c r="AD537">
        <f t="shared" si="17"/>
        <v>1194160</v>
      </c>
      <c r="AE537" t="s">
        <v>13</v>
      </c>
      <c r="AF537" t="s">
        <v>0</v>
      </c>
      <c r="AG537" t="s">
        <v>14</v>
      </c>
      <c r="AH537" t="s">
        <v>15</v>
      </c>
      <c r="AI537" t="s">
        <v>16</v>
      </c>
      <c r="AJ537" t="s">
        <v>17</v>
      </c>
      <c r="AK537" t="s">
        <v>18</v>
      </c>
      <c r="AL537" t="s">
        <v>19</v>
      </c>
      <c r="AM537" t="s">
        <v>363</v>
      </c>
      <c r="AN537" t="s">
        <v>0</v>
      </c>
      <c r="AO537" t="s">
        <v>0</v>
      </c>
      <c r="AP537" t="s">
        <v>0</v>
      </c>
      <c r="AQ537" s="5">
        <v>20</v>
      </c>
      <c r="AR537" t="s">
        <v>11</v>
      </c>
      <c r="AS537" t="s">
        <v>0</v>
      </c>
      <c r="AT537" t="s">
        <v>17</v>
      </c>
      <c r="AU537" s="4">
        <v>0</v>
      </c>
      <c r="AV537" s="4">
        <v>0</v>
      </c>
      <c r="AW537" s="4">
        <v>0</v>
      </c>
      <c r="AX537" s="4">
        <v>0</v>
      </c>
      <c r="AY537" s="5">
        <v>0</v>
      </c>
      <c r="AZ537" s="5">
        <v>0</v>
      </c>
      <c r="BA537" s="5">
        <v>0</v>
      </c>
      <c r="BB537" s="2"/>
      <c r="BC537" t="s">
        <v>0</v>
      </c>
      <c r="BD537" s="5">
        <v>1</v>
      </c>
      <c r="BE537" t="s">
        <v>0</v>
      </c>
      <c r="BF537" t="s">
        <v>371</v>
      </c>
      <c r="BG537" t="s">
        <v>17</v>
      </c>
      <c r="BH537" t="s">
        <v>0</v>
      </c>
      <c r="BI537" t="s">
        <v>11</v>
      </c>
      <c r="BJ537" t="s">
        <v>0</v>
      </c>
      <c r="BK537" t="s">
        <v>0</v>
      </c>
      <c r="BL537" s="5">
        <v>0</v>
      </c>
      <c r="BM537" t="s">
        <v>0</v>
      </c>
      <c r="BN537" t="s">
        <v>0</v>
      </c>
      <c r="BO537" t="s">
        <v>0</v>
      </c>
      <c r="BP537" t="s">
        <v>17</v>
      </c>
      <c r="BQ537" t="s">
        <v>0</v>
      </c>
      <c r="BR537" t="s">
        <v>17</v>
      </c>
      <c r="BS537" t="s">
        <v>17</v>
      </c>
      <c r="BT537" t="s">
        <v>0</v>
      </c>
      <c r="BU537" t="s">
        <v>0</v>
      </c>
      <c r="BV537" t="s">
        <v>0</v>
      </c>
      <c r="BW537" t="s">
        <v>0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</row>
    <row r="538" spans="1:80" ht="13.95" customHeight="1" x14ac:dyDescent="0.25">
      <c r="A538" t="s">
        <v>374</v>
      </c>
      <c r="B538" s="2">
        <v>45828</v>
      </c>
      <c r="C538" s="2">
        <v>45828</v>
      </c>
      <c r="D538" s="2">
        <v>45858</v>
      </c>
      <c r="E538" t="s">
        <v>2</v>
      </c>
      <c r="F538" t="s">
        <v>3</v>
      </c>
      <c r="G538" t="s">
        <v>0</v>
      </c>
      <c r="H538" t="s">
        <v>4</v>
      </c>
      <c r="I538" t="s">
        <v>363</v>
      </c>
      <c r="J538" t="s">
        <v>6</v>
      </c>
      <c r="K538" t="s">
        <v>218</v>
      </c>
      <c r="L538" t="s">
        <v>354</v>
      </c>
      <c r="M538" t="s">
        <v>338</v>
      </c>
      <c r="N538" t="s">
        <v>10</v>
      </c>
      <c r="O538" t="s">
        <v>0</v>
      </c>
      <c r="P538" t="s">
        <v>11</v>
      </c>
      <c r="Q538" s="5">
        <v>20</v>
      </c>
      <c r="R538" s="4">
        <v>50600</v>
      </c>
      <c r="S538" s="5">
        <v>1</v>
      </c>
      <c r="T538" s="4">
        <v>1012000</v>
      </c>
      <c r="U538" s="5">
        <v>0</v>
      </c>
      <c r="V538" s="4">
        <v>0</v>
      </c>
      <c r="W538" s="5">
        <v>0</v>
      </c>
      <c r="X538" s="4">
        <v>0</v>
      </c>
      <c r="Y538" s="4">
        <f t="shared" si="16"/>
        <v>1012000</v>
      </c>
      <c r="Z538" s="6" t="s">
        <v>0</v>
      </c>
      <c r="AA538" t="s">
        <v>2</v>
      </c>
      <c r="AB538" t="s">
        <v>12</v>
      </c>
      <c r="AC538">
        <f>_xlfn.XLOOKUP(AB538,'[1]GST Codes'!$A:$A,'[1]GST Codes'!$C:$C,0,0)</f>
        <v>18</v>
      </c>
      <c r="AD538">
        <f t="shared" si="17"/>
        <v>1194160</v>
      </c>
      <c r="AE538" t="s">
        <v>13</v>
      </c>
      <c r="AF538" t="s">
        <v>0</v>
      </c>
      <c r="AG538" t="s">
        <v>14</v>
      </c>
      <c r="AH538" t="s">
        <v>15</v>
      </c>
      <c r="AI538" t="s">
        <v>16</v>
      </c>
      <c r="AJ538" t="s">
        <v>17</v>
      </c>
      <c r="AK538" t="s">
        <v>18</v>
      </c>
      <c r="AL538" t="s">
        <v>19</v>
      </c>
      <c r="AM538" t="s">
        <v>363</v>
      </c>
      <c r="AN538" t="s">
        <v>0</v>
      </c>
      <c r="AO538" t="s">
        <v>0</v>
      </c>
      <c r="AP538" t="s">
        <v>0</v>
      </c>
      <c r="AQ538" s="5">
        <v>20</v>
      </c>
      <c r="AR538" t="s">
        <v>11</v>
      </c>
      <c r="AS538" t="s">
        <v>0</v>
      </c>
      <c r="AT538" t="s">
        <v>17</v>
      </c>
      <c r="AU538" s="4">
        <v>0</v>
      </c>
      <c r="AV538" s="4">
        <v>0</v>
      </c>
      <c r="AW538" s="4">
        <v>0</v>
      </c>
      <c r="AX538" s="4">
        <v>0</v>
      </c>
      <c r="AY538" s="5">
        <v>0</v>
      </c>
      <c r="AZ538" s="5">
        <v>0</v>
      </c>
      <c r="BA538" s="5">
        <v>0</v>
      </c>
      <c r="BB538" s="2"/>
      <c r="BC538" t="s">
        <v>0</v>
      </c>
      <c r="BD538" s="5">
        <v>1</v>
      </c>
      <c r="BE538" t="s">
        <v>0</v>
      </c>
      <c r="BF538" t="s">
        <v>371</v>
      </c>
      <c r="BG538" t="s">
        <v>17</v>
      </c>
      <c r="BH538" t="s">
        <v>0</v>
      </c>
      <c r="BI538" t="s">
        <v>11</v>
      </c>
      <c r="BJ538" t="s">
        <v>0</v>
      </c>
      <c r="BK538" t="s">
        <v>0</v>
      </c>
      <c r="BL538" s="5">
        <v>0</v>
      </c>
      <c r="BM538" t="s">
        <v>0</v>
      </c>
      <c r="BN538" t="s">
        <v>0</v>
      </c>
      <c r="BO538" t="s">
        <v>0</v>
      </c>
      <c r="BP538" t="s">
        <v>17</v>
      </c>
      <c r="BQ538" t="s">
        <v>0</v>
      </c>
      <c r="BR538" t="s">
        <v>17</v>
      </c>
      <c r="BS538" t="s">
        <v>17</v>
      </c>
      <c r="BT538" t="s">
        <v>0</v>
      </c>
      <c r="BU538" t="s">
        <v>0</v>
      </c>
      <c r="BV538" t="s">
        <v>0</v>
      </c>
      <c r="BW538" t="s">
        <v>0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</row>
    <row r="539" spans="1:80" ht="13.95" customHeight="1" x14ac:dyDescent="0.25">
      <c r="A539" t="s">
        <v>374</v>
      </c>
      <c r="B539" s="2">
        <v>45828</v>
      </c>
      <c r="C539" s="2">
        <v>45828</v>
      </c>
      <c r="D539" s="2">
        <v>45858</v>
      </c>
      <c r="E539" t="s">
        <v>2</v>
      </c>
      <c r="F539" t="s">
        <v>3</v>
      </c>
      <c r="G539" t="s">
        <v>0</v>
      </c>
      <c r="H539" t="s">
        <v>4</v>
      </c>
      <c r="I539" t="s">
        <v>363</v>
      </c>
      <c r="J539" t="s">
        <v>6</v>
      </c>
      <c r="K539" t="s">
        <v>219</v>
      </c>
      <c r="L539" t="s">
        <v>354</v>
      </c>
      <c r="M539" t="s">
        <v>338</v>
      </c>
      <c r="N539" t="s">
        <v>10</v>
      </c>
      <c r="O539" t="s">
        <v>0</v>
      </c>
      <c r="P539" t="s">
        <v>11</v>
      </c>
      <c r="Q539" s="5">
        <v>20</v>
      </c>
      <c r="R539" s="4">
        <v>50600</v>
      </c>
      <c r="S539" s="5">
        <v>1</v>
      </c>
      <c r="T539" s="4">
        <v>1012000</v>
      </c>
      <c r="U539" s="5">
        <v>0</v>
      </c>
      <c r="V539" s="4">
        <v>0</v>
      </c>
      <c r="W539" s="5">
        <v>0</v>
      </c>
      <c r="X539" s="4">
        <v>0</v>
      </c>
      <c r="Y539" s="4">
        <f t="shared" si="16"/>
        <v>1012000</v>
      </c>
      <c r="Z539" s="6" t="s">
        <v>0</v>
      </c>
      <c r="AA539" t="s">
        <v>2</v>
      </c>
      <c r="AB539" t="s">
        <v>12</v>
      </c>
      <c r="AC539">
        <f>_xlfn.XLOOKUP(AB539,'[1]GST Codes'!$A:$A,'[1]GST Codes'!$C:$C,0,0)</f>
        <v>18</v>
      </c>
      <c r="AD539">
        <f t="shared" si="17"/>
        <v>1194160</v>
      </c>
      <c r="AE539" t="s">
        <v>13</v>
      </c>
      <c r="AF539" t="s">
        <v>0</v>
      </c>
      <c r="AG539" t="s">
        <v>14</v>
      </c>
      <c r="AH539" t="s">
        <v>15</v>
      </c>
      <c r="AI539" t="s">
        <v>16</v>
      </c>
      <c r="AJ539" t="s">
        <v>17</v>
      </c>
      <c r="AK539" t="s">
        <v>18</v>
      </c>
      <c r="AL539" t="s">
        <v>19</v>
      </c>
      <c r="AM539" t="s">
        <v>363</v>
      </c>
      <c r="AN539" t="s">
        <v>0</v>
      </c>
      <c r="AO539" t="s">
        <v>0</v>
      </c>
      <c r="AP539" t="s">
        <v>0</v>
      </c>
      <c r="AQ539" s="5">
        <v>20</v>
      </c>
      <c r="AR539" t="s">
        <v>11</v>
      </c>
      <c r="AS539" t="s">
        <v>0</v>
      </c>
      <c r="AT539" t="s">
        <v>17</v>
      </c>
      <c r="AU539" s="4">
        <v>0</v>
      </c>
      <c r="AV539" s="4">
        <v>0</v>
      </c>
      <c r="AW539" s="4">
        <v>0</v>
      </c>
      <c r="AX539" s="4">
        <v>0</v>
      </c>
      <c r="AY539" s="5">
        <v>0</v>
      </c>
      <c r="AZ539" s="5">
        <v>0</v>
      </c>
      <c r="BA539" s="5">
        <v>0</v>
      </c>
      <c r="BB539" s="2"/>
      <c r="BC539" t="s">
        <v>0</v>
      </c>
      <c r="BD539" s="5">
        <v>1</v>
      </c>
      <c r="BE539" t="s">
        <v>0</v>
      </c>
      <c r="BF539" t="s">
        <v>371</v>
      </c>
      <c r="BG539" t="s">
        <v>17</v>
      </c>
      <c r="BH539" t="s">
        <v>0</v>
      </c>
      <c r="BI539" t="s">
        <v>11</v>
      </c>
      <c r="BJ539" t="s">
        <v>0</v>
      </c>
      <c r="BK539" t="s">
        <v>0</v>
      </c>
      <c r="BL539" s="5">
        <v>0</v>
      </c>
      <c r="BM539" t="s">
        <v>0</v>
      </c>
      <c r="BN539" t="s">
        <v>0</v>
      </c>
      <c r="BO539" t="s">
        <v>0</v>
      </c>
      <c r="BP539" t="s">
        <v>17</v>
      </c>
      <c r="BQ539" t="s">
        <v>0</v>
      </c>
      <c r="BR539" t="s">
        <v>17</v>
      </c>
      <c r="BS539" t="s">
        <v>17</v>
      </c>
      <c r="BT539" t="s">
        <v>0</v>
      </c>
      <c r="BU539" t="s">
        <v>0</v>
      </c>
      <c r="BV539" t="s">
        <v>0</v>
      </c>
      <c r="BW539" t="s">
        <v>0</v>
      </c>
      <c r="BX539" t="s">
        <v>0</v>
      </c>
      <c r="BY539" t="s">
        <v>0</v>
      </c>
      <c r="BZ539" t="s">
        <v>0</v>
      </c>
      <c r="CA539" t="s">
        <v>0</v>
      </c>
      <c r="CB539" t="s">
        <v>0</v>
      </c>
    </row>
    <row r="540" spans="1:80" ht="13.95" customHeight="1" x14ac:dyDescent="0.25">
      <c r="A540" t="s">
        <v>374</v>
      </c>
      <c r="B540" s="2">
        <v>45828</v>
      </c>
      <c r="C540" s="2">
        <v>45828</v>
      </c>
      <c r="D540" s="2">
        <v>45858</v>
      </c>
      <c r="E540" t="s">
        <v>2</v>
      </c>
      <c r="F540" t="s">
        <v>3</v>
      </c>
      <c r="G540" t="s">
        <v>0</v>
      </c>
      <c r="H540" t="s">
        <v>4</v>
      </c>
      <c r="I540" t="s">
        <v>363</v>
      </c>
      <c r="J540" t="s">
        <v>6</v>
      </c>
      <c r="K540" t="s">
        <v>223</v>
      </c>
      <c r="L540" t="s">
        <v>354</v>
      </c>
      <c r="M540" t="s">
        <v>338</v>
      </c>
      <c r="N540" t="s">
        <v>10</v>
      </c>
      <c r="O540" t="s">
        <v>0</v>
      </c>
      <c r="P540" t="s">
        <v>11</v>
      </c>
      <c r="Q540" s="5">
        <v>20</v>
      </c>
      <c r="R540" s="4">
        <v>50600</v>
      </c>
      <c r="S540" s="5">
        <v>1</v>
      </c>
      <c r="T540" s="4">
        <v>1012000</v>
      </c>
      <c r="U540" s="5">
        <v>0</v>
      </c>
      <c r="V540" s="4">
        <v>0</v>
      </c>
      <c r="W540" s="5">
        <v>0</v>
      </c>
      <c r="X540" s="4">
        <v>0</v>
      </c>
      <c r="Y540" s="4">
        <f t="shared" si="16"/>
        <v>1012000</v>
      </c>
      <c r="Z540" s="6" t="s">
        <v>0</v>
      </c>
      <c r="AA540" t="s">
        <v>2</v>
      </c>
      <c r="AB540" t="s">
        <v>12</v>
      </c>
      <c r="AC540">
        <f>_xlfn.XLOOKUP(AB540,'[1]GST Codes'!$A:$A,'[1]GST Codes'!$C:$C,0,0)</f>
        <v>18</v>
      </c>
      <c r="AD540">
        <f t="shared" si="17"/>
        <v>1194160</v>
      </c>
      <c r="AE540" t="s">
        <v>13</v>
      </c>
      <c r="AF540" t="s">
        <v>0</v>
      </c>
      <c r="AG540" t="s">
        <v>14</v>
      </c>
      <c r="AH540" t="s">
        <v>15</v>
      </c>
      <c r="AI540" t="s">
        <v>16</v>
      </c>
      <c r="AJ540" t="s">
        <v>17</v>
      </c>
      <c r="AK540" t="s">
        <v>18</v>
      </c>
      <c r="AL540" t="s">
        <v>19</v>
      </c>
      <c r="AM540" t="s">
        <v>363</v>
      </c>
      <c r="AN540" t="s">
        <v>0</v>
      </c>
      <c r="AO540" t="s">
        <v>0</v>
      </c>
      <c r="AP540" t="s">
        <v>0</v>
      </c>
      <c r="AQ540" s="5">
        <v>20</v>
      </c>
      <c r="AR540" t="s">
        <v>11</v>
      </c>
      <c r="AS540" t="s">
        <v>0</v>
      </c>
      <c r="AT540" t="s">
        <v>17</v>
      </c>
      <c r="AU540" s="4">
        <v>0</v>
      </c>
      <c r="AV540" s="4">
        <v>0</v>
      </c>
      <c r="AW540" s="4">
        <v>0</v>
      </c>
      <c r="AX540" s="4">
        <v>0</v>
      </c>
      <c r="AY540" s="5">
        <v>0</v>
      </c>
      <c r="AZ540" s="5">
        <v>0</v>
      </c>
      <c r="BA540" s="5">
        <v>0</v>
      </c>
      <c r="BB540" s="2"/>
      <c r="BC540" t="s">
        <v>0</v>
      </c>
      <c r="BD540" s="5">
        <v>1</v>
      </c>
      <c r="BE540" t="s">
        <v>0</v>
      </c>
      <c r="BF540" t="s">
        <v>371</v>
      </c>
      <c r="BG540" t="s">
        <v>17</v>
      </c>
      <c r="BH540" t="s">
        <v>0</v>
      </c>
      <c r="BI540" t="s">
        <v>11</v>
      </c>
      <c r="BJ540" t="s">
        <v>0</v>
      </c>
      <c r="BK540" t="s">
        <v>0</v>
      </c>
      <c r="BL540" s="5">
        <v>0</v>
      </c>
      <c r="BM540" t="s">
        <v>0</v>
      </c>
      <c r="BN540" t="s">
        <v>0</v>
      </c>
      <c r="BO540" t="s">
        <v>0</v>
      </c>
      <c r="BP540" t="s">
        <v>17</v>
      </c>
      <c r="BQ540" t="s">
        <v>0</v>
      </c>
      <c r="BR540" t="s">
        <v>17</v>
      </c>
      <c r="BS540" t="s">
        <v>17</v>
      </c>
      <c r="BT540" t="s">
        <v>0</v>
      </c>
      <c r="BU540" t="s">
        <v>0</v>
      </c>
      <c r="BV540" t="s">
        <v>0</v>
      </c>
      <c r="BW540" t="s">
        <v>0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</row>
    <row r="541" spans="1:80" ht="13.95" customHeight="1" x14ac:dyDescent="0.25">
      <c r="A541" t="s">
        <v>374</v>
      </c>
      <c r="B541" s="2">
        <v>45828</v>
      </c>
      <c r="C541" s="2">
        <v>45828</v>
      </c>
      <c r="D541" s="2">
        <v>45858</v>
      </c>
      <c r="E541" t="s">
        <v>2</v>
      </c>
      <c r="F541" t="s">
        <v>3</v>
      </c>
      <c r="G541" t="s">
        <v>0</v>
      </c>
      <c r="H541" t="s">
        <v>4</v>
      </c>
      <c r="I541" t="s">
        <v>363</v>
      </c>
      <c r="J541" t="s">
        <v>6</v>
      </c>
      <c r="K541" t="s">
        <v>224</v>
      </c>
      <c r="L541" t="s">
        <v>354</v>
      </c>
      <c r="M541" t="s">
        <v>338</v>
      </c>
      <c r="N541" t="s">
        <v>10</v>
      </c>
      <c r="O541" t="s">
        <v>0</v>
      </c>
      <c r="P541" t="s">
        <v>11</v>
      </c>
      <c r="Q541" s="5">
        <v>20</v>
      </c>
      <c r="R541" s="4">
        <v>50600</v>
      </c>
      <c r="S541" s="5">
        <v>1</v>
      </c>
      <c r="T541" s="4">
        <v>1012000</v>
      </c>
      <c r="U541" s="5">
        <v>0</v>
      </c>
      <c r="V541" s="4">
        <v>0</v>
      </c>
      <c r="W541" s="5">
        <v>0</v>
      </c>
      <c r="X541" s="4">
        <v>0</v>
      </c>
      <c r="Y541" s="4">
        <f t="shared" si="16"/>
        <v>1012000</v>
      </c>
      <c r="Z541" s="6" t="s">
        <v>0</v>
      </c>
      <c r="AA541" t="s">
        <v>2</v>
      </c>
      <c r="AB541" t="s">
        <v>12</v>
      </c>
      <c r="AC541">
        <f>_xlfn.XLOOKUP(AB541,'[1]GST Codes'!$A:$A,'[1]GST Codes'!$C:$C,0,0)</f>
        <v>18</v>
      </c>
      <c r="AD541">
        <f t="shared" si="17"/>
        <v>1194160</v>
      </c>
      <c r="AE541" t="s">
        <v>13</v>
      </c>
      <c r="AF541" t="s">
        <v>0</v>
      </c>
      <c r="AG541" t="s">
        <v>14</v>
      </c>
      <c r="AH541" t="s">
        <v>15</v>
      </c>
      <c r="AI541" t="s">
        <v>16</v>
      </c>
      <c r="AJ541" t="s">
        <v>17</v>
      </c>
      <c r="AK541" t="s">
        <v>18</v>
      </c>
      <c r="AL541" t="s">
        <v>19</v>
      </c>
      <c r="AM541" t="s">
        <v>363</v>
      </c>
      <c r="AN541" t="s">
        <v>0</v>
      </c>
      <c r="AO541" t="s">
        <v>0</v>
      </c>
      <c r="AP541" t="s">
        <v>0</v>
      </c>
      <c r="AQ541" s="5">
        <v>20</v>
      </c>
      <c r="AR541" t="s">
        <v>11</v>
      </c>
      <c r="AS541" t="s">
        <v>0</v>
      </c>
      <c r="AT541" t="s">
        <v>17</v>
      </c>
      <c r="AU541" s="4">
        <v>0</v>
      </c>
      <c r="AV541" s="4">
        <v>0</v>
      </c>
      <c r="AW541" s="4">
        <v>0</v>
      </c>
      <c r="AX541" s="4">
        <v>0</v>
      </c>
      <c r="AY541" s="5">
        <v>0</v>
      </c>
      <c r="AZ541" s="5">
        <v>0</v>
      </c>
      <c r="BA541" s="5">
        <v>0</v>
      </c>
      <c r="BB541" s="2"/>
      <c r="BC541" t="s">
        <v>0</v>
      </c>
      <c r="BD541" s="5">
        <v>1</v>
      </c>
      <c r="BE541" t="s">
        <v>0</v>
      </c>
      <c r="BF541" t="s">
        <v>371</v>
      </c>
      <c r="BG541" t="s">
        <v>17</v>
      </c>
      <c r="BH541" t="s">
        <v>0</v>
      </c>
      <c r="BI541" t="s">
        <v>11</v>
      </c>
      <c r="BJ541" t="s">
        <v>0</v>
      </c>
      <c r="BK541" t="s">
        <v>0</v>
      </c>
      <c r="BL541" s="5">
        <v>0</v>
      </c>
      <c r="BM541" t="s">
        <v>0</v>
      </c>
      <c r="BN541" t="s">
        <v>0</v>
      </c>
      <c r="BO541" t="s">
        <v>0</v>
      </c>
      <c r="BP541" t="s">
        <v>17</v>
      </c>
      <c r="BQ541" t="s">
        <v>0</v>
      </c>
      <c r="BR541" t="s">
        <v>17</v>
      </c>
      <c r="BS541" t="s">
        <v>17</v>
      </c>
      <c r="BT541" t="s">
        <v>0</v>
      </c>
      <c r="BU541" t="s">
        <v>0</v>
      </c>
      <c r="BV541" t="s">
        <v>0</v>
      </c>
      <c r="BW541" t="s">
        <v>0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</row>
    <row r="542" spans="1:80" ht="13.95" customHeight="1" x14ac:dyDescent="0.25">
      <c r="A542" t="s">
        <v>374</v>
      </c>
      <c r="B542" s="2">
        <v>45828</v>
      </c>
      <c r="C542" s="2">
        <v>45828</v>
      </c>
      <c r="D542" s="2">
        <v>45858</v>
      </c>
      <c r="E542" t="s">
        <v>2</v>
      </c>
      <c r="F542" t="s">
        <v>3</v>
      </c>
      <c r="G542" t="s">
        <v>0</v>
      </c>
      <c r="H542" t="s">
        <v>4</v>
      </c>
      <c r="I542" t="s">
        <v>363</v>
      </c>
      <c r="J542" t="s">
        <v>6</v>
      </c>
      <c r="K542" t="s">
        <v>225</v>
      </c>
      <c r="L542" t="s">
        <v>354</v>
      </c>
      <c r="M542" t="s">
        <v>338</v>
      </c>
      <c r="N542" t="s">
        <v>10</v>
      </c>
      <c r="O542" t="s">
        <v>0</v>
      </c>
      <c r="P542" t="s">
        <v>11</v>
      </c>
      <c r="Q542" s="5">
        <v>30</v>
      </c>
      <c r="R542" s="4">
        <v>50600</v>
      </c>
      <c r="S542" s="5">
        <v>1</v>
      </c>
      <c r="T542" s="4">
        <v>1518000</v>
      </c>
      <c r="U542" s="5">
        <v>0</v>
      </c>
      <c r="V542" s="4">
        <v>0</v>
      </c>
      <c r="W542" s="5">
        <v>0</v>
      </c>
      <c r="X542" s="4">
        <v>0</v>
      </c>
      <c r="Y542" s="4">
        <f t="shared" si="16"/>
        <v>1518000</v>
      </c>
      <c r="Z542" s="6" t="s">
        <v>0</v>
      </c>
      <c r="AA542" t="s">
        <v>2</v>
      </c>
      <c r="AB542" t="s">
        <v>12</v>
      </c>
      <c r="AC542">
        <f>_xlfn.XLOOKUP(AB542,'[1]GST Codes'!$A:$A,'[1]GST Codes'!$C:$C,0,0)</f>
        <v>18</v>
      </c>
      <c r="AD542">
        <f t="shared" si="17"/>
        <v>1791240</v>
      </c>
      <c r="AE542" t="s">
        <v>13</v>
      </c>
      <c r="AF542" t="s">
        <v>0</v>
      </c>
      <c r="AG542" t="s">
        <v>14</v>
      </c>
      <c r="AH542" t="s">
        <v>15</v>
      </c>
      <c r="AI542" t="s">
        <v>16</v>
      </c>
      <c r="AJ542" t="s">
        <v>17</v>
      </c>
      <c r="AK542" t="s">
        <v>18</v>
      </c>
      <c r="AL542" t="s">
        <v>19</v>
      </c>
      <c r="AM542" t="s">
        <v>363</v>
      </c>
      <c r="AN542" t="s">
        <v>0</v>
      </c>
      <c r="AO542" t="s">
        <v>0</v>
      </c>
      <c r="AP542" t="s">
        <v>0</v>
      </c>
      <c r="AQ542" s="5">
        <v>30</v>
      </c>
      <c r="AR542" t="s">
        <v>11</v>
      </c>
      <c r="AS542" t="s">
        <v>0</v>
      </c>
      <c r="AT542" t="s">
        <v>17</v>
      </c>
      <c r="AU542" s="4">
        <v>0</v>
      </c>
      <c r="AV542" s="4">
        <v>0</v>
      </c>
      <c r="AW542" s="4">
        <v>0</v>
      </c>
      <c r="AX542" s="4">
        <v>0</v>
      </c>
      <c r="AY542" s="5">
        <v>0</v>
      </c>
      <c r="AZ542" s="5">
        <v>0</v>
      </c>
      <c r="BA542" s="5">
        <v>0</v>
      </c>
      <c r="BB542" s="2"/>
      <c r="BC542" t="s">
        <v>0</v>
      </c>
      <c r="BD542" s="5">
        <v>1</v>
      </c>
      <c r="BE542" t="s">
        <v>0</v>
      </c>
      <c r="BF542" t="s">
        <v>371</v>
      </c>
      <c r="BG542" t="s">
        <v>17</v>
      </c>
      <c r="BH542" t="s">
        <v>0</v>
      </c>
      <c r="BI542" t="s">
        <v>11</v>
      </c>
      <c r="BJ542" t="s">
        <v>0</v>
      </c>
      <c r="BK542" t="s">
        <v>0</v>
      </c>
      <c r="BL542" s="5">
        <v>0</v>
      </c>
      <c r="BM542" t="s">
        <v>0</v>
      </c>
      <c r="BN542" t="s">
        <v>0</v>
      </c>
      <c r="BO542" t="s">
        <v>0</v>
      </c>
      <c r="BP542" t="s">
        <v>17</v>
      </c>
      <c r="BQ542" t="s">
        <v>0</v>
      </c>
      <c r="BR542" t="s">
        <v>17</v>
      </c>
      <c r="BS542" t="s">
        <v>17</v>
      </c>
      <c r="BT542" t="s">
        <v>0</v>
      </c>
      <c r="BU542" t="s">
        <v>0</v>
      </c>
      <c r="BV542" t="s">
        <v>0</v>
      </c>
      <c r="BW542" t="s">
        <v>0</v>
      </c>
      <c r="BX542" t="s">
        <v>0</v>
      </c>
      <c r="BY542" t="s">
        <v>0</v>
      </c>
      <c r="BZ542" t="s">
        <v>0</v>
      </c>
      <c r="CA542" t="s">
        <v>0</v>
      </c>
      <c r="CB542" t="s">
        <v>0</v>
      </c>
    </row>
    <row r="543" spans="1:80" ht="13.95" customHeight="1" x14ac:dyDescent="0.25">
      <c r="A543" t="s">
        <v>374</v>
      </c>
      <c r="B543" s="2">
        <v>45828</v>
      </c>
      <c r="C543" s="2">
        <v>45828</v>
      </c>
      <c r="D543" s="2">
        <v>45858</v>
      </c>
      <c r="E543" t="s">
        <v>2</v>
      </c>
      <c r="F543" t="s">
        <v>3</v>
      </c>
      <c r="G543" t="s">
        <v>0</v>
      </c>
      <c r="H543" t="s">
        <v>4</v>
      </c>
      <c r="I543" t="s">
        <v>363</v>
      </c>
      <c r="J543" t="s">
        <v>6</v>
      </c>
      <c r="K543" t="s">
        <v>226</v>
      </c>
      <c r="L543" t="s">
        <v>329</v>
      </c>
      <c r="M543" t="s">
        <v>339</v>
      </c>
      <c r="N543" t="s">
        <v>10</v>
      </c>
      <c r="O543" t="s">
        <v>0</v>
      </c>
      <c r="P543" t="s">
        <v>11</v>
      </c>
      <c r="Q543" s="5">
        <v>10</v>
      </c>
      <c r="R543" s="4">
        <v>50600</v>
      </c>
      <c r="S543" s="5">
        <v>1</v>
      </c>
      <c r="T543" s="4">
        <v>506000</v>
      </c>
      <c r="U543" s="5">
        <v>0</v>
      </c>
      <c r="V543" s="4">
        <v>0</v>
      </c>
      <c r="W543" s="5">
        <v>0</v>
      </c>
      <c r="X543" s="4">
        <v>0</v>
      </c>
      <c r="Y543" s="4">
        <f t="shared" si="16"/>
        <v>506000</v>
      </c>
      <c r="Z543" s="6" t="s">
        <v>0</v>
      </c>
      <c r="AA543" t="s">
        <v>2</v>
      </c>
      <c r="AB543" t="s">
        <v>12</v>
      </c>
      <c r="AC543">
        <f>_xlfn.XLOOKUP(AB543,'[1]GST Codes'!$A:$A,'[1]GST Codes'!$C:$C,0,0)</f>
        <v>18</v>
      </c>
      <c r="AD543">
        <f t="shared" si="17"/>
        <v>597080</v>
      </c>
      <c r="AE543" t="s">
        <v>13</v>
      </c>
      <c r="AF543" t="s">
        <v>0</v>
      </c>
      <c r="AG543" t="s">
        <v>14</v>
      </c>
      <c r="AH543" t="s">
        <v>15</v>
      </c>
      <c r="AI543" t="s">
        <v>16</v>
      </c>
      <c r="AJ543" t="s">
        <v>17</v>
      </c>
      <c r="AK543" t="s">
        <v>18</v>
      </c>
      <c r="AL543" t="s">
        <v>19</v>
      </c>
      <c r="AM543" t="s">
        <v>363</v>
      </c>
      <c r="AN543" t="s">
        <v>0</v>
      </c>
      <c r="AO543" t="s">
        <v>0</v>
      </c>
      <c r="AP543" t="s">
        <v>0</v>
      </c>
      <c r="AQ543" s="5">
        <v>10</v>
      </c>
      <c r="AR543" t="s">
        <v>11</v>
      </c>
      <c r="AS543" t="s">
        <v>0</v>
      </c>
      <c r="AT543" t="s">
        <v>17</v>
      </c>
      <c r="AU543" s="4">
        <v>0</v>
      </c>
      <c r="AV543" s="4">
        <v>0</v>
      </c>
      <c r="AW543" s="4">
        <v>0</v>
      </c>
      <c r="AX543" s="4">
        <v>0</v>
      </c>
      <c r="AY543" s="5">
        <v>0</v>
      </c>
      <c r="AZ543" s="5">
        <v>0</v>
      </c>
      <c r="BA543" s="5">
        <v>0</v>
      </c>
      <c r="BB543" s="2"/>
      <c r="BC543" t="s">
        <v>0</v>
      </c>
      <c r="BD543" s="5">
        <v>1</v>
      </c>
      <c r="BE543" t="s">
        <v>0</v>
      </c>
      <c r="BF543" t="s">
        <v>365</v>
      </c>
      <c r="BG543" t="s">
        <v>17</v>
      </c>
      <c r="BH543" t="s">
        <v>0</v>
      </c>
      <c r="BI543" t="s">
        <v>11</v>
      </c>
      <c r="BJ543" t="s">
        <v>0</v>
      </c>
      <c r="BK543" t="s">
        <v>0</v>
      </c>
      <c r="BL543" s="5">
        <v>0</v>
      </c>
      <c r="BM543" t="s">
        <v>0</v>
      </c>
      <c r="BN543" t="s">
        <v>0</v>
      </c>
      <c r="BO543" t="s">
        <v>0</v>
      </c>
      <c r="BP543" t="s">
        <v>17</v>
      </c>
      <c r="BQ543" t="s">
        <v>0</v>
      </c>
      <c r="BR543" t="s">
        <v>17</v>
      </c>
      <c r="BS543" t="s">
        <v>17</v>
      </c>
      <c r="BT543" t="s">
        <v>0</v>
      </c>
      <c r="BU543" t="s">
        <v>0</v>
      </c>
      <c r="BV543" t="s">
        <v>0</v>
      </c>
      <c r="BW543" t="s">
        <v>0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</row>
    <row r="544" spans="1:80" ht="13.95" customHeight="1" x14ac:dyDescent="0.25">
      <c r="A544" t="s">
        <v>374</v>
      </c>
      <c r="B544" s="2">
        <v>45828</v>
      </c>
      <c r="C544" s="2">
        <v>45828</v>
      </c>
      <c r="D544" s="2">
        <v>45858</v>
      </c>
      <c r="E544" t="s">
        <v>2</v>
      </c>
      <c r="F544" t="s">
        <v>3</v>
      </c>
      <c r="G544" t="s">
        <v>0</v>
      </c>
      <c r="H544" t="s">
        <v>4</v>
      </c>
      <c r="I544" t="s">
        <v>363</v>
      </c>
      <c r="J544" t="s">
        <v>6</v>
      </c>
      <c r="K544" t="s">
        <v>227</v>
      </c>
      <c r="L544" t="s">
        <v>329</v>
      </c>
      <c r="M544" t="s">
        <v>339</v>
      </c>
      <c r="N544" t="s">
        <v>10</v>
      </c>
      <c r="O544" t="s">
        <v>0</v>
      </c>
      <c r="P544" t="s">
        <v>11</v>
      </c>
      <c r="Q544" s="5">
        <v>10</v>
      </c>
      <c r="R544" s="4">
        <v>50600</v>
      </c>
      <c r="S544" s="5">
        <v>1</v>
      </c>
      <c r="T544" s="4">
        <v>506000</v>
      </c>
      <c r="U544" s="5">
        <v>0</v>
      </c>
      <c r="V544" s="4">
        <v>0</v>
      </c>
      <c r="W544" s="5">
        <v>0</v>
      </c>
      <c r="X544" s="4">
        <v>0</v>
      </c>
      <c r="Y544" s="4">
        <f t="shared" si="16"/>
        <v>506000</v>
      </c>
      <c r="Z544" s="6" t="s">
        <v>0</v>
      </c>
      <c r="AA544" t="s">
        <v>2</v>
      </c>
      <c r="AB544" t="s">
        <v>12</v>
      </c>
      <c r="AC544">
        <f>_xlfn.XLOOKUP(AB544,'[1]GST Codes'!$A:$A,'[1]GST Codes'!$C:$C,0,0)</f>
        <v>18</v>
      </c>
      <c r="AD544">
        <f t="shared" si="17"/>
        <v>597080</v>
      </c>
      <c r="AE544" t="s">
        <v>13</v>
      </c>
      <c r="AF544" t="s">
        <v>0</v>
      </c>
      <c r="AG544" t="s">
        <v>14</v>
      </c>
      <c r="AH544" t="s">
        <v>15</v>
      </c>
      <c r="AI544" t="s">
        <v>16</v>
      </c>
      <c r="AJ544" t="s">
        <v>17</v>
      </c>
      <c r="AK544" t="s">
        <v>18</v>
      </c>
      <c r="AL544" t="s">
        <v>19</v>
      </c>
      <c r="AM544" t="s">
        <v>363</v>
      </c>
      <c r="AN544" t="s">
        <v>0</v>
      </c>
      <c r="AO544" t="s">
        <v>0</v>
      </c>
      <c r="AP544" t="s">
        <v>0</v>
      </c>
      <c r="AQ544" s="5">
        <v>10</v>
      </c>
      <c r="AR544" t="s">
        <v>11</v>
      </c>
      <c r="AS544" t="s">
        <v>0</v>
      </c>
      <c r="AT544" t="s">
        <v>17</v>
      </c>
      <c r="AU544" s="4">
        <v>0</v>
      </c>
      <c r="AV544" s="4">
        <v>0</v>
      </c>
      <c r="AW544" s="4">
        <v>0</v>
      </c>
      <c r="AX544" s="4">
        <v>0</v>
      </c>
      <c r="AY544" s="5">
        <v>0</v>
      </c>
      <c r="AZ544" s="5">
        <v>0</v>
      </c>
      <c r="BA544" s="5">
        <v>0</v>
      </c>
      <c r="BB544" s="2"/>
      <c r="BC544" t="s">
        <v>0</v>
      </c>
      <c r="BD544" s="5">
        <v>1</v>
      </c>
      <c r="BE544" t="s">
        <v>0</v>
      </c>
      <c r="BF544" t="s">
        <v>365</v>
      </c>
      <c r="BG544" t="s">
        <v>17</v>
      </c>
      <c r="BH544" t="s">
        <v>0</v>
      </c>
      <c r="BI544" t="s">
        <v>11</v>
      </c>
      <c r="BJ544" t="s">
        <v>0</v>
      </c>
      <c r="BK544" t="s">
        <v>0</v>
      </c>
      <c r="BL544" s="5">
        <v>0</v>
      </c>
      <c r="BM544" t="s">
        <v>0</v>
      </c>
      <c r="BN544" t="s">
        <v>0</v>
      </c>
      <c r="BO544" t="s">
        <v>0</v>
      </c>
      <c r="BP544" t="s">
        <v>17</v>
      </c>
      <c r="BQ544" t="s">
        <v>0</v>
      </c>
      <c r="BR544" t="s">
        <v>17</v>
      </c>
      <c r="BS544" t="s">
        <v>17</v>
      </c>
      <c r="BT544" t="s">
        <v>0</v>
      </c>
      <c r="BU544" t="s">
        <v>0</v>
      </c>
      <c r="BV544" t="s">
        <v>0</v>
      </c>
      <c r="BW544" t="s">
        <v>0</v>
      </c>
      <c r="BX544" t="s">
        <v>0</v>
      </c>
      <c r="BY544" t="s">
        <v>0</v>
      </c>
      <c r="BZ544" t="s">
        <v>0</v>
      </c>
      <c r="CA544" t="s">
        <v>0</v>
      </c>
      <c r="CB544" t="s">
        <v>0</v>
      </c>
    </row>
    <row r="545" spans="1:80" ht="13.95" customHeight="1" x14ac:dyDescent="0.25">
      <c r="A545" t="s">
        <v>374</v>
      </c>
      <c r="B545" s="2">
        <v>45828</v>
      </c>
      <c r="C545" s="2">
        <v>45828</v>
      </c>
      <c r="D545" s="2">
        <v>45858</v>
      </c>
      <c r="E545" t="s">
        <v>2</v>
      </c>
      <c r="F545" t="s">
        <v>3</v>
      </c>
      <c r="G545" t="s">
        <v>0</v>
      </c>
      <c r="H545" t="s">
        <v>4</v>
      </c>
      <c r="I545" t="s">
        <v>363</v>
      </c>
      <c r="J545" t="s">
        <v>6</v>
      </c>
      <c r="K545" t="s">
        <v>228</v>
      </c>
      <c r="L545" t="s">
        <v>329</v>
      </c>
      <c r="M545" t="s">
        <v>339</v>
      </c>
      <c r="N545" t="s">
        <v>10</v>
      </c>
      <c r="O545" t="s">
        <v>0</v>
      </c>
      <c r="P545" t="s">
        <v>11</v>
      </c>
      <c r="Q545" s="5">
        <v>10</v>
      </c>
      <c r="R545" s="4">
        <v>50600</v>
      </c>
      <c r="S545" s="5">
        <v>1</v>
      </c>
      <c r="T545" s="4">
        <v>506000</v>
      </c>
      <c r="U545" s="5">
        <v>0</v>
      </c>
      <c r="V545" s="4">
        <v>0</v>
      </c>
      <c r="W545" s="5">
        <v>0</v>
      </c>
      <c r="X545" s="4">
        <v>0</v>
      </c>
      <c r="Y545" s="4">
        <f t="shared" si="16"/>
        <v>506000</v>
      </c>
      <c r="Z545" s="6" t="s">
        <v>0</v>
      </c>
      <c r="AA545" t="s">
        <v>2</v>
      </c>
      <c r="AB545" t="s">
        <v>12</v>
      </c>
      <c r="AC545">
        <f>_xlfn.XLOOKUP(AB545,'[1]GST Codes'!$A:$A,'[1]GST Codes'!$C:$C,0,0)</f>
        <v>18</v>
      </c>
      <c r="AD545">
        <f t="shared" si="17"/>
        <v>597080</v>
      </c>
      <c r="AE545" t="s">
        <v>13</v>
      </c>
      <c r="AF545" t="s">
        <v>0</v>
      </c>
      <c r="AG545" t="s">
        <v>14</v>
      </c>
      <c r="AH545" t="s">
        <v>15</v>
      </c>
      <c r="AI545" t="s">
        <v>16</v>
      </c>
      <c r="AJ545" t="s">
        <v>17</v>
      </c>
      <c r="AK545" t="s">
        <v>18</v>
      </c>
      <c r="AL545" t="s">
        <v>19</v>
      </c>
      <c r="AM545" t="s">
        <v>363</v>
      </c>
      <c r="AN545" t="s">
        <v>0</v>
      </c>
      <c r="AO545" t="s">
        <v>0</v>
      </c>
      <c r="AP545" t="s">
        <v>0</v>
      </c>
      <c r="AQ545" s="5">
        <v>10</v>
      </c>
      <c r="AR545" t="s">
        <v>11</v>
      </c>
      <c r="AS545" t="s">
        <v>0</v>
      </c>
      <c r="AT545" t="s">
        <v>17</v>
      </c>
      <c r="AU545" s="4">
        <v>0</v>
      </c>
      <c r="AV545" s="4">
        <v>0</v>
      </c>
      <c r="AW545" s="4">
        <v>0</v>
      </c>
      <c r="AX545" s="4">
        <v>0</v>
      </c>
      <c r="AY545" s="5">
        <v>0</v>
      </c>
      <c r="AZ545" s="5">
        <v>0</v>
      </c>
      <c r="BA545" s="5">
        <v>0</v>
      </c>
      <c r="BB545" s="2"/>
      <c r="BC545" t="s">
        <v>0</v>
      </c>
      <c r="BD545" s="5">
        <v>1</v>
      </c>
      <c r="BE545" t="s">
        <v>0</v>
      </c>
      <c r="BF545" t="s">
        <v>365</v>
      </c>
      <c r="BG545" t="s">
        <v>17</v>
      </c>
      <c r="BH545" t="s">
        <v>0</v>
      </c>
      <c r="BI545" t="s">
        <v>11</v>
      </c>
      <c r="BJ545" t="s">
        <v>0</v>
      </c>
      <c r="BK545" t="s">
        <v>0</v>
      </c>
      <c r="BL545" s="5">
        <v>0</v>
      </c>
      <c r="BM545" t="s">
        <v>0</v>
      </c>
      <c r="BN545" t="s">
        <v>0</v>
      </c>
      <c r="BO545" t="s">
        <v>0</v>
      </c>
      <c r="BP545" t="s">
        <v>17</v>
      </c>
      <c r="BQ545" t="s">
        <v>0</v>
      </c>
      <c r="BR545" t="s">
        <v>17</v>
      </c>
      <c r="BS545" t="s">
        <v>17</v>
      </c>
      <c r="BT545" t="s">
        <v>0</v>
      </c>
      <c r="BU545" t="s">
        <v>0</v>
      </c>
      <c r="BV545" t="s">
        <v>0</v>
      </c>
      <c r="BW545" t="s">
        <v>0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</row>
    <row r="546" spans="1:80" ht="13.95" customHeight="1" x14ac:dyDescent="0.25">
      <c r="A546" t="s">
        <v>374</v>
      </c>
      <c r="B546" s="2">
        <v>45828</v>
      </c>
      <c r="C546" s="2">
        <v>45828</v>
      </c>
      <c r="D546" s="2">
        <v>45858</v>
      </c>
      <c r="E546" t="s">
        <v>2</v>
      </c>
      <c r="F546" t="s">
        <v>3</v>
      </c>
      <c r="G546" t="s">
        <v>0</v>
      </c>
      <c r="H546" t="s">
        <v>4</v>
      </c>
      <c r="I546" t="s">
        <v>363</v>
      </c>
      <c r="J546" t="s">
        <v>6</v>
      </c>
      <c r="K546" t="s">
        <v>231</v>
      </c>
      <c r="L546" t="s">
        <v>329</v>
      </c>
      <c r="M546" t="s">
        <v>339</v>
      </c>
      <c r="N546" t="s">
        <v>10</v>
      </c>
      <c r="O546" t="s">
        <v>0</v>
      </c>
      <c r="P546" t="s">
        <v>11</v>
      </c>
      <c r="Q546" s="5">
        <v>10</v>
      </c>
      <c r="R546" s="4">
        <v>50600</v>
      </c>
      <c r="S546" s="5">
        <v>1</v>
      </c>
      <c r="T546" s="4">
        <v>506000</v>
      </c>
      <c r="U546" s="5">
        <v>0</v>
      </c>
      <c r="V546" s="4">
        <v>0</v>
      </c>
      <c r="W546" s="5">
        <v>0</v>
      </c>
      <c r="X546" s="4">
        <v>0</v>
      </c>
      <c r="Y546" s="4">
        <f t="shared" si="16"/>
        <v>506000</v>
      </c>
      <c r="Z546" s="6" t="s">
        <v>0</v>
      </c>
      <c r="AA546" t="s">
        <v>2</v>
      </c>
      <c r="AB546" t="s">
        <v>12</v>
      </c>
      <c r="AC546">
        <f>_xlfn.XLOOKUP(AB546,'[1]GST Codes'!$A:$A,'[1]GST Codes'!$C:$C,0,0)</f>
        <v>18</v>
      </c>
      <c r="AD546">
        <f t="shared" si="17"/>
        <v>597080</v>
      </c>
      <c r="AE546" t="s">
        <v>13</v>
      </c>
      <c r="AF546" t="s">
        <v>0</v>
      </c>
      <c r="AG546" t="s">
        <v>14</v>
      </c>
      <c r="AH546" t="s">
        <v>15</v>
      </c>
      <c r="AI546" t="s">
        <v>16</v>
      </c>
      <c r="AJ546" t="s">
        <v>17</v>
      </c>
      <c r="AK546" t="s">
        <v>18</v>
      </c>
      <c r="AL546" t="s">
        <v>19</v>
      </c>
      <c r="AM546" t="s">
        <v>363</v>
      </c>
      <c r="AN546" t="s">
        <v>0</v>
      </c>
      <c r="AO546" t="s">
        <v>0</v>
      </c>
      <c r="AP546" t="s">
        <v>0</v>
      </c>
      <c r="AQ546" s="5">
        <v>10</v>
      </c>
      <c r="AR546" t="s">
        <v>11</v>
      </c>
      <c r="AS546" t="s">
        <v>0</v>
      </c>
      <c r="AT546" t="s">
        <v>17</v>
      </c>
      <c r="AU546" s="4">
        <v>0</v>
      </c>
      <c r="AV546" s="4">
        <v>0</v>
      </c>
      <c r="AW546" s="4">
        <v>0</v>
      </c>
      <c r="AX546" s="4">
        <v>0</v>
      </c>
      <c r="AY546" s="5">
        <v>0</v>
      </c>
      <c r="AZ546" s="5">
        <v>0</v>
      </c>
      <c r="BA546" s="5">
        <v>0</v>
      </c>
      <c r="BB546" s="2"/>
      <c r="BC546" t="s">
        <v>0</v>
      </c>
      <c r="BD546" s="5">
        <v>1</v>
      </c>
      <c r="BE546" t="s">
        <v>0</v>
      </c>
      <c r="BF546" t="s">
        <v>365</v>
      </c>
      <c r="BG546" t="s">
        <v>17</v>
      </c>
      <c r="BH546" t="s">
        <v>0</v>
      </c>
      <c r="BI546" t="s">
        <v>11</v>
      </c>
      <c r="BJ546" t="s">
        <v>0</v>
      </c>
      <c r="BK546" t="s">
        <v>0</v>
      </c>
      <c r="BL546" s="5">
        <v>0</v>
      </c>
      <c r="BM546" t="s">
        <v>0</v>
      </c>
      <c r="BN546" t="s">
        <v>0</v>
      </c>
      <c r="BO546" t="s">
        <v>0</v>
      </c>
      <c r="BP546" t="s">
        <v>17</v>
      </c>
      <c r="BQ546" t="s">
        <v>0</v>
      </c>
      <c r="BR546" t="s">
        <v>17</v>
      </c>
      <c r="BS546" t="s">
        <v>17</v>
      </c>
      <c r="BT546" t="s">
        <v>0</v>
      </c>
      <c r="BU546" t="s">
        <v>0</v>
      </c>
      <c r="BV546" t="s">
        <v>0</v>
      </c>
      <c r="BW546" t="s">
        <v>0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</row>
    <row r="547" spans="1:80" ht="13.95" customHeight="1" x14ac:dyDescent="0.25">
      <c r="A547" t="s">
        <v>374</v>
      </c>
      <c r="B547" s="2">
        <v>45828</v>
      </c>
      <c r="C547" s="2">
        <v>45828</v>
      </c>
      <c r="D547" s="2">
        <v>45858</v>
      </c>
      <c r="E547" t="s">
        <v>2</v>
      </c>
      <c r="F547" t="s">
        <v>3</v>
      </c>
      <c r="G547" t="s">
        <v>0</v>
      </c>
      <c r="H547" t="s">
        <v>4</v>
      </c>
      <c r="I547" t="s">
        <v>363</v>
      </c>
      <c r="J547" t="s">
        <v>6</v>
      </c>
      <c r="K547" t="s">
        <v>232</v>
      </c>
      <c r="L547" t="s">
        <v>329</v>
      </c>
      <c r="M547" t="s">
        <v>339</v>
      </c>
      <c r="N547" t="s">
        <v>10</v>
      </c>
      <c r="O547" t="s">
        <v>0</v>
      </c>
      <c r="P547" t="s">
        <v>11</v>
      </c>
      <c r="Q547" s="5">
        <v>10</v>
      </c>
      <c r="R547" s="4">
        <v>50600</v>
      </c>
      <c r="S547" s="5">
        <v>1</v>
      </c>
      <c r="T547" s="4">
        <v>506000</v>
      </c>
      <c r="U547" s="5">
        <v>0</v>
      </c>
      <c r="V547" s="4">
        <v>0</v>
      </c>
      <c r="W547" s="5">
        <v>0</v>
      </c>
      <c r="X547" s="4">
        <v>0</v>
      </c>
      <c r="Y547" s="4">
        <f t="shared" si="16"/>
        <v>506000</v>
      </c>
      <c r="Z547" s="6" t="s">
        <v>0</v>
      </c>
      <c r="AA547" t="s">
        <v>2</v>
      </c>
      <c r="AB547" t="s">
        <v>12</v>
      </c>
      <c r="AC547">
        <f>_xlfn.XLOOKUP(AB547,'[1]GST Codes'!$A:$A,'[1]GST Codes'!$C:$C,0,0)</f>
        <v>18</v>
      </c>
      <c r="AD547">
        <f t="shared" si="17"/>
        <v>597080</v>
      </c>
      <c r="AE547" t="s">
        <v>13</v>
      </c>
      <c r="AF547" t="s">
        <v>0</v>
      </c>
      <c r="AG547" t="s">
        <v>14</v>
      </c>
      <c r="AH547" t="s">
        <v>15</v>
      </c>
      <c r="AI547" t="s">
        <v>16</v>
      </c>
      <c r="AJ547" t="s">
        <v>17</v>
      </c>
      <c r="AK547" t="s">
        <v>18</v>
      </c>
      <c r="AL547" t="s">
        <v>19</v>
      </c>
      <c r="AM547" t="s">
        <v>363</v>
      </c>
      <c r="AN547" t="s">
        <v>0</v>
      </c>
      <c r="AO547" t="s">
        <v>0</v>
      </c>
      <c r="AP547" t="s">
        <v>0</v>
      </c>
      <c r="AQ547" s="5">
        <v>10</v>
      </c>
      <c r="AR547" t="s">
        <v>11</v>
      </c>
      <c r="AS547" t="s">
        <v>0</v>
      </c>
      <c r="AT547" t="s">
        <v>17</v>
      </c>
      <c r="AU547" s="4">
        <v>0</v>
      </c>
      <c r="AV547" s="4">
        <v>0</v>
      </c>
      <c r="AW547" s="4">
        <v>0</v>
      </c>
      <c r="AX547" s="4">
        <v>0</v>
      </c>
      <c r="AY547" s="5">
        <v>0</v>
      </c>
      <c r="AZ547" s="5">
        <v>0</v>
      </c>
      <c r="BA547" s="5">
        <v>0</v>
      </c>
      <c r="BB547" s="2"/>
      <c r="BC547" t="s">
        <v>0</v>
      </c>
      <c r="BD547" s="5">
        <v>1</v>
      </c>
      <c r="BE547" t="s">
        <v>0</v>
      </c>
      <c r="BF547" t="s">
        <v>365</v>
      </c>
      <c r="BG547" t="s">
        <v>17</v>
      </c>
      <c r="BH547" t="s">
        <v>0</v>
      </c>
      <c r="BI547" t="s">
        <v>11</v>
      </c>
      <c r="BJ547" t="s">
        <v>0</v>
      </c>
      <c r="BK547" t="s">
        <v>0</v>
      </c>
      <c r="BL547" s="5">
        <v>0</v>
      </c>
      <c r="BM547" t="s">
        <v>0</v>
      </c>
      <c r="BN547" t="s">
        <v>0</v>
      </c>
      <c r="BO547" t="s">
        <v>0</v>
      </c>
      <c r="BP547" t="s">
        <v>17</v>
      </c>
      <c r="BQ547" t="s">
        <v>0</v>
      </c>
      <c r="BR547" t="s">
        <v>17</v>
      </c>
      <c r="BS547" t="s">
        <v>17</v>
      </c>
      <c r="BT547" t="s">
        <v>0</v>
      </c>
      <c r="BU547" t="s">
        <v>0</v>
      </c>
      <c r="BV547" t="s">
        <v>0</v>
      </c>
      <c r="BW547" t="s">
        <v>0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</row>
    <row r="548" spans="1:80" ht="13.95" customHeight="1" x14ac:dyDescent="0.25">
      <c r="A548" t="s">
        <v>375</v>
      </c>
      <c r="B548" s="2">
        <v>45855</v>
      </c>
      <c r="C548" s="2">
        <v>45855</v>
      </c>
      <c r="D548" s="2">
        <v>45886</v>
      </c>
      <c r="E548" t="s">
        <v>2</v>
      </c>
      <c r="F548" t="s">
        <v>3</v>
      </c>
      <c r="G548" t="s">
        <v>0</v>
      </c>
      <c r="H548" t="s">
        <v>4</v>
      </c>
      <c r="I548" t="s">
        <v>363</v>
      </c>
      <c r="J548" t="s">
        <v>6</v>
      </c>
      <c r="K548" t="s">
        <v>7</v>
      </c>
      <c r="L548" t="s">
        <v>35</v>
      </c>
      <c r="M548" t="s">
        <v>36</v>
      </c>
      <c r="N548" t="s">
        <v>10</v>
      </c>
      <c r="O548" t="s">
        <v>0</v>
      </c>
      <c r="P548" t="s">
        <v>11</v>
      </c>
      <c r="Q548" s="5">
        <v>40</v>
      </c>
      <c r="R548" s="4">
        <v>47500</v>
      </c>
      <c r="S548" s="5">
        <v>1</v>
      </c>
      <c r="T548" s="4">
        <v>1900000</v>
      </c>
      <c r="U548" s="5">
        <v>40</v>
      </c>
      <c r="V548" s="4">
        <v>1900000</v>
      </c>
      <c r="W548" s="5">
        <v>40</v>
      </c>
      <c r="X548" s="4">
        <v>1900000</v>
      </c>
      <c r="Y548" s="4">
        <f t="shared" si="16"/>
        <v>0</v>
      </c>
      <c r="Z548" s="6" t="s">
        <v>0</v>
      </c>
      <c r="AA548" t="s">
        <v>2</v>
      </c>
      <c r="AB548" t="s">
        <v>12</v>
      </c>
      <c r="AC548">
        <f>_xlfn.XLOOKUP(AB548,'[1]GST Codes'!$A:$A,'[1]GST Codes'!$C:$C,0,0)</f>
        <v>18</v>
      </c>
      <c r="AD548">
        <f t="shared" si="17"/>
        <v>0</v>
      </c>
      <c r="AE548" t="s">
        <v>13</v>
      </c>
      <c r="AF548" t="s">
        <v>0</v>
      </c>
      <c r="AG548" t="s">
        <v>14</v>
      </c>
      <c r="AH548" t="s">
        <v>15</v>
      </c>
      <c r="AI548" t="s">
        <v>16</v>
      </c>
      <c r="AJ548" t="s">
        <v>17</v>
      </c>
      <c r="AK548" t="s">
        <v>18</v>
      </c>
      <c r="AL548" t="s">
        <v>19</v>
      </c>
      <c r="AM548" t="s">
        <v>363</v>
      </c>
      <c r="AN548" t="s">
        <v>0</v>
      </c>
      <c r="AO548" t="s">
        <v>0</v>
      </c>
      <c r="AP548" t="s">
        <v>0</v>
      </c>
      <c r="AQ548" s="5">
        <v>40</v>
      </c>
      <c r="AR548" t="s">
        <v>11</v>
      </c>
      <c r="AS548" t="s">
        <v>0</v>
      </c>
      <c r="AT548" t="s">
        <v>17</v>
      </c>
      <c r="AU548" s="4">
        <v>0</v>
      </c>
      <c r="AV548" s="4">
        <v>0</v>
      </c>
      <c r="AW548" s="4">
        <v>0</v>
      </c>
      <c r="AX548" s="4">
        <v>0</v>
      </c>
      <c r="AY548" s="5">
        <v>0</v>
      </c>
      <c r="AZ548" s="5">
        <v>0</v>
      </c>
      <c r="BA548" s="5">
        <v>0</v>
      </c>
      <c r="BB548" s="2"/>
      <c r="BC548" t="s">
        <v>0</v>
      </c>
      <c r="BD548" s="5">
        <v>1</v>
      </c>
      <c r="BE548" t="s">
        <v>0</v>
      </c>
      <c r="BF548" t="s">
        <v>376</v>
      </c>
      <c r="BG548" t="s">
        <v>17</v>
      </c>
      <c r="BH548" t="s">
        <v>0</v>
      </c>
      <c r="BI548" t="s">
        <v>11</v>
      </c>
      <c r="BJ548" t="s">
        <v>0</v>
      </c>
      <c r="BK548" t="s">
        <v>0</v>
      </c>
      <c r="BL548" s="5">
        <v>0</v>
      </c>
      <c r="BM548" t="s">
        <v>0</v>
      </c>
      <c r="BN548" t="s">
        <v>0</v>
      </c>
      <c r="BO548" t="s">
        <v>0</v>
      </c>
      <c r="BP548" t="s">
        <v>17</v>
      </c>
      <c r="BQ548" t="s">
        <v>0</v>
      </c>
      <c r="BR548" t="s">
        <v>17</v>
      </c>
      <c r="BS548" t="s">
        <v>17</v>
      </c>
      <c r="BT548" t="s">
        <v>0</v>
      </c>
      <c r="BU548" t="s">
        <v>0</v>
      </c>
      <c r="BV548" t="s">
        <v>0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</row>
    <row r="549" spans="1:80" x14ac:dyDescent="0.25">
      <c r="A549" t="s">
        <v>375</v>
      </c>
      <c r="B549" s="2">
        <v>45855</v>
      </c>
      <c r="C549" s="2">
        <v>45855</v>
      </c>
      <c r="D549" s="2">
        <v>45886</v>
      </c>
      <c r="E549" t="s">
        <v>2</v>
      </c>
      <c r="F549" t="s">
        <v>3</v>
      </c>
      <c r="G549" t="s">
        <v>0</v>
      </c>
      <c r="H549" t="s">
        <v>4</v>
      </c>
      <c r="I549" t="s">
        <v>363</v>
      </c>
      <c r="J549" t="s">
        <v>6</v>
      </c>
      <c r="K549" t="s">
        <v>22</v>
      </c>
      <c r="L549" t="s">
        <v>35</v>
      </c>
      <c r="M549" t="s">
        <v>36</v>
      </c>
      <c r="N549" t="s">
        <v>10</v>
      </c>
      <c r="O549" t="s">
        <v>0</v>
      </c>
      <c r="P549" t="s">
        <v>11</v>
      </c>
      <c r="Q549" s="5">
        <v>40</v>
      </c>
      <c r="R549" s="4">
        <v>47500</v>
      </c>
      <c r="S549" s="5">
        <v>1</v>
      </c>
      <c r="T549" s="4">
        <v>1900000</v>
      </c>
      <c r="U549" s="5">
        <v>40</v>
      </c>
      <c r="V549" s="4">
        <v>1900000</v>
      </c>
      <c r="W549" s="5">
        <v>40</v>
      </c>
      <c r="X549" s="4">
        <v>1900000</v>
      </c>
      <c r="Y549" s="4">
        <f t="shared" si="16"/>
        <v>0</v>
      </c>
      <c r="Z549" t="s">
        <v>0</v>
      </c>
      <c r="AA549" t="s">
        <v>2</v>
      </c>
      <c r="AB549" t="s">
        <v>12</v>
      </c>
      <c r="AC549">
        <f>_xlfn.XLOOKUP(AB549,'[1]GST Codes'!$A:$A,'[1]GST Codes'!$C:$C,0,0)</f>
        <v>18</v>
      </c>
      <c r="AD549">
        <f t="shared" si="17"/>
        <v>0</v>
      </c>
      <c r="AE549" t="s">
        <v>13</v>
      </c>
      <c r="AF549" t="s">
        <v>0</v>
      </c>
      <c r="AG549" t="s">
        <v>14</v>
      </c>
      <c r="AH549" t="s">
        <v>15</v>
      </c>
      <c r="AI549" t="s">
        <v>16</v>
      </c>
      <c r="AJ549" t="s">
        <v>17</v>
      </c>
      <c r="AK549" t="s">
        <v>18</v>
      </c>
      <c r="AL549" t="s">
        <v>19</v>
      </c>
      <c r="AM549" t="s">
        <v>363</v>
      </c>
      <c r="AN549" t="s">
        <v>0</v>
      </c>
      <c r="AO549" t="s">
        <v>0</v>
      </c>
      <c r="AP549" t="s">
        <v>0</v>
      </c>
      <c r="AQ549" s="5">
        <v>40</v>
      </c>
      <c r="AR549" t="s">
        <v>11</v>
      </c>
      <c r="AS549" t="s">
        <v>0</v>
      </c>
      <c r="AT549" t="s">
        <v>17</v>
      </c>
      <c r="AU549" s="4">
        <v>0</v>
      </c>
      <c r="AV549" s="4">
        <v>0</v>
      </c>
      <c r="AW549" s="4">
        <v>0</v>
      </c>
      <c r="AX549" s="4">
        <v>0</v>
      </c>
      <c r="AY549" s="5">
        <v>0</v>
      </c>
      <c r="AZ549" s="5">
        <v>0</v>
      </c>
      <c r="BA549" s="5">
        <v>0</v>
      </c>
      <c r="BB549" s="2"/>
      <c r="BC549" t="s">
        <v>0</v>
      </c>
      <c r="BD549" s="5">
        <v>1</v>
      </c>
      <c r="BE549" t="s">
        <v>0</v>
      </c>
      <c r="BF549" t="s">
        <v>376</v>
      </c>
      <c r="BG549" t="s">
        <v>17</v>
      </c>
      <c r="BH549" t="s">
        <v>0</v>
      </c>
      <c r="BI549" t="s">
        <v>11</v>
      </c>
      <c r="BJ549" t="s">
        <v>0</v>
      </c>
      <c r="BK549" t="s">
        <v>0</v>
      </c>
      <c r="BL549" s="5">
        <v>0</v>
      </c>
      <c r="BM549" t="s">
        <v>0</v>
      </c>
      <c r="BN549" t="s">
        <v>0</v>
      </c>
      <c r="BO549" t="s">
        <v>0</v>
      </c>
      <c r="BP549" t="s">
        <v>17</v>
      </c>
      <c r="BQ549" t="s">
        <v>0</v>
      </c>
      <c r="BR549" t="s">
        <v>17</v>
      </c>
      <c r="BS549" t="s">
        <v>17</v>
      </c>
      <c r="BT549" t="s">
        <v>0</v>
      </c>
      <c r="BU549" t="s">
        <v>0</v>
      </c>
      <c r="BV549" t="s">
        <v>0</v>
      </c>
      <c r="BW549" t="s">
        <v>0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</row>
    <row r="550" spans="1:80" x14ac:dyDescent="0.25">
      <c r="A550" t="s">
        <v>375</v>
      </c>
      <c r="B550" s="2">
        <v>45855</v>
      </c>
      <c r="C550" s="2">
        <v>45855</v>
      </c>
      <c r="D550" s="2">
        <v>45886</v>
      </c>
      <c r="E550" t="s">
        <v>2</v>
      </c>
      <c r="F550" t="s">
        <v>3</v>
      </c>
      <c r="G550" t="s">
        <v>0</v>
      </c>
      <c r="H550" t="s">
        <v>4</v>
      </c>
      <c r="I550" t="s">
        <v>363</v>
      </c>
      <c r="J550" t="s">
        <v>6</v>
      </c>
      <c r="K550" t="s">
        <v>26</v>
      </c>
      <c r="L550" t="s">
        <v>35</v>
      </c>
      <c r="M550" t="s">
        <v>36</v>
      </c>
      <c r="N550" t="s">
        <v>10</v>
      </c>
      <c r="O550" t="s">
        <v>0</v>
      </c>
      <c r="P550" t="s">
        <v>11</v>
      </c>
      <c r="Q550" s="5">
        <v>40</v>
      </c>
      <c r="R550" s="4">
        <v>47500</v>
      </c>
      <c r="S550" s="5">
        <v>1</v>
      </c>
      <c r="T550" s="4">
        <v>1900000</v>
      </c>
      <c r="U550" s="5">
        <v>40</v>
      </c>
      <c r="V550" s="4">
        <v>1900000</v>
      </c>
      <c r="W550" s="5">
        <v>40</v>
      </c>
      <c r="X550" s="4">
        <v>1900000</v>
      </c>
      <c r="Y550" s="4">
        <f t="shared" si="16"/>
        <v>0</v>
      </c>
      <c r="Z550" t="s">
        <v>0</v>
      </c>
      <c r="AA550" t="s">
        <v>2</v>
      </c>
      <c r="AB550" t="s">
        <v>12</v>
      </c>
      <c r="AC550">
        <f>_xlfn.XLOOKUP(AB550,'[1]GST Codes'!$A:$A,'[1]GST Codes'!$C:$C,0,0)</f>
        <v>18</v>
      </c>
      <c r="AD550">
        <f t="shared" si="17"/>
        <v>0</v>
      </c>
      <c r="AE550" t="s">
        <v>13</v>
      </c>
      <c r="AF550" t="s">
        <v>0</v>
      </c>
      <c r="AG550" t="s">
        <v>14</v>
      </c>
      <c r="AH550" t="s">
        <v>15</v>
      </c>
      <c r="AI550" t="s">
        <v>16</v>
      </c>
      <c r="AJ550" t="s">
        <v>17</v>
      </c>
      <c r="AK550" t="s">
        <v>18</v>
      </c>
      <c r="AL550" t="s">
        <v>19</v>
      </c>
      <c r="AM550" t="s">
        <v>363</v>
      </c>
      <c r="AN550" t="s">
        <v>0</v>
      </c>
      <c r="AO550" t="s">
        <v>0</v>
      </c>
      <c r="AP550" t="s">
        <v>0</v>
      </c>
      <c r="AQ550" s="5">
        <v>40</v>
      </c>
      <c r="AR550" t="s">
        <v>11</v>
      </c>
      <c r="AS550" t="s">
        <v>0</v>
      </c>
      <c r="AT550" t="s">
        <v>17</v>
      </c>
      <c r="AU550" s="4">
        <v>0</v>
      </c>
      <c r="AV550" s="4">
        <v>0</v>
      </c>
      <c r="AW550" s="4">
        <v>0</v>
      </c>
      <c r="AX550" s="4">
        <v>0</v>
      </c>
      <c r="AY550" s="5">
        <v>0</v>
      </c>
      <c r="AZ550" s="5">
        <v>0</v>
      </c>
      <c r="BA550" s="5">
        <v>0</v>
      </c>
      <c r="BB550" s="2"/>
      <c r="BC550" t="s">
        <v>0</v>
      </c>
      <c r="BD550" s="5">
        <v>1</v>
      </c>
      <c r="BE550" t="s">
        <v>0</v>
      </c>
      <c r="BF550" t="s">
        <v>376</v>
      </c>
      <c r="BG550" t="s">
        <v>17</v>
      </c>
      <c r="BH550" t="s">
        <v>0</v>
      </c>
      <c r="BI550" t="s">
        <v>11</v>
      </c>
      <c r="BJ550" t="s">
        <v>0</v>
      </c>
      <c r="BK550" t="s">
        <v>0</v>
      </c>
      <c r="BL550" s="5">
        <v>0</v>
      </c>
      <c r="BM550" t="s">
        <v>0</v>
      </c>
      <c r="BN550" t="s">
        <v>0</v>
      </c>
      <c r="BO550" t="s">
        <v>0</v>
      </c>
      <c r="BP550" t="s">
        <v>17</v>
      </c>
      <c r="BQ550" t="s">
        <v>0</v>
      </c>
      <c r="BR550" t="s">
        <v>17</v>
      </c>
      <c r="BS550" t="s">
        <v>17</v>
      </c>
      <c r="BT550" t="s">
        <v>0</v>
      </c>
      <c r="BU550" t="s">
        <v>0</v>
      </c>
      <c r="BV550" t="s">
        <v>0</v>
      </c>
      <c r="BW550" t="s">
        <v>0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</row>
    <row r="551" spans="1:80" x14ac:dyDescent="0.25">
      <c r="A551" t="s">
        <v>375</v>
      </c>
      <c r="B551" s="2">
        <v>45855</v>
      </c>
      <c r="C551" s="2">
        <v>45855</v>
      </c>
      <c r="D551" s="2">
        <v>45886</v>
      </c>
      <c r="E551" t="s">
        <v>2</v>
      </c>
      <c r="F551" t="s">
        <v>3</v>
      </c>
      <c r="G551" t="s">
        <v>0</v>
      </c>
      <c r="H551" t="s">
        <v>4</v>
      </c>
      <c r="I551" t="s">
        <v>363</v>
      </c>
      <c r="J551" t="s">
        <v>6</v>
      </c>
      <c r="K551" t="s">
        <v>30</v>
      </c>
      <c r="L551" t="s">
        <v>35</v>
      </c>
      <c r="M551" t="s">
        <v>36</v>
      </c>
      <c r="N551" t="s">
        <v>10</v>
      </c>
      <c r="O551" t="s">
        <v>0</v>
      </c>
      <c r="P551" t="s">
        <v>11</v>
      </c>
      <c r="Q551" s="5">
        <v>40</v>
      </c>
      <c r="R551" s="4">
        <v>47500</v>
      </c>
      <c r="S551" s="5">
        <v>1</v>
      </c>
      <c r="T551" s="4">
        <v>1900000</v>
      </c>
      <c r="U551" s="5">
        <v>40</v>
      </c>
      <c r="V551" s="4">
        <v>1900000</v>
      </c>
      <c r="W551" s="5">
        <v>40</v>
      </c>
      <c r="X551" s="4">
        <v>1900000</v>
      </c>
      <c r="Y551" s="4">
        <f t="shared" si="16"/>
        <v>0</v>
      </c>
      <c r="Z551" t="s">
        <v>0</v>
      </c>
      <c r="AA551" t="s">
        <v>2</v>
      </c>
      <c r="AB551" t="s">
        <v>12</v>
      </c>
      <c r="AC551">
        <f>_xlfn.XLOOKUP(AB551,'[1]GST Codes'!$A:$A,'[1]GST Codes'!$C:$C,0,0)</f>
        <v>18</v>
      </c>
      <c r="AD551">
        <f t="shared" si="17"/>
        <v>0</v>
      </c>
      <c r="AE551" t="s">
        <v>13</v>
      </c>
      <c r="AF551" t="s">
        <v>0</v>
      </c>
      <c r="AG551" t="s">
        <v>14</v>
      </c>
      <c r="AH551" t="s">
        <v>15</v>
      </c>
      <c r="AI551" t="s">
        <v>16</v>
      </c>
      <c r="AJ551" t="s">
        <v>17</v>
      </c>
      <c r="AK551" t="s">
        <v>18</v>
      </c>
      <c r="AL551" t="s">
        <v>19</v>
      </c>
      <c r="AM551" t="s">
        <v>363</v>
      </c>
      <c r="AN551" t="s">
        <v>0</v>
      </c>
      <c r="AO551" t="s">
        <v>0</v>
      </c>
      <c r="AP551" t="s">
        <v>0</v>
      </c>
      <c r="AQ551" s="5">
        <v>40</v>
      </c>
      <c r="AR551" t="s">
        <v>11</v>
      </c>
      <c r="AS551" t="s">
        <v>0</v>
      </c>
      <c r="AT551" t="s">
        <v>17</v>
      </c>
      <c r="AU551" s="4">
        <v>0</v>
      </c>
      <c r="AV551" s="4">
        <v>0</v>
      </c>
      <c r="AW551" s="4">
        <v>0</v>
      </c>
      <c r="AX551" s="4">
        <v>0</v>
      </c>
      <c r="AY551" s="5">
        <v>0</v>
      </c>
      <c r="AZ551" s="5">
        <v>0</v>
      </c>
      <c r="BA551" s="5">
        <v>0</v>
      </c>
      <c r="BB551" s="2"/>
      <c r="BC551" t="s">
        <v>0</v>
      </c>
      <c r="BD551" s="5">
        <v>1</v>
      </c>
      <c r="BE551" t="s">
        <v>0</v>
      </c>
      <c r="BF551" t="s">
        <v>376</v>
      </c>
      <c r="BG551" t="s">
        <v>17</v>
      </c>
      <c r="BH551" t="s">
        <v>0</v>
      </c>
      <c r="BI551" t="s">
        <v>11</v>
      </c>
      <c r="BJ551" t="s">
        <v>0</v>
      </c>
      <c r="BK551" t="s">
        <v>0</v>
      </c>
      <c r="BL551" s="5">
        <v>0</v>
      </c>
      <c r="BM551" t="s">
        <v>0</v>
      </c>
      <c r="BN551" t="s">
        <v>0</v>
      </c>
      <c r="BO551" t="s">
        <v>0</v>
      </c>
      <c r="BP551" t="s">
        <v>17</v>
      </c>
      <c r="BQ551" t="s">
        <v>0</v>
      </c>
      <c r="BR551" t="s">
        <v>17</v>
      </c>
      <c r="BS551" t="s">
        <v>17</v>
      </c>
      <c r="BT551" t="s">
        <v>0</v>
      </c>
      <c r="BU551" t="s">
        <v>0</v>
      </c>
      <c r="BV551" t="s">
        <v>0</v>
      </c>
      <c r="BW551" t="s">
        <v>0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</row>
    <row r="552" spans="1:80" x14ac:dyDescent="0.25">
      <c r="A552" t="s">
        <v>375</v>
      </c>
      <c r="B552" s="2">
        <v>45855</v>
      </c>
      <c r="C552" s="2">
        <v>45855</v>
      </c>
      <c r="D552" s="2">
        <v>45886</v>
      </c>
      <c r="E552" t="s">
        <v>2</v>
      </c>
      <c r="F552" t="s">
        <v>3</v>
      </c>
      <c r="G552" t="s">
        <v>0</v>
      </c>
      <c r="H552" t="s">
        <v>4</v>
      </c>
      <c r="I552" t="s">
        <v>363</v>
      </c>
      <c r="J552" t="s">
        <v>6</v>
      </c>
      <c r="K552" t="s">
        <v>34</v>
      </c>
      <c r="L552" t="s">
        <v>35</v>
      </c>
      <c r="M552" t="s">
        <v>36</v>
      </c>
      <c r="N552" t="s">
        <v>10</v>
      </c>
      <c r="O552" t="s">
        <v>0</v>
      </c>
      <c r="P552" t="s">
        <v>11</v>
      </c>
      <c r="Q552" s="5">
        <v>35</v>
      </c>
      <c r="R552" s="4">
        <v>47500</v>
      </c>
      <c r="S552" s="5">
        <v>1</v>
      </c>
      <c r="T552" s="4">
        <v>1662500</v>
      </c>
      <c r="U552" s="5">
        <v>35</v>
      </c>
      <c r="V552" s="4">
        <v>1662500</v>
      </c>
      <c r="W552" s="5">
        <v>35</v>
      </c>
      <c r="X552" s="4">
        <v>1662500</v>
      </c>
      <c r="Y552" s="4">
        <f t="shared" si="16"/>
        <v>0</v>
      </c>
      <c r="Z552" t="s">
        <v>0</v>
      </c>
      <c r="AA552" t="s">
        <v>2</v>
      </c>
      <c r="AB552" t="s">
        <v>12</v>
      </c>
      <c r="AC552">
        <f>_xlfn.XLOOKUP(AB552,'[1]GST Codes'!$A:$A,'[1]GST Codes'!$C:$C,0,0)</f>
        <v>18</v>
      </c>
      <c r="AD552">
        <f t="shared" si="17"/>
        <v>0</v>
      </c>
      <c r="AE552" t="s">
        <v>13</v>
      </c>
      <c r="AF552" t="s">
        <v>0</v>
      </c>
      <c r="AG552" t="s">
        <v>14</v>
      </c>
      <c r="AH552" t="s">
        <v>15</v>
      </c>
      <c r="AI552" t="s">
        <v>16</v>
      </c>
      <c r="AJ552" t="s">
        <v>17</v>
      </c>
      <c r="AK552" t="s">
        <v>18</v>
      </c>
      <c r="AL552" t="s">
        <v>19</v>
      </c>
      <c r="AM552" t="s">
        <v>363</v>
      </c>
      <c r="AN552" t="s">
        <v>0</v>
      </c>
      <c r="AO552" t="s">
        <v>0</v>
      </c>
      <c r="AP552" t="s">
        <v>0</v>
      </c>
      <c r="AQ552" s="5">
        <v>35</v>
      </c>
      <c r="AR552" t="s">
        <v>11</v>
      </c>
      <c r="AS552" t="s">
        <v>0</v>
      </c>
      <c r="AT552" t="s">
        <v>17</v>
      </c>
      <c r="AU552" s="4">
        <v>0</v>
      </c>
      <c r="AV552" s="4">
        <v>0</v>
      </c>
      <c r="AW552" s="4">
        <v>0</v>
      </c>
      <c r="AX552" s="4">
        <v>0</v>
      </c>
      <c r="AY552" s="5">
        <v>0</v>
      </c>
      <c r="AZ552" s="5">
        <v>0</v>
      </c>
      <c r="BA552" s="5">
        <v>0</v>
      </c>
      <c r="BB552" s="2"/>
      <c r="BC552" t="s">
        <v>0</v>
      </c>
      <c r="BD552" s="5">
        <v>1</v>
      </c>
      <c r="BE552" t="s">
        <v>0</v>
      </c>
      <c r="BF552" t="s">
        <v>376</v>
      </c>
      <c r="BG552" t="s">
        <v>17</v>
      </c>
      <c r="BH552" t="s">
        <v>0</v>
      </c>
      <c r="BI552" t="s">
        <v>11</v>
      </c>
      <c r="BJ552" t="s">
        <v>0</v>
      </c>
      <c r="BK552" t="s">
        <v>0</v>
      </c>
      <c r="BL552" s="5">
        <v>0</v>
      </c>
      <c r="BM552" t="s">
        <v>0</v>
      </c>
      <c r="BN552" t="s">
        <v>0</v>
      </c>
      <c r="BO552" t="s">
        <v>0</v>
      </c>
      <c r="BP552" t="s">
        <v>17</v>
      </c>
      <c r="BQ552" t="s">
        <v>0</v>
      </c>
      <c r="BR552" t="s">
        <v>17</v>
      </c>
      <c r="BS552" t="s">
        <v>17</v>
      </c>
      <c r="BT552" t="s">
        <v>0</v>
      </c>
      <c r="BU552" t="s">
        <v>0</v>
      </c>
      <c r="BV552" t="s">
        <v>0</v>
      </c>
      <c r="BW552" t="s">
        <v>0</v>
      </c>
      <c r="BX552" t="s">
        <v>0</v>
      </c>
      <c r="BY552" t="s">
        <v>0</v>
      </c>
      <c r="BZ552" t="s">
        <v>0</v>
      </c>
      <c r="CA552" t="s">
        <v>0</v>
      </c>
      <c r="CB552" t="s">
        <v>0</v>
      </c>
    </row>
    <row r="553" spans="1:80" x14ac:dyDescent="0.25">
      <c r="A553" t="s">
        <v>375</v>
      </c>
      <c r="B553" s="2">
        <v>45855</v>
      </c>
      <c r="C553" s="2">
        <v>45855</v>
      </c>
      <c r="D553" s="2">
        <v>45886</v>
      </c>
      <c r="E553" t="s">
        <v>2</v>
      </c>
      <c r="F553" t="s">
        <v>3</v>
      </c>
      <c r="G553" t="s">
        <v>0</v>
      </c>
      <c r="H553" t="s">
        <v>4</v>
      </c>
      <c r="I553" t="s">
        <v>363</v>
      </c>
      <c r="J553" t="s">
        <v>6</v>
      </c>
      <c r="K553" t="s">
        <v>38</v>
      </c>
      <c r="L553" t="s">
        <v>35</v>
      </c>
      <c r="M553" t="s">
        <v>36</v>
      </c>
      <c r="N553" t="s">
        <v>10</v>
      </c>
      <c r="O553" t="s">
        <v>0</v>
      </c>
      <c r="P553" t="s">
        <v>11</v>
      </c>
      <c r="Q553" s="5">
        <v>35</v>
      </c>
      <c r="R553" s="4">
        <v>47500</v>
      </c>
      <c r="S553" s="5">
        <v>1</v>
      </c>
      <c r="T553" s="4">
        <v>1662500</v>
      </c>
      <c r="U553" s="5">
        <v>35</v>
      </c>
      <c r="V553" s="4">
        <v>1662500</v>
      </c>
      <c r="W553" s="5">
        <v>35</v>
      </c>
      <c r="X553" s="4">
        <v>1662500</v>
      </c>
      <c r="Y553" s="4">
        <f t="shared" si="16"/>
        <v>0</v>
      </c>
      <c r="Z553" t="s">
        <v>0</v>
      </c>
      <c r="AA553" t="s">
        <v>2</v>
      </c>
      <c r="AB553" t="s">
        <v>12</v>
      </c>
      <c r="AC553">
        <f>_xlfn.XLOOKUP(AB553,'[1]GST Codes'!$A:$A,'[1]GST Codes'!$C:$C,0,0)</f>
        <v>18</v>
      </c>
      <c r="AD553">
        <f t="shared" si="17"/>
        <v>0</v>
      </c>
      <c r="AE553" t="s">
        <v>13</v>
      </c>
      <c r="AF553" t="s">
        <v>0</v>
      </c>
      <c r="AG553" t="s">
        <v>14</v>
      </c>
      <c r="AH553" t="s">
        <v>15</v>
      </c>
      <c r="AI553" t="s">
        <v>16</v>
      </c>
      <c r="AJ553" t="s">
        <v>17</v>
      </c>
      <c r="AK553" t="s">
        <v>18</v>
      </c>
      <c r="AL553" t="s">
        <v>19</v>
      </c>
      <c r="AM553" t="s">
        <v>363</v>
      </c>
      <c r="AN553" t="s">
        <v>0</v>
      </c>
      <c r="AO553" t="s">
        <v>0</v>
      </c>
      <c r="AP553" t="s">
        <v>0</v>
      </c>
      <c r="AQ553" s="5">
        <v>35</v>
      </c>
      <c r="AR553" t="s">
        <v>11</v>
      </c>
      <c r="AS553" t="s">
        <v>0</v>
      </c>
      <c r="AT553" t="s">
        <v>17</v>
      </c>
      <c r="AU553" s="4">
        <v>0</v>
      </c>
      <c r="AV553" s="4">
        <v>0</v>
      </c>
      <c r="AW553" s="4">
        <v>0</v>
      </c>
      <c r="AX553" s="4">
        <v>0</v>
      </c>
      <c r="AY553" s="5">
        <v>0</v>
      </c>
      <c r="AZ553" s="5">
        <v>0</v>
      </c>
      <c r="BA553" s="5">
        <v>0</v>
      </c>
      <c r="BB553" s="2"/>
      <c r="BC553" t="s">
        <v>0</v>
      </c>
      <c r="BD553" s="5">
        <v>1</v>
      </c>
      <c r="BE553" t="s">
        <v>0</v>
      </c>
      <c r="BF553" t="s">
        <v>376</v>
      </c>
      <c r="BG553" t="s">
        <v>17</v>
      </c>
      <c r="BH553" t="s">
        <v>0</v>
      </c>
      <c r="BI553" t="s">
        <v>11</v>
      </c>
      <c r="BJ553" t="s">
        <v>0</v>
      </c>
      <c r="BK553" t="s">
        <v>0</v>
      </c>
      <c r="BL553" s="5">
        <v>0</v>
      </c>
      <c r="BM553" t="s">
        <v>0</v>
      </c>
      <c r="BN553" t="s">
        <v>0</v>
      </c>
      <c r="BO553" t="s">
        <v>0</v>
      </c>
      <c r="BP553" t="s">
        <v>17</v>
      </c>
      <c r="BQ553" t="s">
        <v>0</v>
      </c>
      <c r="BR553" t="s">
        <v>17</v>
      </c>
      <c r="BS553" t="s">
        <v>17</v>
      </c>
      <c r="BT553" t="s">
        <v>0</v>
      </c>
      <c r="BU553" t="s">
        <v>0</v>
      </c>
      <c r="BV553" t="s">
        <v>0</v>
      </c>
      <c r="BW553" t="s">
        <v>0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</row>
    <row r="554" spans="1:80" x14ac:dyDescent="0.25">
      <c r="A554" t="s">
        <v>375</v>
      </c>
      <c r="B554" s="2">
        <v>45855</v>
      </c>
      <c r="C554" s="2">
        <v>45855</v>
      </c>
      <c r="D554" s="2">
        <v>45886</v>
      </c>
      <c r="E554" t="s">
        <v>2</v>
      </c>
      <c r="F554" t="s">
        <v>3</v>
      </c>
      <c r="G554" t="s">
        <v>0</v>
      </c>
      <c r="H554" t="s">
        <v>4</v>
      </c>
      <c r="I554" t="s">
        <v>363</v>
      </c>
      <c r="J554" t="s">
        <v>6</v>
      </c>
      <c r="K554" t="s">
        <v>42</v>
      </c>
      <c r="L554" t="s">
        <v>35</v>
      </c>
      <c r="M554" t="s">
        <v>36</v>
      </c>
      <c r="N554" t="s">
        <v>10</v>
      </c>
      <c r="O554" t="s">
        <v>0</v>
      </c>
      <c r="P554" t="s">
        <v>11</v>
      </c>
      <c r="Q554" s="5">
        <v>65</v>
      </c>
      <c r="R554" s="4">
        <v>47500</v>
      </c>
      <c r="S554" s="5">
        <v>1</v>
      </c>
      <c r="T554" s="4">
        <v>3087500</v>
      </c>
      <c r="U554" s="5">
        <v>65</v>
      </c>
      <c r="V554" s="4">
        <v>3087500</v>
      </c>
      <c r="W554" s="5">
        <v>65</v>
      </c>
      <c r="X554" s="4">
        <v>3087500</v>
      </c>
      <c r="Y554" s="4">
        <f t="shared" si="16"/>
        <v>0</v>
      </c>
      <c r="Z554" t="s">
        <v>0</v>
      </c>
      <c r="AA554" t="s">
        <v>2</v>
      </c>
      <c r="AB554" t="s">
        <v>12</v>
      </c>
      <c r="AC554">
        <f>_xlfn.XLOOKUP(AB554,'[1]GST Codes'!$A:$A,'[1]GST Codes'!$C:$C,0,0)</f>
        <v>18</v>
      </c>
      <c r="AD554">
        <f t="shared" si="17"/>
        <v>0</v>
      </c>
      <c r="AE554" t="s">
        <v>13</v>
      </c>
      <c r="AF554" t="s">
        <v>0</v>
      </c>
      <c r="AG554" t="s">
        <v>14</v>
      </c>
      <c r="AH554" t="s">
        <v>15</v>
      </c>
      <c r="AI554" t="s">
        <v>16</v>
      </c>
      <c r="AJ554" t="s">
        <v>17</v>
      </c>
      <c r="AK554" t="s">
        <v>18</v>
      </c>
      <c r="AL554" t="s">
        <v>19</v>
      </c>
      <c r="AM554" t="s">
        <v>363</v>
      </c>
      <c r="AN554" t="s">
        <v>0</v>
      </c>
      <c r="AO554" t="s">
        <v>0</v>
      </c>
      <c r="AP554" t="s">
        <v>0</v>
      </c>
      <c r="AQ554" s="5">
        <v>65</v>
      </c>
      <c r="AR554" t="s">
        <v>11</v>
      </c>
      <c r="AS554" t="s">
        <v>0</v>
      </c>
      <c r="AT554" t="s">
        <v>17</v>
      </c>
      <c r="AU554" s="4">
        <v>0</v>
      </c>
      <c r="AV554" s="4">
        <v>0</v>
      </c>
      <c r="AW554" s="4">
        <v>0</v>
      </c>
      <c r="AX554" s="4">
        <v>0</v>
      </c>
      <c r="AY554" s="5">
        <v>0</v>
      </c>
      <c r="AZ554" s="5">
        <v>0</v>
      </c>
      <c r="BA554" s="5">
        <v>0</v>
      </c>
      <c r="BB554" s="2"/>
      <c r="BC554" t="s">
        <v>0</v>
      </c>
      <c r="BD554" s="5">
        <v>1</v>
      </c>
      <c r="BE554" t="s">
        <v>0</v>
      </c>
      <c r="BF554" t="s">
        <v>376</v>
      </c>
      <c r="BG554" t="s">
        <v>17</v>
      </c>
      <c r="BH554" t="s">
        <v>0</v>
      </c>
      <c r="BI554" t="s">
        <v>11</v>
      </c>
      <c r="BJ554" t="s">
        <v>0</v>
      </c>
      <c r="BK554" t="s">
        <v>0</v>
      </c>
      <c r="BL554" s="5">
        <v>0</v>
      </c>
      <c r="BM554" t="s">
        <v>0</v>
      </c>
      <c r="BN554" t="s">
        <v>0</v>
      </c>
      <c r="BO554" t="s">
        <v>0</v>
      </c>
      <c r="BP554" t="s">
        <v>17</v>
      </c>
      <c r="BQ554" t="s">
        <v>0</v>
      </c>
      <c r="BR554" t="s">
        <v>17</v>
      </c>
      <c r="BS554" t="s">
        <v>17</v>
      </c>
      <c r="BT554" t="s">
        <v>0</v>
      </c>
      <c r="BU554" t="s">
        <v>0</v>
      </c>
      <c r="BV554" t="s">
        <v>0</v>
      </c>
      <c r="BW554" t="s">
        <v>0</v>
      </c>
      <c r="BX554" t="s">
        <v>0</v>
      </c>
      <c r="BY554" t="s">
        <v>0</v>
      </c>
      <c r="BZ554" t="s">
        <v>0</v>
      </c>
      <c r="CA554" t="s">
        <v>0</v>
      </c>
      <c r="CB554" t="s">
        <v>0</v>
      </c>
    </row>
    <row r="555" spans="1:80" x14ac:dyDescent="0.25">
      <c r="A555" t="s">
        <v>375</v>
      </c>
      <c r="B555" s="2">
        <v>45855</v>
      </c>
      <c r="C555" s="2">
        <v>45855</v>
      </c>
      <c r="D555" s="2">
        <v>45886</v>
      </c>
      <c r="E555" t="s">
        <v>2</v>
      </c>
      <c r="F555" t="s">
        <v>3</v>
      </c>
      <c r="G555" t="s">
        <v>0</v>
      </c>
      <c r="H555" t="s">
        <v>4</v>
      </c>
      <c r="I555" t="s">
        <v>363</v>
      </c>
      <c r="J555" t="s">
        <v>6</v>
      </c>
      <c r="K555" t="s">
        <v>86</v>
      </c>
      <c r="L555" t="s">
        <v>35</v>
      </c>
      <c r="M555" t="s">
        <v>36</v>
      </c>
      <c r="N555" t="s">
        <v>10</v>
      </c>
      <c r="O555" t="s">
        <v>0</v>
      </c>
      <c r="P555" t="s">
        <v>11</v>
      </c>
      <c r="Q555" s="5">
        <v>55</v>
      </c>
      <c r="R555" s="4">
        <v>47500</v>
      </c>
      <c r="S555" s="5">
        <v>1</v>
      </c>
      <c r="T555" s="4">
        <v>2612500</v>
      </c>
      <c r="U555" s="5">
        <v>55</v>
      </c>
      <c r="V555" s="4">
        <v>2612500</v>
      </c>
      <c r="W555" s="5">
        <v>55</v>
      </c>
      <c r="X555" s="4">
        <v>2612500</v>
      </c>
      <c r="Y555" s="4">
        <f t="shared" si="16"/>
        <v>0</v>
      </c>
      <c r="Z555" t="s">
        <v>0</v>
      </c>
      <c r="AA555" t="s">
        <v>2</v>
      </c>
      <c r="AB555" t="s">
        <v>12</v>
      </c>
      <c r="AC555">
        <f>_xlfn.XLOOKUP(AB555,'[1]GST Codes'!$A:$A,'[1]GST Codes'!$C:$C,0,0)</f>
        <v>18</v>
      </c>
      <c r="AD555">
        <f t="shared" si="17"/>
        <v>0</v>
      </c>
      <c r="AE555" t="s">
        <v>13</v>
      </c>
      <c r="AF555" t="s">
        <v>0</v>
      </c>
      <c r="AG555" t="s">
        <v>14</v>
      </c>
      <c r="AH555" t="s">
        <v>15</v>
      </c>
      <c r="AI555" t="s">
        <v>16</v>
      </c>
      <c r="AJ555" t="s">
        <v>17</v>
      </c>
      <c r="AK555" t="s">
        <v>18</v>
      </c>
      <c r="AL555" t="s">
        <v>19</v>
      </c>
      <c r="AM555" t="s">
        <v>363</v>
      </c>
      <c r="AN555" t="s">
        <v>0</v>
      </c>
      <c r="AO555" t="s">
        <v>0</v>
      </c>
      <c r="AP555" t="s">
        <v>0</v>
      </c>
      <c r="AQ555" s="5">
        <v>55</v>
      </c>
      <c r="AR555" t="s">
        <v>11</v>
      </c>
      <c r="AS555" t="s">
        <v>0</v>
      </c>
      <c r="AT555" t="s">
        <v>17</v>
      </c>
      <c r="AU555" s="4">
        <v>0</v>
      </c>
      <c r="AV555" s="4">
        <v>0</v>
      </c>
      <c r="AW555" s="4">
        <v>0</v>
      </c>
      <c r="AX555" s="4">
        <v>0</v>
      </c>
      <c r="AY555" s="5">
        <v>0</v>
      </c>
      <c r="AZ555" s="5">
        <v>0</v>
      </c>
      <c r="BA555" s="5">
        <v>0</v>
      </c>
      <c r="BB555" s="2"/>
      <c r="BC555" t="s">
        <v>0</v>
      </c>
      <c r="BD555" s="5">
        <v>1</v>
      </c>
      <c r="BE555" t="s">
        <v>0</v>
      </c>
      <c r="BF555" t="s">
        <v>376</v>
      </c>
      <c r="BG555" t="s">
        <v>17</v>
      </c>
      <c r="BH555" t="s">
        <v>0</v>
      </c>
      <c r="BI555" t="s">
        <v>11</v>
      </c>
      <c r="BJ555" t="s">
        <v>0</v>
      </c>
      <c r="BK555" t="s">
        <v>0</v>
      </c>
      <c r="BL555" s="5">
        <v>0</v>
      </c>
      <c r="BM555" t="s">
        <v>0</v>
      </c>
      <c r="BN555" t="s">
        <v>0</v>
      </c>
      <c r="BO555" t="s">
        <v>0</v>
      </c>
      <c r="BP555" t="s">
        <v>17</v>
      </c>
      <c r="BQ555" t="s">
        <v>0</v>
      </c>
      <c r="BR555" t="s">
        <v>17</v>
      </c>
      <c r="BS555" t="s">
        <v>17</v>
      </c>
      <c r="BT555" t="s">
        <v>0</v>
      </c>
      <c r="BU555" t="s">
        <v>0</v>
      </c>
      <c r="BV555" t="s">
        <v>0</v>
      </c>
      <c r="BW555" t="s">
        <v>0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</row>
    <row r="556" spans="1:80" x14ac:dyDescent="0.25">
      <c r="A556" t="s">
        <v>375</v>
      </c>
      <c r="B556" s="2">
        <v>45855</v>
      </c>
      <c r="C556" s="2">
        <v>45855</v>
      </c>
      <c r="D556" s="2">
        <v>45886</v>
      </c>
      <c r="E556" t="s">
        <v>2</v>
      </c>
      <c r="F556" t="s">
        <v>3</v>
      </c>
      <c r="G556" t="s">
        <v>0</v>
      </c>
      <c r="H556" t="s">
        <v>4</v>
      </c>
      <c r="I556" t="s">
        <v>363</v>
      </c>
      <c r="J556" t="s">
        <v>6</v>
      </c>
      <c r="K556" t="s">
        <v>87</v>
      </c>
      <c r="L556" t="s">
        <v>74</v>
      </c>
      <c r="M556" t="s">
        <v>75</v>
      </c>
      <c r="N556" t="s">
        <v>10</v>
      </c>
      <c r="O556" t="s">
        <v>0</v>
      </c>
      <c r="P556" t="s">
        <v>11</v>
      </c>
      <c r="Q556" s="5">
        <v>15</v>
      </c>
      <c r="R556" s="4">
        <v>46500</v>
      </c>
      <c r="S556" s="5">
        <v>1</v>
      </c>
      <c r="T556" s="4">
        <v>697500</v>
      </c>
      <c r="U556" s="5">
        <v>15</v>
      </c>
      <c r="V556" s="4">
        <v>697500</v>
      </c>
      <c r="W556" s="5">
        <v>15</v>
      </c>
      <c r="X556" s="4">
        <v>697500</v>
      </c>
      <c r="Y556" s="4">
        <f t="shared" si="16"/>
        <v>0</v>
      </c>
      <c r="Z556" t="s">
        <v>0</v>
      </c>
      <c r="AA556" t="s">
        <v>2</v>
      </c>
      <c r="AB556" t="s">
        <v>12</v>
      </c>
      <c r="AC556">
        <f>_xlfn.XLOOKUP(AB556,'[1]GST Codes'!$A:$A,'[1]GST Codes'!$C:$C,0,0)</f>
        <v>18</v>
      </c>
      <c r="AD556">
        <f t="shared" si="17"/>
        <v>0</v>
      </c>
      <c r="AE556" t="s">
        <v>13</v>
      </c>
      <c r="AF556" t="s">
        <v>0</v>
      </c>
      <c r="AG556" t="s">
        <v>14</v>
      </c>
      <c r="AH556" t="s">
        <v>15</v>
      </c>
      <c r="AI556" t="s">
        <v>16</v>
      </c>
      <c r="AJ556" t="s">
        <v>17</v>
      </c>
      <c r="AK556" t="s">
        <v>18</v>
      </c>
      <c r="AL556" t="s">
        <v>19</v>
      </c>
      <c r="AM556" t="s">
        <v>363</v>
      </c>
      <c r="AN556" t="s">
        <v>0</v>
      </c>
      <c r="AO556" t="s">
        <v>0</v>
      </c>
      <c r="AP556" t="s">
        <v>0</v>
      </c>
      <c r="AQ556" s="5">
        <v>15</v>
      </c>
      <c r="AR556" t="s">
        <v>11</v>
      </c>
      <c r="AS556" t="s">
        <v>0</v>
      </c>
      <c r="AT556" t="s">
        <v>17</v>
      </c>
      <c r="AU556" s="4">
        <v>0</v>
      </c>
      <c r="AV556" s="4">
        <v>0</v>
      </c>
      <c r="AW556" s="4">
        <v>0</v>
      </c>
      <c r="AX556" s="4">
        <v>0</v>
      </c>
      <c r="AY556" s="5">
        <v>0</v>
      </c>
      <c r="AZ556" s="5">
        <v>0</v>
      </c>
      <c r="BA556" s="5">
        <v>0</v>
      </c>
      <c r="BB556" s="2"/>
      <c r="BC556" t="s">
        <v>0</v>
      </c>
      <c r="BD556" s="5">
        <v>1</v>
      </c>
      <c r="BE556" t="s">
        <v>0</v>
      </c>
      <c r="BF556" t="s">
        <v>367</v>
      </c>
      <c r="BG556" t="s">
        <v>17</v>
      </c>
      <c r="BH556" t="s">
        <v>0</v>
      </c>
      <c r="BI556" t="s">
        <v>11</v>
      </c>
      <c r="BJ556" t="s">
        <v>0</v>
      </c>
      <c r="BK556" t="s">
        <v>0</v>
      </c>
      <c r="BL556" s="5">
        <v>0</v>
      </c>
      <c r="BM556" t="s">
        <v>0</v>
      </c>
      <c r="BN556" t="s">
        <v>0</v>
      </c>
      <c r="BO556" t="s">
        <v>0</v>
      </c>
      <c r="BP556" t="s">
        <v>17</v>
      </c>
      <c r="BQ556" t="s">
        <v>0</v>
      </c>
      <c r="BR556" t="s">
        <v>17</v>
      </c>
      <c r="BS556" t="s">
        <v>17</v>
      </c>
      <c r="BT556" t="s">
        <v>0</v>
      </c>
      <c r="BU556" t="s">
        <v>0</v>
      </c>
      <c r="BV556" t="s">
        <v>0</v>
      </c>
      <c r="BW556" t="s">
        <v>0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</row>
    <row r="557" spans="1:80" x14ac:dyDescent="0.25">
      <c r="A557" t="s">
        <v>375</v>
      </c>
      <c r="B557" s="2">
        <v>45855</v>
      </c>
      <c r="C557" s="2">
        <v>45855</v>
      </c>
      <c r="D557" s="2">
        <v>45886</v>
      </c>
      <c r="E557" t="s">
        <v>2</v>
      </c>
      <c r="F557" t="s">
        <v>3</v>
      </c>
      <c r="G557" t="s">
        <v>0</v>
      </c>
      <c r="H557" t="s">
        <v>4</v>
      </c>
      <c r="I557" t="s">
        <v>363</v>
      </c>
      <c r="J557" t="s">
        <v>6</v>
      </c>
      <c r="K557" t="s">
        <v>88</v>
      </c>
      <c r="L557" t="s">
        <v>74</v>
      </c>
      <c r="M557" t="s">
        <v>75</v>
      </c>
      <c r="N557" t="s">
        <v>10</v>
      </c>
      <c r="O557" t="s">
        <v>0</v>
      </c>
      <c r="P557" t="s">
        <v>11</v>
      </c>
      <c r="Q557" s="5">
        <v>15</v>
      </c>
      <c r="R557" s="4">
        <v>46500</v>
      </c>
      <c r="S557" s="5">
        <v>1</v>
      </c>
      <c r="T557" s="4">
        <v>697500</v>
      </c>
      <c r="U557" s="5">
        <v>15</v>
      </c>
      <c r="V557" s="4">
        <v>697500</v>
      </c>
      <c r="W557" s="5">
        <v>15</v>
      </c>
      <c r="X557" s="4">
        <v>697500</v>
      </c>
      <c r="Y557" s="4">
        <f t="shared" si="16"/>
        <v>0</v>
      </c>
      <c r="Z557" t="s">
        <v>0</v>
      </c>
      <c r="AA557" t="s">
        <v>2</v>
      </c>
      <c r="AB557" t="s">
        <v>12</v>
      </c>
      <c r="AC557">
        <f>_xlfn.XLOOKUP(AB557,'[1]GST Codes'!$A:$A,'[1]GST Codes'!$C:$C,0,0)</f>
        <v>18</v>
      </c>
      <c r="AD557">
        <f t="shared" si="17"/>
        <v>0</v>
      </c>
      <c r="AE557" t="s">
        <v>13</v>
      </c>
      <c r="AF557" t="s">
        <v>0</v>
      </c>
      <c r="AG557" t="s">
        <v>14</v>
      </c>
      <c r="AH557" t="s">
        <v>15</v>
      </c>
      <c r="AI557" t="s">
        <v>16</v>
      </c>
      <c r="AJ557" t="s">
        <v>17</v>
      </c>
      <c r="AK557" t="s">
        <v>18</v>
      </c>
      <c r="AL557" t="s">
        <v>19</v>
      </c>
      <c r="AM557" t="s">
        <v>363</v>
      </c>
      <c r="AN557" t="s">
        <v>0</v>
      </c>
      <c r="AO557" t="s">
        <v>0</v>
      </c>
      <c r="AP557" t="s">
        <v>0</v>
      </c>
      <c r="AQ557" s="5">
        <v>15</v>
      </c>
      <c r="AR557" t="s">
        <v>11</v>
      </c>
      <c r="AS557" t="s">
        <v>0</v>
      </c>
      <c r="AT557" t="s">
        <v>17</v>
      </c>
      <c r="AU557" s="4">
        <v>0</v>
      </c>
      <c r="AV557" s="4">
        <v>0</v>
      </c>
      <c r="AW557" s="4">
        <v>0</v>
      </c>
      <c r="AX557" s="4">
        <v>0</v>
      </c>
      <c r="AY557" s="5">
        <v>0</v>
      </c>
      <c r="AZ557" s="5">
        <v>0</v>
      </c>
      <c r="BA557" s="5">
        <v>0</v>
      </c>
      <c r="BB557" s="2"/>
      <c r="BC557" t="s">
        <v>0</v>
      </c>
      <c r="BD557" s="5">
        <v>1</v>
      </c>
      <c r="BE557" t="s">
        <v>0</v>
      </c>
      <c r="BF557" t="s">
        <v>367</v>
      </c>
      <c r="BG557" t="s">
        <v>17</v>
      </c>
      <c r="BH557" t="s">
        <v>0</v>
      </c>
      <c r="BI557" t="s">
        <v>11</v>
      </c>
      <c r="BJ557" t="s">
        <v>0</v>
      </c>
      <c r="BK557" t="s">
        <v>0</v>
      </c>
      <c r="BL557" s="5">
        <v>0</v>
      </c>
      <c r="BM557" t="s">
        <v>0</v>
      </c>
      <c r="BN557" t="s">
        <v>0</v>
      </c>
      <c r="BO557" t="s">
        <v>0</v>
      </c>
      <c r="BP557" t="s">
        <v>17</v>
      </c>
      <c r="BQ557" t="s">
        <v>0</v>
      </c>
      <c r="BR557" t="s">
        <v>17</v>
      </c>
      <c r="BS557" t="s">
        <v>17</v>
      </c>
      <c r="BT557" t="s">
        <v>0</v>
      </c>
      <c r="BU557" t="s">
        <v>0</v>
      </c>
      <c r="BV557" t="s">
        <v>0</v>
      </c>
      <c r="BW557" t="s">
        <v>0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</row>
    <row r="558" spans="1:80" x14ac:dyDescent="0.25">
      <c r="A558" t="s">
        <v>375</v>
      </c>
      <c r="B558" s="2">
        <v>45855</v>
      </c>
      <c r="C558" s="2">
        <v>45855</v>
      </c>
      <c r="D558" s="2">
        <v>45886</v>
      </c>
      <c r="E558" t="s">
        <v>2</v>
      </c>
      <c r="F558" t="s">
        <v>3</v>
      </c>
      <c r="G558" t="s">
        <v>0</v>
      </c>
      <c r="H558" t="s">
        <v>4</v>
      </c>
      <c r="I558" t="s">
        <v>363</v>
      </c>
      <c r="J558" t="s">
        <v>6</v>
      </c>
      <c r="K558" t="s">
        <v>89</v>
      </c>
      <c r="L558" t="s">
        <v>74</v>
      </c>
      <c r="M558" t="s">
        <v>75</v>
      </c>
      <c r="N558" t="s">
        <v>10</v>
      </c>
      <c r="O558" t="s">
        <v>0</v>
      </c>
      <c r="P558" t="s">
        <v>11</v>
      </c>
      <c r="Q558" s="5">
        <v>15</v>
      </c>
      <c r="R558" s="4">
        <v>46500</v>
      </c>
      <c r="S558" s="5">
        <v>1</v>
      </c>
      <c r="T558" s="4">
        <v>697500</v>
      </c>
      <c r="U558" s="5">
        <v>15</v>
      </c>
      <c r="V558" s="4">
        <v>697500</v>
      </c>
      <c r="W558" s="5">
        <v>15</v>
      </c>
      <c r="X558" s="4">
        <v>697500</v>
      </c>
      <c r="Y558" s="4">
        <f t="shared" si="16"/>
        <v>0</v>
      </c>
      <c r="Z558" t="s">
        <v>0</v>
      </c>
      <c r="AA558" t="s">
        <v>2</v>
      </c>
      <c r="AB558" t="s">
        <v>12</v>
      </c>
      <c r="AC558">
        <f>_xlfn.XLOOKUP(AB558,'[1]GST Codes'!$A:$A,'[1]GST Codes'!$C:$C,0,0)</f>
        <v>18</v>
      </c>
      <c r="AD558">
        <f t="shared" si="17"/>
        <v>0</v>
      </c>
      <c r="AE558" t="s">
        <v>13</v>
      </c>
      <c r="AF558" t="s">
        <v>0</v>
      </c>
      <c r="AG558" t="s">
        <v>14</v>
      </c>
      <c r="AH558" t="s">
        <v>15</v>
      </c>
      <c r="AI558" t="s">
        <v>16</v>
      </c>
      <c r="AJ558" t="s">
        <v>17</v>
      </c>
      <c r="AK558" t="s">
        <v>18</v>
      </c>
      <c r="AL558" t="s">
        <v>19</v>
      </c>
      <c r="AM558" t="s">
        <v>363</v>
      </c>
      <c r="AN558" t="s">
        <v>0</v>
      </c>
      <c r="AO558" t="s">
        <v>0</v>
      </c>
      <c r="AP558" t="s">
        <v>0</v>
      </c>
      <c r="AQ558" s="5">
        <v>15</v>
      </c>
      <c r="AR558" t="s">
        <v>11</v>
      </c>
      <c r="AS558" t="s">
        <v>0</v>
      </c>
      <c r="AT558" t="s">
        <v>17</v>
      </c>
      <c r="AU558" s="4">
        <v>0</v>
      </c>
      <c r="AV558" s="4">
        <v>0</v>
      </c>
      <c r="AW558" s="4">
        <v>0</v>
      </c>
      <c r="AX558" s="4">
        <v>0</v>
      </c>
      <c r="AY558" s="5">
        <v>0</v>
      </c>
      <c r="AZ558" s="5">
        <v>0</v>
      </c>
      <c r="BA558" s="5">
        <v>0</v>
      </c>
      <c r="BB558" s="2"/>
      <c r="BC558" t="s">
        <v>0</v>
      </c>
      <c r="BD558" s="5">
        <v>1</v>
      </c>
      <c r="BE558" t="s">
        <v>0</v>
      </c>
      <c r="BF558" t="s">
        <v>367</v>
      </c>
      <c r="BG558" t="s">
        <v>17</v>
      </c>
      <c r="BH558" t="s">
        <v>0</v>
      </c>
      <c r="BI558" t="s">
        <v>11</v>
      </c>
      <c r="BJ558" t="s">
        <v>0</v>
      </c>
      <c r="BK558" t="s">
        <v>0</v>
      </c>
      <c r="BL558" s="5">
        <v>0</v>
      </c>
      <c r="BM558" t="s">
        <v>0</v>
      </c>
      <c r="BN558" t="s">
        <v>0</v>
      </c>
      <c r="BO558" t="s">
        <v>0</v>
      </c>
      <c r="BP558" t="s">
        <v>17</v>
      </c>
      <c r="BQ558" t="s">
        <v>0</v>
      </c>
      <c r="BR558" t="s">
        <v>17</v>
      </c>
      <c r="BS558" t="s">
        <v>17</v>
      </c>
      <c r="BT558" t="s">
        <v>0</v>
      </c>
      <c r="BU558" t="s">
        <v>0</v>
      </c>
      <c r="BV558" t="s">
        <v>0</v>
      </c>
      <c r="BW558" t="s">
        <v>0</v>
      </c>
      <c r="BX558" t="s">
        <v>0</v>
      </c>
      <c r="BY558" t="s">
        <v>0</v>
      </c>
      <c r="BZ558" t="s">
        <v>0</v>
      </c>
      <c r="CA558" t="s">
        <v>0</v>
      </c>
      <c r="CB558" t="s">
        <v>0</v>
      </c>
    </row>
    <row r="559" spans="1:80" x14ac:dyDescent="0.25">
      <c r="A559" t="s">
        <v>375</v>
      </c>
      <c r="B559" s="2">
        <v>45855</v>
      </c>
      <c r="C559" s="2">
        <v>45855</v>
      </c>
      <c r="D559" s="2">
        <v>45886</v>
      </c>
      <c r="E559" t="s">
        <v>2</v>
      </c>
      <c r="F559" t="s">
        <v>3</v>
      </c>
      <c r="G559" t="s">
        <v>0</v>
      </c>
      <c r="H559" t="s">
        <v>4</v>
      </c>
      <c r="I559" t="s">
        <v>363</v>
      </c>
      <c r="J559" t="s">
        <v>6</v>
      </c>
      <c r="K559" t="s">
        <v>90</v>
      </c>
      <c r="L559" t="s">
        <v>74</v>
      </c>
      <c r="M559" t="s">
        <v>75</v>
      </c>
      <c r="N559" t="s">
        <v>10</v>
      </c>
      <c r="O559" t="s">
        <v>0</v>
      </c>
      <c r="P559" t="s">
        <v>11</v>
      </c>
      <c r="Q559" s="5">
        <v>15</v>
      </c>
      <c r="R559" s="4">
        <v>46500</v>
      </c>
      <c r="S559" s="5">
        <v>1</v>
      </c>
      <c r="T559" s="4">
        <v>697500</v>
      </c>
      <c r="U559" s="5">
        <v>15</v>
      </c>
      <c r="V559" s="4">
        <v>697500</v>
      </c>
      <c r="W559" s="5">
        <v>15</v>
      </c>
      <c r="X559" s="4">
        <v>697500</v>
      </c>
      <c r="Y559" s="4">
        <f t="shared" si="16"/>
        <v>0</v>
      </c>
      <c r="Z559" t="s">
        <v>0</v>
      </c>
      <c r="AA559" t="s">
        <v>2</v>
      </c>
      <c r="AB559" t="s">
        <v>12</v>
      </c>
      <c r="AC559">
        <f>_xlfn.XLOOKUP(AB559,'[1]GST Codes'!$A:$A,'[1]GST Codes'!$C:$C,0,0)</f>
        <v>18</v>
      </c>
      <c r="AD559">
        <f t="shared" si="17"/>
        <v>0</v>
      </c>
      <c r="AE559" t="s">
        <v>13</v>
      </c>
      <c r="AF559" t="s">
        <v>0</v>
      </c>
      <c r="AG559" t="s">
        <v>14</v>
      </c>
      <c r="AH559" t="s">
        <v>15</v>
      </c>
      <c r="AI559" t="s">
        <v>16</v>
      </c>
      <c r="AJ559" t="s">
        <v>17</v>
      </c>
      <c r="AK559" t="s">
        <v>18</v>
      </c>
      <c r="AL559" t="s">
        <v>19</v>
      </c>
      <c r="AM559" t="s">
        <v>363</v>
      </c>
      <c r="AN559" t="s">
        <v>0</v>
      </c>
      <c r="AO559" t="s">
        <v>0</v>
      </c>
      <c r="AP559" t="s">
        <v>0</v>
      </c>
      <c r="AQ559" s="5">
        <v>15</v>
      </c>
      <c r="AR559" t="s">
        <v>11</v>
      </c>
      <c r="AS559" t="s">
        <v>0</v>
      </c>
      <c r="AT559" t="s">
        <v>17</v>
      </c>
      <c r="AU559" s="4">
        <v>0</v>
      </c>
      <c r="AV559" s="4">
        <v>0</v>
      </c>
      <c r="AW559" s="4">
        <v>0</v>
      </c>
      <c r="AX559" s="4">
        <v>0</v>
      </c>
      <c r="AY559" s="5">
        <v>0</v>
      </c>
      <c r="AZ559" s="5">
        <v>0</v>
      </c>
      <c r="BA559" s="5">
        <v>0</v>
      </c>
      <c r="BB559" s="2"/>
      <c r="BC559" t="s">
        <v>0</v>
      </c>
      <c r="BD559" s="5">
        <v>1</v>
      </c>
      <c r="BE559" t="s">
        <v>0</v>
      </c>
      <c r="BF559" t="s">
        <v>367</v>
      </c>
      <c r="BG559" t="s">
        <v>17</v>
      </c>
      <c r="BH559" t="s">
        <v>0</v>
      </c>
      <c r="BI559" t="s">
        <v>11</v>
      </c>
      <c r="BJ559" t="s">
        <v>0</v>
      </c>
      <c r="BK559" t="s">
        <v>0</v>
      </c>
      <c r="BL559" s="5">
        <v>0</v>
      </c>
      <c r="BM559" t="s">
        <v>0</v>
      </c>
      <c r="BN559" t="s">
        <v>0</v>
      </c>
      <c r="BO559" t="s">
        <v>0</v>
      </c>
      <c r="BP559" t="s">
        <v>17</v>
      </c>
      <c r="BQ559" t="s">
        <v>0</v>
      </c>
      <c r="BR559" t="s">
        <v>17</v>
      </c>
      <c r="BS559" t="s">
        <v>17</v>
      </c>
      <c r="BT559" t="s">
        <v>0</v>
      </c>
      <c r="BU559" t="s">
        <v>0</v>
      </c>
      <c r="BV559" t="s">
        <v>0</v>
      </c>
      <c r="BW559" t="s">
        <v>0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</row>
    <row r="560" spans="1:80" x14ac:dyDescent="0.25">
      <c r="A560" t="s">
        <v>375</v>
      </c>
      <c r="B560" s="2">
        <v>45855</v>
      </c>
      <c r="C560" s="2">
        <v>45855</v>
      </c>
      <c r="D560" s="2">
        <v>45886</v>
      </c>
      <c r="E560" t="s">
        <v>2</v>
      </c>
      <c r="F560" t="s">
        <v>3</v>
      </c>
      <c r="G560" t="s">
        <v>0</v>
      </c>
      <c r="H560" t="s">
        <v>4</v>
      </c>
      <c r="I560" t="s">
        <v>363</v>
      </c>
      <c r="J560" t="s">
        <v>6</v>
      </c>
      <c r="K560" t="s">
        <v>177</v>
      </c>
      <c r="L560" t="s">
        <v>74</v>
      </c>
      <c r="M560" t="s">
        <v>75</v>
      </c>
      <c r="N560" t="s">
        <v>10</v>
      </c>
      <c r="O560" t="s">
        <v>0</v>
      </c>
      <c r="P560" t="s">
        <v>11</v>
      </c>
      <c r="Q560" s="5">
        <v>15</v>
      </c>
      <c r="R560" s="4">
        <v>46500</v>
      </c>
      <c r="S560" s="5">
        <v>1</v>
      </c>
      <c r="T560" s="4">
        <v>697500</v>
      </c>
      <c r="U560" s="5">
        <v>15</v>
      </c>
      <c r="V560" s="4">
        <v>697500</v>
      </c>
      <c r="W560" s="5">
        <v>15</v>
      </c>
      <c r="X560" s="4">
        <v>697500</v>
      </c>
      <c r="Y560" s="4">
        <f t="shared" si="16"/>
        <v>0</v>
      </c>
      <c r="Z560" t="s">
        <v>0</v>
      </c>
      <c r="AA560" t="s">
        <v>2</v>
      </c>
      <c r="AB560" t="s">
        <v>12</v>
      </c>
      <c r="AC560">
        <f>_xlfn.XLOOKUP(AB560,'[1]GST Codes'!$A:$A,'[1]GST Codes'!$C:$C,0,0)</f>
        <v>18</v>
      </c>
      <c r="AD560">
        <f t="shared" si="17"/>
        <v>0</v>
      </c>
      <c r="AE560" t="s">
        <v>13</v>
      </c>
      <c r="AF560" t="s">
        <v>0</v>
      </c>
      <c r="AG560" t="s">
        <v>14</v>
      </c>
      <c r="AH560" t="s">
        <v>15</v>
      </c>
      <c r="AI560" t="s">
        <v>16</v>
      </c>
      <c r="AJ560" t="s">
        <v>17</v>
      </c>
      <c r="AK560" t="s">
        <v>18</v>
      </c>
      <c r="AL560" t="s">
        <v>19</v>
      </c>
      <c r="AM560" t="s">
        <v>363</v>
      </c>
      <c r="AN560" t="s">
        <v>0</v>
      </c>
      <c r="AO560" t="s">
        <v>0</v>
      </c>
      <c r="AP560" t="s">
        <v>0</v>
      </c>
      <c r="AQ560" s="5">
        <v>15</v>
      </c>
      <c r="AR560" t="s">
        <v>11</v>
      </c>
      <c r="AS560" t="s">
        <v>0</v>
      </c>
      <c r="AT560" t="s">
        <v>17</v>
      </c>
      <c r="AU560" s="4">
        <v>0</v>
      </c>
      <c r="AV560" s="4">
        <v>0</v>
      </c>
      <c r="AW560" s="4">
        <v>0</v>
      </c>
      <c r="AX560" s="4">
        <v>0</v>
      </c>
      <c r="AY560" s="5">
        <v>0</v>
      </c>
      <c r="AZ560" s="5">
        <v>0</v>
      </c>
      <c r="BA560" s="5">
        <v>0</v>
      </c>
      <c r="BB560" s="2"/>
      <c r="BC560" t="s">
        <v>0</v>
      </c>
      <c r="BD560" s="5">
        <v>1</v>
      </c>
      <c r="BE560" t="s">
        <v>0</v>
      </c>
      <c r="BF560" t="s">
        <v>367</v>
      </c>
      <c r="BG560" t="s">
        <v>17</v>
      </c>
      <c r="BH560" t="s">
        <v>0</v>
      </c>
      <c r="BI560" t="s">
        <v>11</v>
      </c>
      <c r="BJ560" t="s">
        <v>0</v>
      </c>
      <c r="BK560" t="s">
        <v>0</v>
      </c>
      <c r="BL560" s="5">
        <v>0</v>
      </c>
      <c r="BM560" t="s">
        <v>0</v>
      </c>
      <c r="BN560" t="s">
        <v>0</v>
      </c>
      <c r="BO560" t="s">
        <v>0</v>
      </c>
      <c r="BP560" t="s">
        <v>17</v>
      </c>
      <c r="BQ560" t="s">
        <v>0</v>
      </c>
      <c r="BR560" t="s">
        <v>17</v>
      </c>
      <c r="BS560" t="s">
        <v>17</v>
      </c>
      <c r="BT560" t="s">
        <v>0</v>
      </c>
      <c r="BU560" t="s">
        <v>0</v>
      </c>
      <c r="BV560" t="s">
        <v>0</v>
      </c>
      <c r="BW560" t="s">
        <v>0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</row>
    <row r="561" spans="1:80" x14ac:dyDescent="0.25">
      <c r="A561" t="s">
        <v>375</v>
      </c>
      <c r="B561" s="2">
        <v>45855</v>
      </c>
      <c r="C561" s="2">
        <v>45855</v>
      </c>
      <c r="D561" s="2">
        <v>45886</v>
      </c>
      <c r="E561" t="s">
        <v>2</v>
      </c>
      <c r="F561" t="s">
        <v>3</v>
      </c>
      <c r="G561" t="s">
        <v>0</v>
      </c>
      <c r="H561" t="s">
        <v>4</v>
      </c>
      <c r="I561" t="s">
        <v>363</v>
      </c>
      <c r="J561" t="s">
        <v>6</v>
      </c>
      <c r="K561" t="s">
        <v>181</v>
      </c>
      <c r="L561" t="s">
        <v>74</v>
      </c>
      <c r="M561" t="s">
        <v>75</v>
      </c>
      <c r="N561" t="s">
        <v>10</v>
      </c>
      <c r="O561" t="s">
        <v>0</v>
      </c>
      <c r="P561" t="s">
        <v>11</v>
      </c>
      <c r="Q561" s="5">
        <v>15</v>
      </c>
      <c r="R561" s="4">
        <v>46500</v>
      </c>
      <c r="S561" s="5">
        <v>1</v>
      </c>
      <c r="T561" s="4">
        <v>697500</v>
      </c>
      <c r="U561" s="5">
        <v>15</v>
      </c>
      <c r="V561" s="4">
        <v>697500</v>
      </c>
      <c r="W561" s="5">
        <v>15</v>
      </c>
      <c r="X561" s="4">
        <v>697500</v>
      </c>
      <c r="Y561" s="4">
        <f t="shared" si="16"/>
        <v>0</v>
      </c>
      <c r="Z561" t="s">
        <v>0</v>
      </c>
      <c r="AA561" t="s">
        <v>2</v>
      </c>
      <c r="AB561" t="s">
        <v>12</v>
      </c>
      <c r="AC561">
        <f>_xlfn.XLOOKUP(AB561,'[1]GST Codes'!$A:$A,'[1]GST Codes'!$C:$C,0,0)</f>
        <v>18</v>
      </c>
      <c r="AD561">
        <f t="shared" si="17"/>
        <v>0</v>
      </c>
      <c r="AE561" t="s">
        <v>13</v>
      </c>
      <c r="AF561" t="s">
        <v>0</v>
      </c>
      <c r="AG561" t="s">
        <v>14</v>
      </c>
      <c r="AH561" t="s">
        <v>15</v>
      </c>
      <c r="AI561" t="s">
        <v>16</v>
      </c>
      <c r="AJ561" t="s">
        <v>17</v>
      </c>
      <c r="AK561" t="s">
        <v>18</v>
      </c>
      <c r="AL561" t="s">
        <v>19</v>
      </c>
      <c r="AM561" t="s">
        <v>363</v>
      </c>
      <c r="AN561" t="s">
        <v>0</v>
      </c>
      <c r="AO561" t="s">
        <v>0</v>
      </c>
      <c r="AP561" t="s">
        <v>0</v>
      </c>
      <c r="AQ561" s="5">
        <v>15</v>
      </c>
      <c r="AR561" t="s">
        <v>11</v>
      </c>
      <c r="AS561" t="s">
        <v>0</v>
      </c>
      <c r="AT561" t="s">
        <v>17</v>
      </c>
      <c r="AU561" s="4">
        <v>0</v>
      </c>
      <c r="AV561" s="4">
        <v>0</v>
      </c>
      <c r="AW561" s="4">
        <v>0</v>
      </c>
      <c r="AX561" s="4">
        <v>0</v>
      </c>
      <c r="AY561" s="5">
        <v>0</v>
      </c>
      <c r="AZ561" s="5">
        <v>0</v>
      </c>
      <c r="BA561" s="5">
        <v>0</v>
      </c>
      <c r="BB561" s="2"/>
      <c r="BC561" t="s">
        <v>0</v>
      </c>
      <c r="BD561" s="5">
        <v>1</v>
      </c>
      <c r="BE561" t="s">
        <v>0</v>
      </c>
      <c r="BF561" t="s">
        <v>367</v>
      </c>
      <c r="BG561" t="s">
        <v>17</v>
      </c>
      <c r="BH561" t="s">
        <v>0</v>
      </c>
      <c r="BI561" t="s">
        <v>11</v>
      </c>
      <c r="BJ561" t="s">
        <v>0</v>
      </c>
      <c r="BK561" t="s">
        <v>0</v>
      </c>
      <c r="BL561" s="5">
        <v>0</v>
      </c>
      <c r="BM561" t="s">
        <v>0</v>
      </c>
      <c r="BN561" t="s">
        <v>0</v>
      </c>
      <c r="BO561" t="s">
        <v>0</v>
      </c>
      <c r="BP561" t="s">
        <v>17</v>
      </c>
      <c r="BQ561" t="s">
        <v>0</v>
      </c>
      <c r="BR561" t="s">
        <v>17</v>
      </c>
      <c r="BS561" t="s">
        <v>17</v>
      </c>
      <c r="BT561" t="s">
        <v>0</v>
      </c>
      <c r="BU561" t="s">
        <v>0</v>
      </c>
      <c r="BV561" t="s">
        <v>0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</row>
    <row r="562" spans="1:80" x14ac:dyDescent="0.25">
      <c r="A562" t="s">
        <v>375</v>
      </c>
      <c r="B562" s="2">
        <v>45855</v>
      </c>
      <c r="C562" s="2">
        <v>45855</v>
      </c>
      <c r="D562" s="2">
        <v>45886</v>
      </c>
      <c r="E562" t="s">
        <v>2</v>
      </c>
      <c r="F562" t="s">
        <v>3</v>
      </c>
      <c r="G562" t="s">
        <v>0</v>
      </c>
      <c r="H562" t="s">
        <v>4</v>
      </c>
      <c r="I562" t="s">
        <v>363</v>
      </c>
      <c r="J562" t="s">
        <v>6</v>
      </c>
      <c r="K562" t="s">
        <v>185</v>
      </c>
      <c r="L562" t="s">
        <v>74</v>
      </c>
      <c r="M562" t="s">
        <v>75</v>
      </c>
      <c r="N562" t="s">
        <v>10</v>
      </c>
      <c r="O562" t="s">
        <v>0</v>
      </c>
      <c r="P562" t="s">
        <v>11</v>
      </c>
      <c r="Q562" s="5">
        <v>5</v>
      </c>
      <c r="R562" s="4">
        <v>46500</v>
      </c>
      <c r="S562" s="5">
        <v>1</v>
      </c>
      <c r="T562" s="4">
        <v>232500</v>
      </c>
      <c r="U562" s="5">
        <v>5</v>
      </c>
      <c r="V562" s="4">
        <v>232500</v>
      </c>
      <c r="W562" s="5">
        <v>5</v>
      </c>
      <c r="X562" s="4">
        <v>232500</v>
      </c>
      <c r="Y562" s="4">
        <f t="shared" si="16"/>
        <v>0</v>
      </c>
      <c r="Z562" t="s">
        <v>0</v>
      </c>
      <c r="AA562" t="s">
        <v>2</v>
      </c>
      <c r="AB562" t="s">
        <v>12</v>
      </c>
      <c r="AC562">
        <f>_xlfn.XLOOKUP(AB562,'[1]GST Codes'!$A:$A,'[1]GST Codes'!$C:$C,0,0)</f>
        <v>18</v>
      </c>
      <c r="AD562">
        <f t="shared" si="17"/>
        <v>0</v>
      </c>
      <c r="AE562" t="s">
        <v>13</v>
      </c>
      <c r="AF562" t="s">
        <v>0</v>
      </c>
      <c r="AG562" t="s">
        <v>14</v>
      </c>
      <c r="AH562" t="s">
        <v>15</v>
      </c>
      <c r="AI562" t="s">
        <v>16</v>
      </c>
      <c r="AJ562" t="s">
        <v>17</v>
      </c>
      <c r="AK562" t="s">
        <v>18</v>
      </c>
      <c r="AL562" t="s">
        <v>19</v>
      </c>
      <c r="AM562" t="s">
        <v>363</v>
      </c>
      <c r="AN562" t="s">
        <v>0</v>
      </c>
      <c r="AO562" t="s">
        <v>0</v>
      </c>
      <c r="AP562" t="s">
        <v>0</v>
      </c>
      <c r="AQ562" s="5">
        <v>5</v>
      </c>
      <c r="AR562" t="s">
        <v>11</v>
      </c>
      <c r="AS562" t="s">
        <v>0</v>
      </c>
      <c r="AT562" t="s">
        <v>17</v>
      </c>
      <c r="AU562" s="4">
        <v>0</v>
      </c>
      <c r="AV562" s="4">
        <v>0</v>
      </c>
      <c r="AW562" s="4">
        <v>0</v>
      </c>
      <c r="AX562" s="4">
        <v>0</v>
      </c>
      <c r="AY562" s="5">
        <v>0</v>
      </c>
      <c r="AZ562" s="5">
        <v>0</v>
      </c>
      <c r="BA562" s="5">
        <v>0</v>
      </c>
      <c r="BB562" s="2"/>
      <c r="BC562" t="s">
        <v>0</v>
      </c>
      <c r="BD562" s="5">
        <v>1</v>
      </c>
      <c r="BE562" t="s">
        <v>0</v>
      </c>
      <c r="BF562" t="s">
        <v>367</v>
      </c>
      <c r="BG562" t="s">
        <v>17</v>
      </c>
      <c r="BH562" t="s">
        <v>0</v>
      </c>
      <c r="BI562" t="s">
        <v>11</v>
      </c>
      <c r="BJ562" t="s">
        <v>0</v>
      </c>
      <c r="BK562" t="s">
        <v>0</v>
      </c>
      <c r="BL562" s="5">
        <v>0</v>
      </c>
      <c r="BM562" t="s">
        <v>0</v>
      </c>
      <c r="BN562" t="s">
        <v>0</v>
      </c>
      <c r="BO562" t="s">
        <v>0</v>
      </c>
      <c r="BP562" t="s">
        <v>17</v>
      </c>
      <c r="BQ562" t="s">
        <v>0</v>
      </c>
      <c r="BR562" t="s">
        <v>17</v>
      </c>
      <c r="BS562" t="s">
        <v>17</v>
      </c>
      <c r="BT562" t="s">
        <v>0</v>
      </c>
      <c r="BU562" t="s">
        <v>0</v>
      </c>
      <c r="BV562" t="s">
        <v>0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</row>
    <row r="563" spans="1:80" x14ac:dyDescent="0.25">
      <c r="A563" t="s">
        <v>375</v>
      </c>
      <c r="B563" s="2">
        <v>45855</v>
      </c>
      <c r="C563" s="2">
        <v>45855</v>
      </c>
      <c r="D563" s="2">
        <v>45886</v>
      </c>
      <c r="E563" t="s">
        <v>2</v>
      </c>
      <c r="F563" t="s">
        <v>3</v>
      </c>
      <c r="G563" t="s">
        <v>0</v>
      </c>
      <c r="H563" t="s">
        <v>4</v>
      </c>
      <c r="I563" t="s">
        <v>363</v>
      </c>
      <c r="J563" t="s">
        <v>6</v>
      </c>
      <c r="K563" t="s">
        <v>189</v>
      </c>
      <c r="L563" t="s">
        <v>74</v>
      </c>
      <c r="M563" t="s">
        <v>75</v>
      </c>
      <c r="N563" t="s">
        <v>10</v>
      </c>
      <c r="O563" t="s">
        <v>0</v>
      </c>
      <c r="P563" t="s">
        <v>11</v>
      </c>
      <c r="Q563" s="5">
        <v>15</v>
      </c>
      <c r="R563" s="4">
        <v>46500</v>
      </c>
      <c r="S563" s="5">
        <v>1</v>
      </c>
      <c r="T563" s="4">
        <v>697500</v>
      </c>
      <c r="U563" s="5">
        <v>15</v>
      </c>
      <c r="V563" s="4">
        <v>697500</v>
      </c>
      <c r="W563" s="5">
        <v>15</v>
      </c>
      <c r="X563" s="4">
        <v>697500</v>
      </c>
      <c r="Y563" s="4">
        <f t="shared" si="16"/>
        <v>0</v>
      </c>
      <c r="Z563" t="s">
        <v>0</v>
      </c>
      <c r="AA563" t="s">
        <v>2</v>
      </c>
      <c r="AB563" t="s">
        <v>12</v>
      </c>
      <c r="AC563">
        <f>_xlfn.XLOOKUP(AB563,'[1]GST Codes'!$A:$A,'[1]GST Codes'!$C:$C,0,0)</f>
        <v>18</v>
      </c>
      <c r="AD563">
        <f t="shared" si="17"/>
        <v>0</v>
      </c>
      <c r="AE563" t="s">
        <v>13</v>
      </c>
      <c r="AF563" t="s">
        <v>0</v>
      </c>
      <c r="AG563" t="s">
        <v>14</v>
      </c>
      <c r="AH563" t="s">
        <v>15</v>
      </c>
      <c r="AI563" t="s">
        <v>16</v>
      </c>
      <c r="AJ563" t="s">
        <v>17</v>
      </c>
      <c r="AK563" t="s">
        <v>18</v>
      </c>
      <c r="AL563" t="s">
        <v>19</v>
      </c>
      <c r="AM563" t="s">
        <v>363</v>
      </c>
      <c r="AN563" t="s">
        <v>0</v>
      </c>
      <c r="AO563" t="s">
        <v>0</v>
      </c>
      <c r="AP563" t="s">
        <v>0</v>
      </c>
      <c r="AQ563" s="5">
        <v>15</v>
      </c>
      <c r="AR563" t="s">
        <v>11</v>
      </c>
      <c r="AS563" t="s">
        <v>0</v>
      </c>
      <c r="AT563" t="s">
        <v>17</v>
      </c>
      <c r="AU563" s="4">
        <v>0</v>
      </c>
      <c r="AV563" s="4">
        <v>0</v>
      </c>
      <c r="AW563" s="4">
        <v>0</v>
      </c>
      <c r="AX563" s="4">
        <v>0</v>
      </c>
      <c r="AY563" s="5">
        <v>0</v>
      </c>
      <c r="AZ563" s="5">
        <v>0</v>
      </c>
      <c r="BA563" s="5">
        <v>0</v>
      </c>
      <c r="BB563" s="2"/>
      <c r="BC563" t="s">
        <v>0</v>
      </c>
      <c r="BD563" s="5">
        <v>1</v>
      </c>
      <c r="BE563" t="s">
        <v>0</v>
      </c>
      <c r="BF563" t="s">
        <v>367</v>
      </c>
      <c r="BG563" t="s">
        <v>17</v>
      </c>
      <c r="BH563" t="s">
        <v>0</v>
      </c>
      <c r="BI563" t="s">
        <v>11</v>
      </c>
      <c r="BJ563" t="s">
        <v>0</v>
      </c>
      <c r="BK563" t="s">
        <v>0</v>
      </c>
      <c r="BL563" s="5">
        <v>0</v>
      </c>
      <c r="BM563" t="s">
        <v>0</v>
      </c>
      <c r="BN563" t="s">
        <v>0</v>
      </c>
      <c r="BO563" t="s">
        <v>0</v>
      </c>
      <c r="BP563" t="s">
        <v>17</v>
      </c>
      <c r="BQ563" t="s">
        <v>0</v>
      </c>
      <c r="BR563" t="s">
        <v>17</v>
      </c>
      <c r="BS563" t="s">
        <v>17</v>
      </c>
      <c r="BT563" t="s">
        <v>0</v>
      </c>
      <c r="BU563" t="s">
        <v>0</v>
      </c>
      <c r="BV563" t="s">
        <v>0</v>
      </c>
      <c r="BW563" t="s">
        <v>0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</row>
    <row r="564" spans="1:80" x14ac:dyDescent="0.25">
      <c r="A564" t="s">
        <v>375</v>
      </c>
      <c r="B564" s="2">
        <v>45855</v>
      </c>
      <c r="C564" s="2">
        <v>45855</v>
      </c>
      <c r="D564" s="2">
        <v>45886</v>
      </c>
      <c r="E564" t="s">
        <v>2</v>
      </c>
      <c r="F564" t="s">
        <v>3</v>
      </c>
      <c r="G564" t="s">
        <v>0</v>
      </c>
      <c r="H564" t="s">
        <v>4</v>
      </c>
      <c r="I564" t="s">
        <v>363</v>
      </c>
      <c r="J564" t="s">
        <v>6</v>
      </c>
      <c r="K564" t="s">
        <v>193</v>
      </c>
      <c r="L564" t="s">
        <v>39</v>
      </c>
      <c r="M564" t="s">
        <v>40</v>
      </c>
      <c r="N564" t="s">
        <v>10</v>
      </c>
      <c r="O564" t="s">
        <v>0</v>
      </c>
      <c r="P564" t="s">
        <v>11</v>
      </c>
      <c r="Q564" s="5">
        <v>5</v>
      </c>
      <c r="R564" s="4">
        <v>46500</v>
      </c>
      <c r="S564" s="5">
        <v>1</v>
      </c>
      <c r="T564" s="4">
        <v>232500</v>
      </c>
      <c r="U564" s="5">
        <v>5</v>
      </c>
      <c r="V564" s="4">
        <v>232500</v>
      </c>
      <c r="W564" s="5">
        <v>5</v>
      </c>
      <c r="X564" s="4">
        <v>232500</v>
      </c>
      <c r="Y564" s="4">
        <f t="shared" si="16"/>
        <v>0</v>
      </c>
      <c r="Z564" t="s">
        <v>0</v>
      </c>
      <c r="AA564" t="s">
        <v>2</v>
      </c>
      <c r="AB564" t="s">
        <v>12</v>
      </c>
      <c r="AC564">
        <f>_xlfn.XLOOKUP(AB564,'[1]GST Codes'!$A:$A,'[1]GST Codes'!$C:$C,0,0)</f>
        <v>18</v>
      </c>
      <c r="AD564">
        <f t="shared" si="17"/>
        <v>0</v>
      </c>
      <c r="AE564" t="s">
        <v>13</v>
      </c>
      <c r="AF564" t="s">
        <v>0</v>
      </c>
      <c r="AG564" t="s">
        <v>14</v>
      </c>
      <c r="AH564" t="s">
        <v>15</v>
      </c>
      <c r="AI564" t="s">
        <v>16</v>
      </c>
      <c r="AJ564" t="s">
        <v>17</v>
      </c>
      <c r="AK564" t="s">
        <v>18</v>
      </c>
      <c r="AL564" t="s">
        <v>19</v>
      </c>
      <c r="AM564" t="s">
        <v>363</v>
      </c>
      <c r="AN564" t="s">
        <v>0</v>
      </c>
      <c r="AO564" t="s">
        <v>0</v>
      </c>
      <c r="AP564" t="s">
        <v>0</v>
      </c>
      <c r="AQ564" s="5">
        <v>5</v>
      </c>
      <c r="AR564" t="s">
        <v>11</v>
      </c>
      <c r="AS564" t="s">
        <v>0</v>
      </c>
      <c r="AT564" t="s">
        <v>17</v>
      </c>
      <c r="AU564" s="4">
        <v>0</v>
      </c>
      <c r="AV564" s="4">
        <v>0</v>
      </c>
      <c r="AW564" s="4">
        <v>0</v>
      </c>
      <c r="AX564" s="4">
        <v>0</v>
      </c>
      <c r="AY564" s="5">
        <v>0</v>
      </c>
      <c r="AZ564" s="5">
        <v>0</v>
      </c>
      <c r="BA564" s="5">
        <v>0</v>
      </c>
      <c r="BB564" s="2"/>
      <c r="BC564" t="s">
        <v>0</v>
      </c>
      <c r="BD564" s="5">
        <v>1</v>
      </c>
      <c r="BE564" t="s">
        <v>0</v>
      </c>
      <c r="BF564" t="s">
        <v>368</v>
      </c>
      <c r="BG564" t="s">
        <v>17</v>
      </c>
      <c r="BH564" t="s">
        <v>0</v>
      </c>
      <c r="BI564" t="s">
        <v>11</v>
      </c>
      <c r="BJ564" t="s">
        <v>0</v>
      </c>
      <c r="BK564" t="s">
        <v>0</v>
      </c>
      <c r="BL564" s="5">
        <v>0</v>
      </c>
      <c r="BM564" t="s">
        <v>0</v>
      </c>
      <c r="BN564" t="s">
        <v>0</v>
      </c>
      <c r="BO564" t="s">
        <v>0</v>
      </c>
      <c r="BP564" t="s">
        <v>17</v>
      </c>
      <c r="BQ564" t="s">
        <v>0</v>
      </c>
      <c r="BR564" t="s">
        <v>17</v>
      </c>
      <c r="BS564" t="s">
        <v>17</v>
      </c>
      <c r="BT564" t="s">
        <v>0</v>
      </c>
      <c r="BU564" t="s">
        <v>0</v>
      </c>
      <c r="BV564" t="s">
        <v>0</v>
      </c>
      <c r="BW564" t="s">
        <v>0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</row>
    <row r="565" spans="1:80" x14ac:dyDescent="0.25">
      <c r="A565" t="s">
        <v>375</v>
      </c>
      <c r="B565" s="2">
        <v>45855</v>
      </c>
      <c r="C565" s="2">
        <v>45855</v>
      </c>
      <c r="D565" s="2">
        <v>45886</v>
      </c>
      <c r="E565" t="s">
        <v>2</v>
      </c>
      <c r="F565" t="s">
        <v>3</v>
      </c>
      <c r="G565" t="s">
        <v>0</v>
      </c>
      <c r="H565" t="s">
        <v>4</v>
      </c>
      <c r="I565" t="s">
        <v>363</v>
      </c>
      <c r="J565" t="s">
        <v>6</v>
      </c>
      <c r="K565" t="s">
        <v>197</v>
      </c>
      <c r="L565" t="s">
        <v>39</v>
      </c>
      <c r="M565" t="s">
        <v>40</v>
      </c>
      <c r="N565" t="s">
        <v>10</v>
      </c>
      <c r="O565" t="s">
        <v>0</v>
      </c>
      <c r="P565" t="s">
        <v>11</v>
      </c>
      <c r="Q565" s="5">
        <v>5</v>
      </c>
      <c r="R565" s="4">
        <v>46500</v>
      </c>
      <c r="S565" s="5">
        <v>1</v>
      </c>
      <c r="T565" s="4">
        <v>232500</v>
      </c>
      <c r="U565" s="5">
        <v>5</v>
      </c>
      <c r="V565" s="4">
        <v>232500</v>
      </c>
      <c r="W565" s="5">
        <v>5</v>
      </c>
      <c r="X565" s="4">
        <v>232500</v>
      </c>
      <c r="Y565" s="4">
        <f t="shared" si="16"/>
        <v>0</v>
      </c>
      <c r="Z565" t="s">
        <v>0</v>
      </c>
      <c r="AA565" t="s">
        <v>2</v>
      </c>
      <c r="AB565" t="s">
        <v>12</v>
      </c>
      <c r="AC565">
        <f>_xlfn.XLOOKUP(AB565,'[1]GST Codes'!$A:$A,'[1]GST Codes'!$C:$C,0,0)</f>
        <v>18</v>
      </c>
      <c r="AD565">
        <f t="shared" si="17"/>
        <v>0</v>
      </c>
      <c r="AE565" t="s">
        <v>13</v>
      </c>
      <c r="AF565" t="s">
        <v>0</v>
      </c>
      <c r="AG565" t="s">
        <v>14</v>
      </c>
      <c r="AH565" t="s">
        <v>15</v>
      </c>
      <c r="AI565" t="s">
        <v>16</v>
      </c>
      <c r="AJ565" t="s">
        <v>17</v>
      </c>
      <c r="AK565" t="s">
        <v>18</v>
      </c>
      <c r="AL565" t="s">
        <v>19</v>
      </c>
      <c r="AM565" t="s">
        <v>363</v>
      </c>
      <c r="AN565" t="s">
        <v>0</v>
      </c>
      <c r="AO565" t="s">
        <v>0</v>
      </c>
      <c r="AP565" t="s">
        <v>0</v>
      </c>
      <c r="AQ565" s="5">
        <v>5</v>
      </c>
      <c r="AR565" t="s">
        <v>11</v>
      </c>
      <c r="AS565" t="s">
        <v>0</v>
      </c>
      <c r="AT565" t="s">
        <v>17</v>
      </c>
      <c r="AU565" s="4">
        <v>0</v>
      </c>
      <c r="AV565" s="4">
        <v>0</v>
      </c>
      <c r="AW565" s="4">
        <v>0</v>
      </c>
      <c r="AX565" s="4">
        <v>0</v>
      </c>
      <c r="AY565" s="5">
        <v>0</v>
      </c>
      <c r="AZ565" s="5">
        <v>0</v>
      </c>
      <c r="BA565" s="5">
        <v>0</v>
      </c>
      <c r="BB565" s="2"/>
      <c r="BC565" t="s">
        <v>0</v>
      </c>
      <c r="BD565" s="5">
        <v>1</v>
      </c>
      <c r="BE565" t="s">
        <v>0</v>
      </c>
      <c r="BF565" t="s">
        <v>368</v>
      </c>
      <c r="BG565" t="s">
        <v>17</v>
      </c>
      <c r="BH565" t="s">
        <v>0</v>
      </c>
      <c r="BI565" t="s">
        <v>11</v>
      </c>
      <c r="BJ565" t="s">
        <v>0</v>
      </c>
      <c r="BK565" t="s">
        <v>0</v>
      </c>
      <c r="BL565" s="5">
        <v>0</v>
      </c>
      <c r="BM565" t="s">
        <v>0</v>
      </c>
      <c r="BN565" t="s">
        <v>0</v>
      </c>
      <c r="BO565" t="s">
        <v>0</v>
      </c>
      <c r="BP565" t="s">
        <v>17</v>
      </c>
      <c r="BQ565" t="s">
        <v>0</v>
      </c>
      <c r="BR565" t="s">
        <v>17</v>
      </c>
      <c r="BS565" t="s">
        <v>17</v>
      </c>
      <c r="BT565" t="s">
        <v>0</v>
      </c>
      <c r="BU565" t="s">
        <v>0</v>
      </c>
      <c r="BV565" t="s">
        <v>0</v>
      </c>
      <c r="BW565" t="s">
        <v>0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</row>
    <row r="566" spans="1:80" x14ac:dyDescent="0.25">
      <c r="A566" t="s">
        <v>375</v>
      </c>
      <c r="B566" s="2">
        <v>45855</v>
      </c>
      <c r="C566" s="2">
        <v>45855</v>
      </c>
      <c r="D566" s="2">
        <v>45886</v>
      </c>
      <c r="E566" t="s">
        <v>2</v>
      </c>
      <c r="F566" t="s">
        <v>3</v>
      </c>
      <c r="G566" t="s">
        <v>0</v>
      </c>
      <c r="H566" t="s">
        <v>4</v>
      </c>
      <c r="I566" t="s">
        <v>363</v>
      </c>
      <c r="J566" t="s">
        <v>6</v>
      </c>
      <c r="K566" t="s">
        <v>201</v>
      </c>
      <c r="L566" t="s">
        <v>39</v>
      </c>
      <c r="M566" t="s">
        <v>40</v>
      </c>
      <c r="N566" t="s">
        <v>10</v>
      </c>
      <c r="O566" t="s">
        <v>0</v>
      </c>
      <c r="P566" t="s">
        <v>11</v>
      </c>
      <c r="Q566" s="5">
        <v>5</v>
      </c>
      <c r="R566" s="4">
        <v>46500</v>
      </c>
      <c r="S566" s="5">
        <v>1</v>
      </c>
      <c r="T566" s="4">
        <v>232500</v>
      </c>
      <c r="U566" s="5">
        <v>5</v>
      </c>
      <c r="V566" s="4">
        <v>232500</v>
      </c>
      <c r="W566" s="5">
        <v>5</v>
      </c>
      <c r="X566" s="4">
        <v>232500</v>
      </c>
      <c r="Y566" s="4">
        <f t="shared" si="16"/>
        <v>0</v>
      </c>
      <c r="Z566" t="s">
        <v>0</v>
      </c>
      <c r="AA566" t="s">
        <v>2</v>
      </c>
      <c r="AB566" t="s">
        <v>12</v>
      </c>
      <c r="AC566">
        <f>_xlfn.XLOOKUP(AB566,'[1]GST Codes'!$A:$A,'[1]GST Codes'!$C:$C,0,0)</f>
        <v>18</v>
      </c>
      <c r="AD566">
        <f t="shared" si="17"/>
        <v>0</v>
      </c>
      <c r="AE566" t="s">
        <v>13</v>
      </c>
      <c r="AF566" t="s">
        <v>0</v>
      </c>
      <c r="AG566" t="s">
        <v>14</v>
      </c>
      <c r="AH566" t="s">
        <v>15</v>
      </c>
      <c r="AI566" t="s">
        <v>16</v>
      </c>
      <c r="AJ566" t="s">
        <v>17</v>
      </c>
      <c r="AK566" t="s">
        <v>18</v>
      </c>
      <c r="AL566" t="s">
        <v>19</v>
      </c>
      <c r="AM566" t="s">
        <v>363</v>
      </c>
      <c r="AN566" t="s">
        <v>0</v>
      </c>
      <c r="AO566" t="s">
        <v>0</v>
      </c>
      <c r="AP566" t="s">
        <v>0</v>
      </c>
      <c r="AQ566" s="5">
        <v>5</v>
      </c>
      <c r="AR566" t="s">
        <v>11</v>
      </c>
      <c r="AS566" t="s">
        <v>0</v>
      </c>
      <c r="AT566" t="s">
        <v>17</v>
      </c>
      <c r="AU566" s="4">
        <v>0</v>
      </c>
      <c r="AV566" s="4">
        <v>0</v>
      </c>
      <c r="AW566" s="4">
        <v>0</v>
      </c>
      <c r="AX566" s="4">
        <v>0</v>
      </c>
      <c r="AY566" s="5">
        <v>0</v>
      </c>
      <c r="AZ566" s="5">
        <v>0</v>
      </c>
      <c r="BA566" s="5">
        <v>0</v>
      </c>
      <c r="BB566" s="2"/>
      <c r="BC566" t="s">
        <v>0</v>
      </c>
      <c r="BD566" s="5">
        <v>1</v>
      </c>
      <c r="BE566" t="s">
        <v>0</v>
      </c>
      <c r="BF566" t="s">
        <v>368</v>
      </c>
      <c r="BG566" t="s">
        <v>17</v>
      </c>
      <c r="BH566" t="s">
        <v>0</v>
      </c>
      <c r="BI566" t="s">
        <v>11</v>
      </c>
      <c r="BJ566" t="s">
        <v>0</v>
      </c>
      <c r="BK566" t="s">
        <v>0</v>
      </c>
      <c r="BL566" s="5">
        <v>0</v>
      </c>
      <c r="BM566" t="s">
        <v>0</v>
      </c>
      <c r="BN566" t="s">
        <v>0</v>
      </c>
      <c r="BO566" t="s">
        <v>0</v>
      </c>
      <c r="BP566" t="s">
        <v>17</v>
      </c>
      <c r="BQ566" t="s">
        <v>0</v>
      </c>
      <c r="BR566" t="s">
        <v>17</v>
      </c>
      <c r="BS566" t="s">
        <v>17</v>
      </c>
      <c r="BT566" t="s">
        <v>0</v>
      </c>
      <c r="BU566" t="s">
        <v>0</v>
      </c>
      <c r="BV566" t="s">
        <v>0</v>
      </c>
      <c r="BW566" t="s">
        <v>0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</row>
    <row r="567" spans="1:80" x14ac:dyDescent="0.25">
      <c r="A567" t="s">
        <v>375</v>
      </c>
      <c r="B567" s="2">
        <v>45855</v>
      </c>
      <c r="C567" s="2">
        <v>45855</v>
      </c>
      <c r="D567" s="2">
        <v>45886</v>
      </c>
      <c r="E567" t="s">
        <v>2</v>
      </c>
      <c r="F567" t="s">
        <v>3</v>
      </c>
      <c r="G567" t="s">
        <v>0</v>
      </c>
      <c r="H567" t="s">
        <v>4</v>
      </c>
      <c r="I567" t="s">
        <v>363</v>
      </c>
      <c r="J567" t="s">
        <v>6</v>
      </c>
      <c r="K567" t="s">
        <v>205</v>
      </c>
      <c r="L567" t="s">
        <v>39</v>
      </c>
      <c r="M567" t="s">
        <v>40</v>
      </c>
      <c r="N567" t="s">
        <v>10</v>
      </c>
      <c r="O567" t="s">
        <v>0</v>
      </c>
      <c r="P567" t="s">
        <v>11</v>
      </c>
      <c r="Q567" s="5">
        <v>5</v>
      </c>
      <c r="R567" s="4">
        <v>46500</v>
      </c>
      <c r="S567" s="5">
        <v>1</v>
      </c>
      <c r="T567" s="4">
        <v>232500</v>
      </c>
      <c r="U567" s="5">
        <v>5</v>
      </c>
      <c r="V567" s="4">
        <v>232500</v>
      </c>
      <c r="W567" s="5">
        <v>5</v>
      </c>
      <c r="X567" s="4">
        <v>232500</v>
      </c>
      <c r="Y567" s="4">
        <f t="shared" si="16"/>
        <v>0</v>
      </c>
      <c r="Z567" t="s">
        <v>0</v>
      </c>
      <c r="AA567" t="s">
        <v>2</v>
      </c>
      <c r="AB567" t="s">
        <v>12</v>
      </c>
      <c r="AC567">
        <f>_xlfn.XLOOKUP(AB567,'[1]GST Codes'!$A:$A,'[1]GST Codes'!$C:$C,0,0)</f>
        <v>18</v>
      </c>
      <c r="AD567">
        <f t="shared" si="17"/>
        <v>0</v>
      </c>
      <c r="AE567" t="s">
        <v>13</v>
      </c>
      <c r="AF567" t="s">
        <v>0</v>
      </c>
      <c r="AG567" t="s">
        <v>14</v>
      </c>
      <c r="AH567" t="s">
        <v>15</v>
      </c>
      <c r="AI567" t="s">
        <v>16</v>
      </c>
      <c r="AJ567" t="s">
        <v>17</v>
      </c>
      <c r="AK567" t="s">
        <v>18</v>
      </c>
      <c r="AL567" t="s">
        <v>19</v>
      </c>
      <c r="AM567" t="s">
        <v>363</v>
      </c>
      <c r="AN567" t="s">
        <v>0</v>
      </c>
      <c r="AO567" t="s">
        <v>0</v>
      </c>
      <c r="AP567" t="s">
        <v>0</v>
      </c>
      <c r="AQ567" s="5">
        <v>5</v>
      </c>
      <c r="AR567" t="s">
        <v>11</v>
      </c>
      <c r="AS567" t="s">
        <v>0</v>
      </c>
      <c r="AT567" t="s">
        <v>17</v>
      </c>
      <c r="AU567" s="4">
        <v>0</v>
      </c>
      <c r="AV567" s="4">
        <v>0</v>
      </c>
      <c r="AW567" s="4">
        <v>0</v>
      </c>
      <c r="AX567" s="4">
        <v>0</v>
      </c>
      <c r="AY567" s="5">
        <v>0</v>
      </c>
      <c r="AZ567" s="5">
        <v>0</v>
      </c>
      <c r="BA567" s="5">
        <v>0</v>
      </c>
      <c r="BB567" s="2"/>
      <c r="BC567" t="s">
        <v>0</v>
      </c>
      <c r="BD567" s="5">
        <v>1</v>
      </c>
      <c r="BE567" t="s">
        <v>0</v>
      </c>
      <c r="BF567" t="s">
        <v>368</v>
      </c>
      <c r="BG567" t="s">
        <v>17</v>
      </c>
      <c r="BH567" t="s">
        <v>0</v>
      </c>
      <c r="BI567" t="s">
        <v>11</v>
      </c>
      <c r="BJ567" t="s">
        <v>0</v>
      </c>
      <c r="BK567" t="s">
        <v>0</v>
      </c>
      <c r="BL567" s="5">
        <v>0</v>
      </c>
      <c r="BM567" t="s">
        <v>0</v>
      </c>
      <c r="BN567" t="s">
        <v>0</v>
      </c>
      <c r="BO567" t="s">
        <v>0</v>
      </c>
      <c r="BP567" t="s">
        <v>17</v>
      </c>
      <c r="BQ567" t="s">
        <v>0</v>
      </c>
      <c r="BR567" t="s">
        <v>17</v>
      </c>
      <c r="BS567" t="s">
        <v>17</v>
      </c>
      <c r="BT567" t="s">
        <v>0</v>
      </c>
      <c r="BU567" t="s">
        <v>0</v>
      </c>
      <c r="BV567" t="s">
        <v>0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</row>
    <row r="568" spans="1:80" x14ac:dyDescent="0.25">
      <c r="A568" t="s">
        <v>375</v>
      </c>
      <c r="B568" s="2">
        <v>45855</v>
      </c>
      <c r="C568" s="2">
        <v>45855</v>
      </c>
      <c r="D568" s="2">
        <v>45886</v>
      </c>
      <c r="E568" t="s">
        <v>2</v>
      </c>
      <c r="F568" t="s">
        <v>3</v>
      </c>
      <c r="G568" t="s">
        <v>0</v>
      </c>
      <c r="H568" t="s">
        <v>4</v>
      </c>
      <c r="I568" t="s">
        <v>363</v>
      </c>
      <c r="J568" t="s">
        <v>6</v>
      </c>
      <c r="K568" t="s">
        <v>209</v>
      </c>
      <c r="L568" t="s">
        <v>39</v>
      </c>
      <c r="M568" t="s">
        <v>40</v>
      </c>
      <c r="N568" t="s">
        <v>10</v>
      </c>
      <c r="O568" t="s">
        <v>0</v>
      </c>
      <c r="P568" t="s">
        <v>11</v>
      </c>
      <c r="Q568" s="5">
        <v>5</v>
      </c>
      <c r="R568" s="4">
        <v>46500</v>
      </c>
      <c r="S568" s="5">
        <v>1</v>
      </c>
      <c r="T568" s="4">
        <v>232500</v>
      </c>
      <c r="U568" s="5">
        <v>5</v>
      </c>
      <c r="V568" s="4">
        <v>232500</v>
      </c>
      <c r="W568" s="5">
        <v>5</v>
      </c>
      <c r="X568" s="4">
        <v>232500</v>
      </c>
      <c r="Y568" s="4">
        <f t="shared" si="16"/>
        <v>0</v>
      </c>
      <c r="Z568" t="s">
        <v>0</v>
      </c>
      <c r="AA568" t="s">
        <v>2</v>
      </c>
      <c r="AB568" t="s">
        <v>12</v>
      </c>
      <c r="AC568">
        <f>_xlfn.XLOOKUP(AB568,'[1]GST Codes'!$A:$A,'[1]GST Codes'!$C:$C,0,0)</f>
        <v>18</v>
      </c>
      <c r="AD568">
        <f t="shared" si="17"/>
        <v>0</v>
      </c>
      <c r="AE568" t="s">
        <v>13</v>
      </c>
      <c r="AF568" t="s">
        <v>0</v>
      </c>
      <c r="AG568" t="s">
        <v>14</v>
      </c>
      <c r="AH568" t="s">
        <v>15</v>
      </c>
      <c r="AI568" t="s">
        <v>16</v>
      </c>
      <c r="AJ568" t="s">
        <v>17</v>
      </c>
      <c r="AK568" t="s">
        <v>18</v>
      </c>
      <c r="AL568" t="s">
        <v>19</v>
      </c>
      <c r="AM568" t="s">
        <v>363</v>
      </c>
      <c r="AN568" t="s">
        <v>0</v>
      </c>
      <c r="AO568" t="s">
        <v>0</v>
      </c>
      <c r="AP568" t="s">
        <v>0</v>
      </c>
      <c r="AQ568" s="5">
        <v>5</v>
      </c>
      <c r="AR568" t="s">
        <v>11</v>
      </c>
      <c r="AS568" t="s">
        <v>0</v>
      </c>
      <c r="AT568" t="s">
        <v>17</v>
      </c>
      <c r="AU568" s="4">
        <v>0</v>
      </c>
      <c r="AV568" s="4">
        <v>0</v>
      </c>
      <c r="AW568" s="4">
        <v>0</v>
      </c>
      <c r="AX568" s="4">
        <v>0</v>
      </c>
      <c r="AY568" s="5">
        <v>0</v>
      </c>
      <c r="AZ568" s="5">
        <v>0</v>
      </c>
      <c r="BA568" s="5">
        <v>0</v>
      </c>
      <c r="BB568" s="2"/>
      <c r="BC568" t="s">
        <v>0</v>
      </c>
      <c r="BD568" s="5">
        <v>1</v>
      </c>
      <c r="BE568" t="s">
        <v>0</v>
      </c>
      <c r="BF568" t="s">
        <v>368</v>
      </c>
      <c r="BG568" t="s">
        <v>17</v>
      </c>
      <c r="BH568" t="s">
        <v>0</v>
      </c>
      <c r="BI568" t="s">
        <v>11</v>
      </c>
      <c r="BJ568" t="s">
        <v>0</v>
      </c>
      <c r="BK568" t="s">
        <v>0</v>
      </c>
      <c r="BL568" s="5">
        <v>0</v>
      </c>
      <c r="BM568" t="s">
        <v>0</v>
      </c>
      <c r="BN568" t="s">
        <v>0</v>
      </c>
      <c r="BO568" t="s">
        <v>0</v>
      </c>
      <c r="BP568" t="s">
        <v>17</v>
      </c>
      <c r="BQ568" t="s">
        <v>0</v>
      </c>
      <c r="BR568" t="s">
        <v>17</v>
      </c>
      <c r="BS568" t="s">
        <v>17</v>
      </c>
      <c r="BT568" t="s">
        <v>0</v>
      </c>
      <c r="BU568" t="s">
        <v>0</v>
      </c>
      <c r="BV568" t="s">
        <v>0</v>
      </c>
      <c r="BW568" t="s">
        <v>0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</row>
    <row r="569" spans="1:80" x14ac:dyDescent="0.25">
      <c r="A569" t="s">
        <v>375</v>
      </c>
      <c r="B569" s="2">
        <v>45855</v>
      </c>
      <c r="C569" s="2">
        <v>45855</v>
      </c>
      <c r="D569" s="2">
        <v>45886</v>
      </c>
      <c r="E569" t="s">
        <v>2</v>
      </c>
      <c r="F569" t="s">
        <v>3</v>
      </c>
      <c r="G569" t="s">
        <v>0</v>
      </c>
      <c r="H569" t="s">
        <v>4</v>
      </c>
      <c r="I569" t="s">
        <v>363</v>
      </c>
      <c r="J569" t="s">
        <v>6</v>
      </c>
      <c r="K569" t="s">
        <v>213</v>
      </c>
      <c r="L569" t="s">
        <v>39</v>
      </c>
      <c r="M569" t="s">
        <v>40</v>
      </c>
      <c r="N569" t="s">
        <v>10</v>
      </c>
      <c r="O569" t="s">
        <v>0</v>
      </c>
      <c r="P569" t="s">
        <v>11</v>
      </c>
      <c r="Q569" s="5">
        <v>5</v>
      </c>
      <c r="R569" s="4">
        <v>46500</v>
      </c>
      <c r="S569" s="5">
        <v>1</v>
      </c>
      <c r="T569" s="4">
        <v>232500</v>
      </c>
      <c r="U569" s="5">
        <v>5</v>
      </c>
      <c r="V569" s="4">
        <v>232500</v>
      </c>
      <c r="W569" s="5">
        <v>5</v>
      </c>
      <c r="X569" s="4">
        <v>232500</v>
      </c>
      <c r="Y569" s="4">
        <f t="shared" si="16"/>
        <v>0</v>
      </c>
      <c r="Z569" t="s">
        <v>0</v>
      </c>
      <c r="AA569" t="s">
        <v>2</v>
      </c>
      <c r="AB569" t="s">
        <v>12</v>
      </c>
      <c r="AC569">
        <f>_xlfn.XLOOKUP(AB569,'[1]GST Codes'!$A:$A,'[1]GST Codes'!$C:$C,0,0)</f>
        <v>18</v>
      </c>
      <c r="AD569">
        <f t="shared" si="17"/>
        <v>0</v>
      </c>
      <c r="AE569" t="s">
        <v>13</v>
      </c>
      <c r="AF569" t="s">
        <v>0</v>
      </c>
      <c r="AG569" t="s">
        <v>14</v>
      </c>
      <c r="AH569" t="s">
        <v>15</v>
      </c>
      <c r="AI569" t="s">
        <v>16</v>
      </c>
      <c r="AJ569" t="s">
        <v>17</v>
      </c>
      <c r="AK569" t="s">
        <v>18</v>
      </c>
      <c r="AL569" t="s">
        <v>19</v>
      </c>
      <c r="AM569" t="s">
        <v>363</v>
      </c>
      <c r="AN569" t="s">
        <v>0</v>
      </c>
      <c r="AO569" t="s">
        <v>0</v>
      </c>
      <c r="AP569" t="s">
        <v>0</v>
      </c>
      <c r="AQ569" s="5">
        <v>5</v>
      </c>
      <c r="AR569" t="s">
        <v>11</v>
      </c>
      <c r="AS569" t="s">
        <v>0</v>
      </c>
      <c r="AT569" t="s">
        <v>17</v>
      </c>
      <c r="AU569" s="4">
        <v>0</v>
      </c>
      <c r="AV569" s="4">
        <v>0</v>
      </c>
      <c r="AW569" s="4">
        <v>0</v>
      </c>
      <c r="AX569" s="4">
        <v>0</v>
      </c>
      <c r="AY569" s="5">
        <v>0</v>
      </c>
      <c r="AZ569" s="5">
        <v>0</v>
      </c>
      <c r="BA569" s="5">
        <v>0</v>
      </c>
      <c r="BB569" s="2"/>
      <c r="BC569" t="s">
        <v>0</v>
      </c>
      <c r="BD569" s="5">
        <v>1</v>
      </c>
      <c r="BE569" t="s">
        <v>0</v>
      </c>
      <c r="BF569" t="s">
        <v>368</v>
      </c>
      <c r="BG569" t="s">
        <v>17</v>
      </c>
      <c r="BH569" t="s">
        <v>0</v>
      </c>
      <c r="BI569" t="s">
        <v>11</v>
      </c>
      <c r="BJ569" t="s">
        <v>0</v>
      </c>
      <c r="BK569" t="s">
        <v>0</v>
      </c>
      <c r="BL569" s="5">
        <v>0</v>
      </c>
      <c r="BM569" t="s">
        <v>0</v>
      </c>
      <c r="BN569" t="s">
        <v>0</v>
      </c>
      <c r="BO569" t="s">
        <v>0</v>
      </c>
      <c r="BP569" t="s">
        <v>17</v>
      </c>
      <c r="BQ569" t="s">
        <v>0</v>
      </c>
      <c r="BR569" t="s">
        <v>17</v>
      </c>
      <c r="BS569" t="s">
        <v>17</v>
      </c>
      <c r="BT569" t="s">
        <v>0</v>
      </c>
      <c r="BU569" t="s">
        <v>0</v>
      </c>
      <c r="BV569" t="s">
        <v>0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</row>
    <row r="570" spans="1:80" x14ac:dyDescent="0.25">
      <c r="A570" t="s">
        <v>375</v>
      </c>
      <c r="B570" s="2">
        <v>45855</v>
      </c>
      <c r="C570" s="2">
        <v>45855</v>
      </c>
      <c r="D570" s="2">
        <v>45886</v>
      </c>
      <c r="E570" t="s">
        <v>2</v>
      </c>
      <c r="F570" t="s">
        <v>3</v>
      </c>
      <c r="G570" t="s">
        <v>0</v>
      </c>
      <c r="H570" t="s">
        <v>4</v>
      </c>
      <c r="I570" t="s">
        <v>363</v>
      </c>
      <c r="J570" t="s">
        <v>6</v>
      </c>
      <c r="K570" t="s">
        <v>215</v>
      </c>
      <c r="L570" t="s">
        <v>43</v>
      </c>
      <c r="M570" t="s">
        <v>44</v>
      </c>
      <c r="N570" t="s">
        <v>10</v>
      </c>
      <c r="O570" t="s">
        <v>0</v>
      </c>
      <c r="P570" t="s">
        <v>11</v>
      </c>
      <c r="Q570" s="5">
        <v>5</v>
      </c>
      <c r="R570" s="4">
        <v>46500</v>
      </c>
      <c r="S570" s="5">
        <v>1</v>
      </c>
      <c r="T570" s="4">
        <v>232500</v>
      </c>
      <c r="U570" s="5">
        <v>5</v>
      </c>
      <c r="V570" s="4">
        <v>232500</v>
      </c>
      <c r="W570" s="5">
        <v>5</v>
      </c>
      <c r="X570" s="4">
        <v>232500</v>
      </c>
      <c r="Y570" s="4">
        <f t="shared" si="16"/>
        <v>0</v>
      </c>
      <c r="Z570" t="s">
        <v>0</v>
      </c>
      <c r="AA570" t="s">
        <v>2</v>
      </c>
      <c r="AB570" t="s">
        <v>12</v>
      </c>
      <c r="AC570">
        <f>_xlfn.XLOOKUP(AB570,'[1]GST Codes'!$A:$A,'[1]GST Codes'!$C:$C,0,0)</f>
        <v>18</v>
      </c>
      <c r="AD570">
        <f t="shared" si="17"/>
        <v>0</v>
      </c>
      <c r="AE570" t="s">
        <v>13</v>
      </c>
      <c r="AF570" t="s">
        <v>0</v>
      </c>
      <c r="AG570" t="s">
        <v>14</v>
      </c>
      <c r="AH570" t="s">
        <v>15</v>
      </c>
      <c r="AI570" t="s">
        <v>16</v>
      </c>
      <c r="AJ570" t="s">
        <v>17</v>
      </c>
      <c r="AK570" t="s">
        <v>18</v>
      </c>
      <c r="AL570" t="s">
        <v>19</v>
      </c>
      <c r="AM570" t="s">
        <v>363</v>
      </c>
      <c r="AN570" t="s">
        <v>0</v>
      </c>
      <c r="AO570" t="s">
        <v>0</v>
      </c>
      <c r="AP570" t="s">
        <v>0</v>
      </c>
      <c r="AQ570" s="5">
        <v>5</v>
      </c>
      <c r="AR570" t="s">
        <v>11</v>
      </c>
      <c r="AS570" t="s">
        <v>0</v>
      </c>
      <c r="AT570" t="s">
        <v>17</v>
      </c>
      <c r="AU570" s="4">
        <v>0</v>
      </c>
      <c r="AV570" s="4">
        <v>0</v>
      </c>
      <c r="AW570" s="4">
        <v>0</v>
      </c>
      <c r="AX570" s="4">
        <v>0</v>
      </c>
      <c r="AY570" s="5">
        <v>0</v>
      </c>
      <c r="AZ570" s="5">
        <v>0</v>
      </c>
      <c r="BA570" s="5">
        <v>0</v>
      </c>
      <c r="BB570" s="2"/>
      <c r="BC570" t="s">
        <v>0</v>
      </c>
      <c r="BD570" s="5">
        <v>1</v>
      </c>
      <c r="BE570" t="s">
        <v>0</v>
      </c>
      <c r="BF570" t="s">
        <v>364</v>
      </c>
      <c r="BG570" t="s">
        <v>17</v>
      </c>
      <c r="BH570" t="s">
        <v>0</v>
      </c>
      <c r="BI570" t="s">
        <v>11</v>
      </c>
      <c r="BJ570" t="s">
        <v>0</v>
      </c>
      <c r="BK570" t="s">
        <v>0</v>
      </c>
      <c r="BL570" s="5">
        <v>0</v>
      </c>
      <c r="BM570" t="s">
        <v>0</v>
      </c>
      <c r="BN570" t="s">
        <v>0</v>
      </c>
      <c r="BO570" t="s">
        <v>0</v>
      </c>
      <c r="BP570" t="s">
        <v>17</v>
      </c>
      <c r="BQ570" t="s">
        <v>0</v>
      </c>
      <c r="BR570" t="s">
        <v>17</v>
      </c>
      <c r="BS570" t="s">
        <v>17</v>
      </c>
      <c r="BT570" t="s">
        <v>0</v>
      </c>
      <c r="BU570" t="s">
        <v>0</v>
      </c>
      <c r="BV570" t="s">
        <v>0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</row>
    <row r="571" spans="1:80" x14ac:dyDescent="0.25">
      <c r="A571" t="s">
        <v>375</v>
      </c>
      <c r="B571" s="2">
        <v>45855</v>
      </c>
      <c r="C571" s="2">
        <v>45855</v>
      </c>
      <c r="D571" s="2">
        <v>45886</v>
      </c>
      <c r="E571" t="s">
        <v>2</v>
      </c>
      <c r="F571" t="s">
        <v>3</v>
      </c>
      <c r="G571" t="s">
        <v>0</v>
      </c>
      <c r="H571" t="s">
        <v>4</v>
      </c>
      <c r="I571" t="s">
        <v>363</v>
      </c>
      <c r="J571" t="s">
        <v>6</v>
      </c>
      <c r="K571" t="s">
        <v>216</v>
      </c>
      <c r="L571" t="s">
        <v>43</v>
      </c>
      <c r="M571" t="s">
        <v>44</v>
      </c>
      <c r="N571" t="s">
        <v>10</v>
      </c>
      <c r="O571" t="s">
        <v>0</v>
      </c>
      <c r="P571" t="s">
        <v>11</v>
      </c>
      <c r="Q571" s="5">
        <v>5</v>
      </c>
      <c r="R571" s="4">
        <v>46500</v>
      </c>
      <c r="S571" s="5">
        <v>1</v>
      </c>
      <c r="T571" s="4">
        <v>232500</v>
      </c>
      <c r="U571" s="5">
        <v>5</v>
      </c>
      <c r="V571" s="4">
        <v>232500</v>
      </c>
      <c r="W571" s="5">
        <v>5</v>
      </c>
      <c r="X571" s="4">
        <v>232500</v>
      </c>
      <c r="Y571" s="4">
        <f t="shared" si="16"/>
        <v>0</v>
      </c>
      <c r="Z571" t="s">
        <v>0</v>
      </c>
      <c r="AA571" t="s">
        <v>2</v>
      </c>
      <c r="AB571" t="s">
        <v>12</v>
      </c>
      <c r="AC571">
        <f>_xlfn.XLOOKUP(AB571,'[1]GST Codes'!$A:$A,'[1]GST Codes'!$C:$C,0,0)</f>
        <v>18</v>
      </c>
      <c r="AD571">
        <f t="shared" si="17"/>
        <v>0</v>
      </c>
      <c r="AE571" t="s">
        <v>13</v>
      </c>
      <c r="AF571" t="s">
        <v>0</v>
      </c>
      <c r="AG571" t="s">
        <v>14</v>
      </c>
      <c r="AH571" t="s">
        <v>15</v>
      </c>
      <c r="AI571" t="s">
        <v>16</v>
      </c>
      <c r="AJ571" t="s">
        <v>17</v>
      </c>
      <c r="AK571" t="s">
        <v>18</v>
      </c>
      <c r="AL571" t="s">
        <v>19</v>
      </c>
      <c r="AM571" t="s">
        <v>363</v>
      </c>
      <c r="AN571" t="s">
        <v>0</v>
      </c>
      <c r="AO571" t="s">
        <v>0</v>
      </c>
      <c r="AP571" t="s">
        <v>0</v>
      </c>
      <c r="AQ571" s="5">
        <v>5</v>
      </c>
      <c r="AR571" t="s">
        <v>11</v>
      </c>
      <c r="AS571" t="s">
        <v>0</v>
      </c>
      <c r="AT571" t="s">
        <v>17</v>
      </c>
      <c r="AU571" s="4">
        <v>0</v>
      </c>
      <c r="AV571" s="4">
        <v>0</v>
      </c>
      <c r="AW571" s="4">
        <v>0</v>
      </c>
      <c r="AX571" s="4">
        <v>0</v>
      </c>
      <c r="AY571" s="5">
        <v>0</v>
      </c>
      <c r="AZ571" s="5">
        <v>0</v>
      </c>
      <c r="BA571" s="5">
        <v>0</v>
      </c>
      <c r="BB571" s="2"/>
      <c r="BC571" t="s">
        <v>0</v>
      </c>
      <c r="BD571" s="5">
        <v>1</v>
      </c>
      <c r="BE571" t="s">
        <v>0</v>
      </c>
      <c r="BF571" t="s">
        <v>364</v>
      </c>
      <c r="BG571" t="s">
        <v>17</v>
      </c>
      <c r="BH571" t="s">
        <v>0</v>
      </c>
      <c r="BI571" t="s">
        <v>11</v>
      </c>
      <c r="BJ571" t="s">
        <v>0</v>
      </c>
      <c r="BK571" t="s">
        <v>0</v>
      </c>
      <c r="BL571" s="5">
        <v>0</v>
      </c>
      <c r="BM571" t="s">
        <v>0</v>
      </c>
      <c r="BN571" t="s">
        <v>0</v>
      </c>
      <c r="BO571" t="s">
        <v>0</v>
      </c>
      <c r="BP571" t="s">
        <v>17</v>
      </c>
      <c r="BQ571" t="s">
        <v>0</v>
      </c>
      <c r="BR571" t="s">
        <v>17</v>
      </c>
      <c r="BS571" t="s">
        <v>17</v>
      </c>
      <c r="BT571" t="s">
        <v>0</v>
      </c>
      <c r="BU571" t="s">
        <v>0</v>
      </c>
      <c r="BV571" t="s">
        <v>0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</row>
    <row r="572" spans="1:80" x14ac:dyDescent="0.25">
      <c r="A572" t="s">
        <v>375</v>
      </c>
      <c r="B572" s="2">
        <v>45855</v>
      </c>
      <c r="C572" s="2">
        <v>45855</v>
      </c>
      <c r="D572" s="2">
        <v>45886</v>
      </c>
      <c r="E572" t="s">
        <v>2</v>
      </c>
      <c r="F572" t="s">
        <v>3</v>
      </c>
      <c r="G572" t="s">
        <v>0</v>
      </c>
      <c r="H572" t="s">
        <v>4</v>
      </c>
      <c r="I572" t="s">
        <v>363</v>
      </c>
      <c r="J572" t="s">
        <v>6</v>
      </c>
      <c r="K572" t="s">
        <v>217</v>
      </c>
      <c r="L572" t="s">
        <v>43</v>
      </c>
      <c r="M572" t="s">
        <v>44</v>
      </c>
      <c r="N572" t="s">
        <v>10</v>
      </c>
      <c r="O572" t="s">
        <v>0</v>
      </c>
      <c r="P572" t="s">
        <v>11</v>
      </c>
      <c r="Q572" s="5">
        <v>5</v>
      </c>
      <c r="R572" s="4">
        <v>46500</v>
      </c>
      <c r="S572" s="5">
        <v>1</v>
      </c>
      <c r="T572" s="4">
        <v>232500</v>
      </c>
      <c r="U572" s="5">
        <v>5</v>
      </c>
      <c r="V572" s="4">
        <v>232500</v>
      </c>
      <c r="W572" s="5">
        <v>5</v>
      </c>
      <c r="X572" s="4">
        <v>232500</v>
      </c>
      <c r="Y572" s="4">
        <f t="shared" si="16"/>
        <v>0</v>
      </c>
      <c r="Z572" t="s">
        <v>0</v>
      </c>
      <c r="AA572" t="s">
        <v>2</v>
      </c>
      <c r="AB572" t="s">
        <v>12</v>
      </c>
      <c r="AC572">
        <f>_xlfn.XLOOKUP(AB572,'[1]GST Codes'!$A:$A,'[1]GST Codes'!$C:$C,0,0)</f>
        <v>18</v>
      </c>
      <c r="AD572">
        <f t="shared" si="17"/>
        <v>0</v>
      </c>
      <c r="AE572" t="s">
        <v>13</v>
      </c>
      <c r="AF572" t="s">
        <v>0</v>
      </c>
      <c r="AG572" t="s">
        <v>14</v>
      </c>
      <c r="AH572" t="s">
        <v>15</v>
      </c>
      <c r="AI572" t="s">
        <v>16</v>
      </c>
      <c r="AJ572" t="s">
        <v>17</v>
      </c>
      <c r="AK572" t="s">
        <v>18</v>
      </c>
      <c r="AL572" t="s">
        <v>19</v>
      </c>
      <c r="AM572" t="s">
        <v>363</v>
      </c>
      <c r="AN572" t="s">
        <v>0</v>
      </c>
      <c r="AO572" t="s">
        <v>0</v>
      </c>
      <c r="AP572" t="s">
        <v>0</v>
      </c>
      <c r="AQ572" s="5">
        <v>5</v>
      </c>
      <c r="AR572" t="s">
        <v>11</v>
      </c>
      <c r="AS572" t="s">
        <v>0</v>
      </c>
      <c r="AT572" t="s">
        <v>17</v>
      </c>
      <c r="AU572" s="4">
        <v>0</v>
      </c>
      <c r="AV572" s="4">
        <v>0</v>
      </c>
      <c r="AW572" s="4">
        <v>0</v>
      </c>
      <c r="AX572" s="4">
        <v>0</v>
      </c>
      <c r="AY572" s="5">
        <v>0</v>
      </c>
      <c r="AZ572" s="5">
        <v>0</v>
      </c>
      <c r="BA572" s="5">
        <v>0</v>
      </c>
      <c r="BB572" s="2"/>
      <c r="BC572" t="s">
        <v>0</v>
      </c>
      <c r="BD572" s="5">
        <v>1</v>
      </c>
      <c r="BE572" t="s">
        <v>0</v>
      </c>
      <c r="BF572" t="s">
        <v>364</v>
      </c>
      <c r="BG572" t="s">
        <v>17</v>
      </c>
      <c r="BH572" t="s">
        <v>0</v>
      </c>
      <c r="BI572" t="s">
        <v>11</v>
      </c>
      <c r="BJ572" t="s">
        <v>0</v>
      </c>
      <c r="BK572" t="s">
        <v>0</v>
      </c>
      <c r="BL572" s="5">
        <v>0</v>
      </c>
      <c r="BM572" t="s">
        <v>0</v>
      </c>
      <c r="BN572" t="s">
        <v>0</v>
      </c>
      <c r="BO572" t="s">
        <v>0</v>
      </c>
      <c r="BP572" t="s">
        <v>17</v>
      </c>
      <c r="BQ572" t="s">
        <v>0</v>
      </c>
      <c r="BR572" t="s">
        <v>17</v>
      </c>
      <c r="BS572" t="s">
        <v>17</v>
      </c>
      <c r="BT572" t="s">
        <v>0</v>
      </c>
      <c r="BU572" t="s">
        <v>0</v>
      </c>
      <c r="BV572" t="s">
        <v>0</v>
      </c>
      <c r="BW572" t="s">
        <v>0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</row>
    <row r="573" spans="1:80" x14ac:dyDescent="0.25">
      <c r="A573" t="s">
        <v>375</v>
      </c>
      <c r="B573" s="2">
        <v>45855</v>
      </c>
      <c r="C573" s="2">
        <v>45855</v>
      </c>
      <c r="D573" s="2">
        <v>45886</v>
      </c>
      <c r="E573" t="s">
        <v>2</v>
      </c>
      <c r="F573" t="s">
        <v>3</v>
      </c>
      <c r="G573" t="s">
        <v>0</v>
      </c>
      <c r="H573" t="s">
        <v>4</v>
      </c>
      <c r="I573" t="s">
        <v>363</v>
      </c>
      <c r="J573" t="s">
        <v>6</v>
      </c>
      <c r="K573" t="s">
        <v>218</v>
      </c>
      <c r="L573" t="s">
        <v>43</v>
      </c>
      <c r="M573" t="s">
        <v>44</v>
      </c>
      <c r="N573" t="s">
        <v>10</v>
      </c>
      <c r="O573" t="s">
        <v>0</v>
      </c>
      <c r="P573" t="s">
        <v>11</v>
      </c>
      <c r="Q573" s="5">
        <v>5</v>
      </c>
      <c r="R573" s="4">
        <v>46500</v>
      </c>
      <c r="S573" s="5">
        <v>1</v>
      </c>
      <c r="T573" s="4">
        <v>232500</v>
      </c>
      <c r="U573" s="5">
        <v>5</v>
      </c>
      <c r="V573" s="4">
        <v>232500</v>
      </c>
      <c r="W573" s="5">
        <v>5</v>
      </c>
      <c r="X573" s="4">
        <v>232500</v>
      </c>
      <c r="Y573" s="4">
        <f t="shared" si="16"/>
        <v>0</v>
      </c>
      <c r="Z573" t="s">
        <v>0</v>
      </c>
      <c r="AA573" t="s">
        <v>2</v>
      </c>
      <c r="AB573" t="s">
        <v>12</v>
      </c>
      <c r="AC573">
        <f>_xlfn.XLOOKUP(AB573,'[1]GST Codes'!$A:$A,'[1]GST Codes'!$C:$C,0,0)</f>
        <v>18</v>
      </c>
      <c r="AD573">
        <f t="shared" si="17"/>
        <v>0</v>
      </c>
      <c r="AE573" t="s">
        <v>13</v>
      </c>
      <c r="AF573" t="s">
        <v>0</v>
      </c>
      <c r="AG573" t="s">
        <v>14</v>
      </c>
      <c r="AH573" t="s">
        <v>15</v>
      </c>
      <c r="AI573" t="s">
        <v>16</v>
      </c>
      <c r="AJ573" t="s">
        <v>17</v>
      </c>
      <c r="AK573" t="s">
        <v>18</v>
      </c>
      <c r="AL573" t="s">
        <v>19</v>
      </c>
      <c r="AM573" t="s">
        <v>363</v>
      </c>
      <c r="AN573" t="s">
        <v>0</v>
      </c>
      <c r="AO573" t="s">
        <v>0</v>
      </c>
      <c r="AP573" t="s">
        <v>0</v>
      </c>
      <c r="AQ573" s="5">
        <v>5</v>
      </c>
      <c r="AR573" t="s">
        <v>11</v>
      </c>
      <c r="AS573" t="s">
        <v>0</v>
      </c>
      <c r="AT573" t="s">
        <v>17</v>
      </c>
      <c r="AU573" s="4">
        <v>0</v>
      </c>
      <c r="AV573" s="4">
        <v>0</v>
      </c>
      <c r="AW573" s="4">
        <v>0</v>
      </c>
      <c r="AX573" s="4">
        <v>0</v>
      </c>
      <c r="AY573" s="5">
        <v>0</v>
      </c>
      <c r="AZ573" s="5">
        <v>0</v>
      </c>
      <c r="BA573" s="5">
        <v>0</v>
      </c>
      <c r="BB573" s="2"/>
      <c r="BC573" t="s">
        <v>0</v>
      </c>
      <c r="BD573" s="5">
        <v>1</v>
      </c>
      <c r="BE573" t="s">
        <v>0</v>
      </c>
      <c r="BF573" t="s">
        <v>364</v>
      </c>
      <c r="BG573" t="s">
        <v>17</v>
      </c>
      <c r="BH573" t="s">
        <v>0</v>
      </c>
      <c r="BI573" t="s">
        <v>11</v>
      </c>
      <c r="BJ573" t="s">
        <v>0</v>
      </c>
      <c r="BK573" t="s">
        <v>0</v>
      </c>
      <c r="BL573" s="5">
        <v>0</v>
      </c>
      <c r="BM573" t="s">
        <v>0</v>
      </c>
      <c r="BN573" t="s">
        <v>0</v>
      </c>
      <c r="BO573" t="s">
        <v>0</v>
      </c>
      <c r="BP573" t="s">
        <v>17</v>
      </c>
      <c r="BQ573" t="s">
        <v>0</v>
      </c>
      <c r="BR573" t="s">
        <v>17</v>
      </c>
      <c r="BS573" t="s">
        <v>17</v>
      </c>
      <c r="BT573" t="s">
        <v>0</v>
      </c>
      <c r="BU573" t="s">
        <v>0</v>
      </c>
      <c r="BV573" t="s">
        <v>0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</row>
    <row r="574" spans="1:80" x14ac:dyDescent="0.25">
      <c r="A574" t="s">
        <v>375</v>
      </c>
      <c r="B574" s="2">
        <v>45855</v>
      </c>
      <c r="C574" s="2">
        <v>45855</v>
      </c>
      <c r="D574" s="2">
        <v>45886</v>
      </c>
      <c r="E574" t="s">
        <v>2</v>
      </c>
      <c r="F574" t="s">
        <v>3</v>
      </c>
      <c r="G574" t="s">
        <v>0</v>
      </c>
      <c r="H574" t="s">
        <v>4</v>
      </c>
      <c r="I574" t="s">
        <v>363</v>
      </c>
      <c r="J574" t="s">
        <v>6</v>
      </c>
      <c r="K574" t="s">
        <v>219</v>
      </c>
      <c r="L574" t="s">
        <v>43</v>
      </c>
      <c r="M574" t="s">
        <v>44</v>
      </c>
      <c r="N574" t="s">
        <v>10</v>
      </c>
      <c r="O574" t="s">
        <v>0</v>
      </c>
      <c r="P574" t="s">
        <v>11</v>
      </c>
      <c r="Q574" s="5">
        <v>5</v>
      </c>
      <c r="R574" s="4">
        <v>46500</v>
      </c>
      <c r="S574" s="5">
        <v>1</v>
      </c>
      <c r="T574" s="4">
        <v>232500</v>
      </c>
      <c r="U574" s="5">
        <v>5</v>
      </c>
      <c r="V574" s="4">
        <v>232500</v>
      </c>
      <c r="W574" s="5">
        <v>5</v>
      </c>
      <c r="X574" s="4">
        <v>232500</v>
      </c>
      <c r="Y574" s="4">
        <f t="shared" si="16"/>
        <v>0</v>
      </c>
      <c r="Z574" t="s">
        <v>0</v>
      </c>
      <c r="AA574" t="s">
        <v>2</v>
      </c>
      <c r="AB574" t="s">
        <v>12</v>
      </c>
      <c r="AC574">
        <f>_xlfn.XLOOKUP(AB574,'[1]GST Codes'!$A:$A,'[1]GST Codes'!$C:$C,0,0)</f>
        <v>18</v>
      </c>
      <c r="AD574">
        <f t="shared" si="17"/>
        <v>0</v>
      </c>
      <c r="AE574" t="s">
        <v>13</v>
      </c>
      <c r="AF574" t="s">
        <v>0</v>
      </c>
      <c r="AG574" t="s">
        <v>14</v>
      </c>
      <c r="AH574" t="s">
        <v>15</v>
      </c>
      <c r="AI574" t="s">
        <v>16</v>
      </c>
      <c r="AJ574" t="s">
        <v>17</v>
      </c>
      <c r="AK574" t="s">
        <v>18</v>
      </c>
      <c r="AL574" t="s">
        <v>19</v>
      </c>
      <c r="AM574" t="s">
        <v>363</v>
      </c>
      <c r="AN574" t="s">
        <v>0</v>
      </c>
      <c r="AO574" t="s">
        <v>0</v>
      </c>
      <c r="AP574" t="s">
        <v>0</v>
      </c>
      <c r="AQ574" s="5">
        <v>5</v>
      </c>
      <c r="AR574" t="s">
        <v>11</v>
      </c>
      <c r="AS574" t="s">
        <v>0</v>
      </c>
      <c r="AT574" t="s">
        <v>17</v>
      </c>
      <c r="AU574" s="4">
        <v>0</v>
      </c>
      <c r="AV574" s="4">
        <v>0</v>
      </c>
      <c r="AW574" s="4">
        <v>0</v>
      </c>
      <c r="AX574" s="4">
        <v>0</v>
      </c>
      <c r="AY574" s="5">
        <v>0</v>
      </c>
      <c r="AZ574" s="5">
        <v>0</v>
      </c>
      <c r="BA574" s="5">
        <v>0</v>
      </c>
      <c r="BB574" s="2"/>
      <c r="BC574" t="s">
        <v>0</v>
      </c>
      <c r="BD574" s="5">
        <v>1</v>
      </c>
      <c r="BE574" t="s">
        <v>0</v>
      </c>
      <c r="BF574" t="s">
        <v>364</v>
      </c>
      <c r="BG574" t="s">
        <v>17</v>
      </c>
      <c r="BH574" t="s">
        <v>0</v>
      </c>
      <c r="BI574" t="s">
        <v>11</v>
      </c>
      <c r="BJ574" t="s">
        <v>0</v>
      </c>
      <c r="BK574" t="s">
        <v>0</v>
      </c>
      <c r="BL574" s="5">
        <v>0</v>
      </c>
      <c r="BM574" t="s">
        <v>0</v>
      </c>
      <c r="BN574" t="s">
        <v>0</v>
      </c>
      <c r="BO574" t="s">
        <v>0</v>
      </c>
      <c r="BP574" t="s">
        <v>17</v>
      </c>
      <c r="BQ574" t="s">
        <v>0</v>
      </c>
      <c r="BR574" t="s">
        <v>17</v>
      </c>
      <c r="BS574" t="s">
        <v>17</v>
      </c>
      <c r="BT574" t="s">
        <v>0</v>
      </c>
      <c r="BU574" t="s">
        <v>0</v>
      </c>
      <c r="BV574" t="s">
        <v>0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</row>
    <row r="575" spans="1:80" x14ac:dyDescent="0.25">
      <c r="A575" t="s">
        <v>375</v>
      </c>
      <c r="B575" s="2">
        <v>45855</v>
      </c>
      <c r="C575" s="2">
        <v>45855</v>
      </c>
      <c r="D575" s="2">
        <v>45886</v>
      </c>
      <c r="E575" t="s">
        <v>2</v>
      </c>
      <c r="F575" t="s">
        <v>3</v>
      </c>
      <c r="G575" t="s">
        <v>0</v>
      </c>
      <c r="H575" t="s">
        <v>4</v>
      </c>
      <c r="I575" t="s">
        <v>363</v>
      </c>
      <c r="J575" t="s">
        <v>6</v>
      </c>
      <c r="K575" t="s">
        <v>223</v>
      </c>
      <c r="L575" t="s">
        <v>43</v>
      </c>
      <c r="M575" t="s">
        <v>44</v>
      </c>
      <c r="N575" t="s">
        <v>10</v>
      </c>
      <c r="O575" t="s">
        <v>0</v>
      </c>
      <c r="P575" t="s">
        <v>11</v>
      </c>
      <c r="Q575" s="5">
        <v>5</v>
      </c>
      <c r="R575" s="4">
        <v>46500</v>
      </c>
      <c r="S575" s="5">
        <v>1</v>
      </c>
      <c r="T575" s="4">
        <v>232500</v>
      </c>
      <c r="U575" s="5">
        <v>5</v>
      </c>
      <c r="V575" s="4">
        <v>232500</v>
      </c>
      <c r="W575" s="5">
        <v>5</v>
      </c>
      <c r="X575" s="4">
        <v>232500</v>
      </c>
      <c r="Y575" s="4">
        <f t="shared" si="16"/>
        <v>0</v>
      </c>
      <c r="Z575" t="s">
        <v>0</v>
      </c>
      <c r="AA575" t="s">
        <v>2</v>
      </c>
      <c r="AB575" t="s">
        <v>12</v>
      </c>
      <c r="AC575">
        <f>_xlfn.XLOOKUP(AB575,'[1]GST Codes'!$A:$A,'[1]GST Codes'!$C:$C,0,0)</f>
        <v>18</v>
      </c>
      <c r="AD575">
        <f t="shared" si="17"/>
        <v>0</v>
      </c>
      <c r="AE575" t="s">
        <v>13</v>
      </c>
      <c r="AF575" t="s">
        <v>0</v>
      </c>
      <c r="AG575" t="s">
        <v>14</v>
      </c>
      <c r="AH575" t="s">
        <v>15</v>
      </c>
      <c r="AI575" t="s">
        <v>16</v>
      </c>
      <c r="AJ575" t="s">
        <v>17</v>
      </c>
      <c r="AK575" t="s">
        <v>18</v>
      </c>
      <c r="AL575" t="s">
        <v>19</v>
      </c>
      <c r="AM575" t="s">
        <v>363</v>
      </c>
      <c r="AN575" t="s">
        <v>0</v>
      </c>
      <c r="AO575" t="s">
        <v>0</v>
      </c>
      <c r="AP575" t="s">
        <v>0</v>
      </c>
      <c r="AQ575" s="5">
        <v>5</v>
      </c>
      <c r="AR575" t="s">
        <v>11</v>
      </c>
      <c r="AS575" t="s">
        <v>0</v>
      </c>
      <c r="AT575" t="s">
        <v>17</v>
      </c>
      <c r="AU575" s="4">
        <v>0</v>
      </c>
      <c r="AV575" s="4">
        <v>0</v>
      </c>
      <c r="AW575" s="4">
        <v>0</v>
      </c>
      <c r="AX575" s="4">
        <v>0</v>
      </c>
      <c r="AY575" s="5">
        <v>0</v>
      </c>
      <c r="AZ575" s="5">
        <v>0</v>
      </c>
      <c r="BA575" s="5">
        <v>0</v>
      </c>
      <c r="BB575" s="2"/>
      <c r="BC575" t="s">
        <v>0</v>
      </c>
      <c r="BD575" s="5">
        <v>1</v>
      </c>
      <c r="BE575" t="s">
        <v>0</v>
      </c>
      <c r="BF575" t="s">
        <v>364</v>
      </c>
      <c r="BG575" t="s">
        <v>17</v>
      </c>
      <c r="BH575" t="s">
        <v>0</v>
      </c>
      <c r="BI575" t="s">
        <v>11</v>
      </c>
      <c r="BJ575" t="s">
        <v>0</v>
      </c>
      <c r="BK575" t="s">
        <v>0</v>
      </c>
      <c r="BL575" s="5">
        <v>0</v>
      </c>
      <c r="BM575" t="s">
        <v>0</v>
      </c>
      <c r="BN575" t="s">
        <v>0</v>
      </c>
      <c r="BO575" t="s">
        <v>0</v>
      </c>
      <c r="BP575" t="s">
        <v>17</v>
      </c>
      <c r="BQ575" t="s">
        <v>0</v>
      </c>
      <c r="BR575" t="s">
        <v>17</v>
      </c>
      <c r="BS575" t="s">
        <v>17</v>
      </c>
      <c r="BT575" t="s">
        <v>0</v>
      </c>
      <c r="BU575" t="s">
        <v>0</v>
      </c>
      <c r="BV575" t="s">
        <v>0</v>
      </c>
      <c r="BW575" t="s">
        <v>0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</row>
    <row r="576" spans="1:80" x14ac:dyDescent="0.25">
      <c r="A576" t="s">
        <v>375</v>
      </c>
      <c r="B576" s="2">
        <v>45855</v>
      </c>
      <c r="C576" s="2">
        <v>45855</v>
      </c>
      <c r="D576" s="2">
        <v>45886</v>
      </c>
      <c r="E576" t="s">
        <v>2</v>
      </c>
      <c r="F576" t="s">
        <v>3</v>
      </c>
      <c r="G576" t="s">
        <v>0</v>
      </c>
      <c r="H576" t="s">
        <v>4</v>
      </c>
      <c r="I576" t="s">
        <v>363</v>
      </c>
      <c r="J576" t="s">
        <v>6</v>
      </c>
      <c r="K576" t="s">
        <v>224</v>
      </c>
      <c r="L576" t="s">
        <v>43</v>
      </c>
      <c r="M576" t="s">
        <v>44</v>
      </c>
      <c r="N576" t="s">
        <v>10</v>
      </c>
      <c r="O576" t="s">
        <v>0</v>
      </c>
      <c r="P576" t="s">
        <v>11</v>
      </c>
      <c r="Q576" s="5">
        <v>5</v>
      </c>
      <c r="R576" s="4">
        <v>46500</v>
      </c>
      <c r="S576" s="5">
        <v>1</v>
      </c>
      <c r="T576" s="4">
        <v>232500</v>
      </c>
      <c r="U576" s="5">
        <v>5</v>
      </c>
      <c r="V576" s="4">
        <v>232500</v>
      </c>
      <c r="W576" s="5">
        <v>5</v>
      </c>
      <c r="X576" s="4">
        <v>232500</v>
      </c>
      <c r="Y576" s="4">
        <f t="shared" si="16"/>
        <v>0</v>
      </c>
      <c r="Z576" t="s">
        <v>0</v>
      </c>
      <c r="AA576" t="s">
        <v>2</v>
      </c>
      <c r="AB576" t="s">
        <v>12</v>
      </c>
      <c r="AC576">
        <f>_xlfn.XLOOKUP(AB576,'[1]GST Codes'!$A:$A,'[1]GST Codes'!$C:$C,0,0)</f>
        <v>18</v>
      </c>
      <c r="AD576">
        <f t="shared" si="17"/>
        <v>0</v>
      </c>
      <c r="AE576" t="s">
        <v>13</v>
      </c>
      <c r="AF576" t="s">
        <v>0</v>
      </c>
      <c r="AG576" t="s">
        <v>14</v>
      </c>
      <c r="AH576" t="s">
        <v>15</v>
      </c>
      <c r="AI576" t="s">
        <v>16</v>
      </c>
      <c r="AJ576" t="s">
        <v>17</v>
      </c>
      <c r="AK576" t="s">
        <v>18</v>
      </c>
      <c r="AL576" t="s">
        <v>19</v>
      </c>
      <c r="AM576" t="s">
        <v>363</v>
      </c>
      <c r="AN576" t="s">
        <v>0</v>
      </c>
      <c r="AO576" t="s">
        <v>0</v>
      </c>
      <c r="AP576" t="s">
        <v>0</v>
      </c>
      <c r="AQ576" s="5">
        <v>5</v>
      </c>
      <c r="AR576" t="s">
        <v>11</v>
      </c>
      <c r="AS576" t="s">
        <v>0</v>
      </c>
      <c r="AT576" t="s">
        <v>17</v>
      </c>
      <c r="AU576" s="4">
        <v>0</v>
      </c>
      <c r="AV576" s="4">
        <v>0</v>
      </c>
      <c r="AW576" s="4">
        <v>0</v>
      </c>
      <c r="AX576" s="4">
        <v>0</v>
      </c>
      <c r="AY576" s="5">
        <v>0</v>
      </c>
      <c r="AZ576" s="5">
        <v>0</v>
      </c>
      <c r="BA576" s="5">
        <v>0</v>
      </c>
      <c r="BB576" s="2"/>
      <c r="BC576" t="s">
        <v>0</v>
      </c>
      <c r="BD576" s="5">
        <v>1</v>
      </c>
      <c r="BE576" t="s">
        <v>0</v>
      </c>
      <c r="BF576" t="s">
        <v>364</v>
      </c>
      <c r="BG576" t="s">
        <v>17</v>
      </c>
      <c r="BH576" t="s">
        <v>0</v>
      </c>
      <c r="BI576" t="s">
        <v>11</v>
      </c>
      <c r="BJ576" t="s">
        <v>0</v>
      </c>
      <c r="BK576" t="s">
        <v>0</v>
      </c>
      <c r="BL576" s="5">
        <v>0</v>
      </c>
      <c r="BM576" t="s">
        <v>0</v>
      </c>
      <c r="BN576" t="s">
        <v>0</v>
      </c>
      <c r="BO576" t="s">
        <v>0</v>
      </c>
      <c r="BP576" t="s">
        <v>17</v>
      </c>
      <c r="BQ576" t="s">
        <v>0</v>
      </c>
      <c r="BR576" t="s">
        <v>17</v>
      </c>
      <c r="BS576" t="s">
        <v>17</v>
      </c>
      <c r="BT576" t="s">
        <v>0</v>
      </c>
      <c r="BU576" t="s">
        <v>0</v>
      </c>
      <c r="BV576" t="s">
        <v>0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</row>
    <row r="577" spans="1:80" x14ac:dyDescent="0.25">
      <c r="A577" t="s">
        <v>375</v>
      </c>
      <c r="B577" s="2">
        <v>45855</v>
      </c>
      <c r="C577" s="2">
        <v>45855</v>
      </c>
      <c r="D577" s="2">
        <v>45886</v>
      </c>
      <c r="E577" t="s">
        <v>2</v>
      </c>
      <c r="F577" t="s">
        <v>3</v>
      </c>
      <c r="G577" t="s">
        <v>0</v>
      </c>
      <c r="H577" t="s">
        <v>4</v>
      </c>
      <c r="I577" t="s">
        <v>363</v>
      </c>
      <c r="J577" t="s">
        <v>6</v>
      </c>
      <c r="K577" t="s">
        <v>225</v>
      </c>
      <c r="L577" t="s">
        <v>354</v>
      </c>
      <c r="M577" t="s">
        <v>338</v>
      </c>
      <c r="N577" t="s">
        <v>10</v>
      </c>
      <c r="O577" t="s">
        <v>0</v>
      </c>
      <c r="P577" t="s">
        <v>11</v>
      </c>
      <c r="Q577" s="5">
        <v>5</v>
      </c>
      <c r="R577" s="4">
        <v>46500</v>
      </c>
      <c r="S577" s="5">
        <v>1</v>
      </c>
      <c r="T577" s="4">
        <v>232500</v>
      </c>
      <c r="U577" s="5">
        <v>5</v>
      </c>
      <c r="V577" s="4">
        <v>232500</v>
      </c>
      <c r="W577" s="5">
        <v>5</v>
      </c>
      <c r="X577" s="4">
        <v>232500</v>
      </c>
      <c r="Y577" s="4">
        <f t="shared" si="16"/>
        <v>0</v>
      </c>
      <c r="Z577" t="s">
        <v>0</v>
      </c>
      <c r="AA577" t="s">
        <v>2</v>
      </c>
      <c r="AB577" t="s">
        <v>12</v>
      </c>
      <c r="AC577">
        <f>_xlfn.XLOOKUP(AB577,'[1]GST Codes'!$A:$A,'[1]GST Codes'!$C:$C,0,0)</f>
        <v>18</v>
      </c>
      <c r="AD577">
        <f t="shared" si="17"/>
        <v>0</v>
      </c>
      <c r="AE577" t="s">
        <v>13</v>
      </c>
      <c r="AF577" t="s">
        <v>0</v>
      </c>
      <c r="AG577" t="s">
        <v>14</v>
      </c>
      <c r="AH577" t="s">
        <v>15</v>
      </c>
      <c r="AI577" t="s">
        <v>16</v>
      </c>
      <c r="AJ577" t="s">
        <v>17</v>
      </c>
      <c r="AK577" t="s">
        <v>18</v>
      </c>
      <c r="AL577" t="s">
        <v>19</v>
      </c>
      <c r="AM577" t="s">
        <v>363</v>
      </c>
      <c r="AN577" t="s">
        <v>0</v>
      </c>
      <c r="AO577" t="s">
        <v>0</v>
      </c>
      <c r="AP577" t="s">
        <v>0</v>
      </c>
      <c r="AQ577" s="5">
        <v>5</v>
      </c>
      <c r="AR577" t="s">
        <v>11</v>
      </c>
      <c r="AS577" t="s">
        <v>0</v>
      </c>
      <c r="AT577" t="s">
        <v>17</v>
      </c>
      <c r="AU577" s="4">
        <v>0</v>
      </c>
      <c r="AV577" s="4">
        <v>0</v>
      </c>
      <c r="AW577" s="4">
        <v>0</v>
      </c>
      <c r="AX577" s="4">
        <v>0</v>
      </c>
      <c r="AY577" s="5">
        <v>0</v>
      </c>
      <c r="AZ577" s="5">
        <v>0</v>
      </c>
      <c r="BA577" s="5">
        <v>0</v>
      </c>
      <c r="BB577" s="2"/>
      <c r="BC577" t="s">
        <v>0</v>
      </c>
      <c r="BD577" s="5">
        <v>1</v>
      </c>
      <c r="BE577" t="s">
        <v>0</v>
      </c>
      <c r="BF577" t="s">
        <v>371</v>
      </c>
      <c r="BG577" t="s">
        <v>17</v>
      </c>
      <c r="BH577" t="s">
        <v>0</v>
      </c>
      <c r="BI577" t="s">
        <v>11</v>
      </c>
      <c r="BJ577" t="s">
        <v>0</v>
      </c>
      <c r="BK577" t="s">
        <v>0</v>
      </c>
      <c r="BL577" s="5">
        <v>0</v>
      </c>
      <c r="BM577" t="s">
        <v>0</v>
      </c>
      <c r="BN577" t="s">
        <v>0</v>
      </c>
      <c r="BO577" t="s">
        <v>0</v>
      </c>
      <c r="BP577" t="s">
        <v>17</v>
      </c>
      <c r="BQ577" t="s">
        <v>0</v>
      </c>
      <c r="BR577" t="s">
        <v>17</v>
      </c>
      <c r="BS577" t="s">
        <v>17</v>
      </c>
      <c r="BT577" t="s">
        <v>0</v>
      </c>
      <c r="BU577" t="s">
        <v>0</v>
      </c>
      <c r="BV577" t="s">
        <v>0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</row>
    <row r="578" spans="1:80" x14ac:dyDescent="0.25">
      <c r="A578" t="s">
        <v>375</v>
      </c>
      <c r="B578" s="2">
        <v>45855</v>
      </c>
      <c r="C578" s="2">
        <v>45855</v>
      </c>
      <c r="D578" s="2">
        <v>45886</v>
      </c>
      <c r="E578" t="s">
        <v>2</v>
      </c>
      <c r="F578" t="s">
        <v>3</v>
      </c>
      <c r="G578" t="s">
        <v>0</v>
      </c>
      <c r="H578" t="s">
        <v>4</v>
      </c>
      <c r="I578" t="s">
        <v>363</v>
      </c>
      <c r="J578" t="s">
        <v>6</v>
      </c>
      <c r="K578" t="s">
        <v>226</v>
      </c>
      <c r="L578" t="s">
        <v>354</v>
      </c>
      <c r="M578" t="s">
        <v>338</v>
      </c>
      <c r="N578" t="s">
        <v>10</v>
      </c>
      <c r="O578" t="s">
        <v>0</v>
      </c>
      <c r="P578" t="s">
        <v>11</v>
      </c>
      <c r="Q578" s="5">
        <v>5</v>
      </c>
      <c r="R578" s="4">
        <v>46500</v>
      </c>
      <c r="S578" s="5">
        <v>1</v>
      </c>
      <c r="T578" s="4">
        <v>232500</v>
      </c>
      <c r="U578" s="5">
        <v>5</v>
      </c>
      <c r="V578" s="4">
        <v>232500</v>
      </c>
      <c r="W578" s="5">
        <v>5</v>
      </c>
      <c r="X578" s="4">
        <v>232500</v>
      </c>
      <c r="Y578" s="4">
        <f t="shared" si="16"/>
        <v>0</v>
      </c>
      <c r="Z578" t="s">
        <v>0</v>
      </c>
      <c r="AA578" t="s">
        <v>2</v>
      </c>
      <c r="AB578" t="s">
        <v>12</v>
      </c>
      <c r="AC578">
        <f>_xlfn.XLOOKUP(AB578,'[1]GST Codes'!$A:$A,'[1]GST Codes'!$C:$C,0,0)</f>
        <v>18</v>
      </c>
      <c r="AD578">
        <f t="shared" si="17"/>
        <v>0</v>
      </c>
      <c r="AE578" t="s">
        <v>13</v>
      </c>
      <c r="AF578" t="s">
        <v>0</v>
      </c>
      <c r="AG578" t="s">
        <v>14</v>
      </c>
      <c r="AH578" t="s">
        <v>15</v>
      </c>
      <c r="AI578" t="s">
        <v>16</v>
      </c>
      <c r="AJ578" t="s">
        <v>17</v>
      </c>
      <c r="AK578" t="s">
        <v>18</v>
      </c>
      <c r="AL578" t="s">
        <v>19</v>
      </c>
      <c r="AM578" t="s">
        <v>363</v>
      </c>
      <c r="AN578" t="s">
        <v>0</v>
      </c>
      <c r="AO578" t="s">
        <v>0</v>
      </c>
      <c r="AP578" t="s">
        <v>0</v>
      </c>
      <c r="AQ578" s="5">
        <v>5</v>
      </c>
      <c r="AR578" t="s">
        <v>11</v>
      </c>
      <c r="AS578" t="s">
        <v>0</v>
      </c>
      <c r="AT578" t="s">
        <v>17</v>
      </c>
      <c r="AU578" s="4">
        <v>0</v>
      </c>
      <c r="AV578" s="4">
        <v>0</v>
      </c>
      <c r="AW578" s="4">
        <v>0</v>
      </c>
      <c r="AX578" s="4">
        <v>0</v>
      </c>
      <c r="AY578" s="5">
        <v>0</v>
      </c>
      <c r="AZ578" s="5">
        <v>0</v>
      </c>
      <c r="BA578" s="5">
        <v>0</v>
      </c>
      <c r="BB578" s="2"/>
      <c r="BC578" t="s">
        <v>0</v>
      </c>
      <c r="BD578" s="5">
        <v>1</v>
      </c>
      <c r="BE578" t="s">
        <v>0</v>
      </c>
      <c r="BF578" t="s">
        <v>371</v>
      </c>
      <c r="BG578" t="s">
        <v>17</v>
      </c>
      <c r="BH578" t="s">
        <v>0</v>
      </c>
      <c r="BI578" t="s">
        <v>11</v>
      </c>
      <c r="BJ578" t="s">
        <v>0</v>
      </c>
      <c r="BK578" t="s">
        <v>0</v>
      </c>
      <c r="BL578" s="5">
        <v>0</v>
      </c>
      <c r="BM578" t="s">
        <v>0</v>
      </c>
      <c r="BN578" t="s">
        <v>0</v>
      </c>
      <c r="BO578" t="s">
        <v>0</v>
      </c>
      <c r="BP578" t="s">
        <v>17</v>
      </c>
      <c r="BQ578" t="s">
        <v>0</v>
      </c>
      <c r="BR578" t="s">
        <v>17</v>
      </c>
      <c r="BS578" t="s">
        <v>17</v>
      </c>
      <c r="BT578" t="s">
        <v>0</v>
      </c>
      <c r="BU578" t="s">
        <v>0</v>
      </c>
      <c r="BV578" t="s">
        <v>0</v>
      </c>
      <c r="BW578" t="s">
        <v>0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</row>
    <row r="579" spans="1:80" x14ac:dyDescent="0.25">
      <c r="A579" t="s">
        <v>375</v>
      </c>
      <c r="B579" s="2">
        <v>45855</v>
      </c>
      <c r="C579" s="2">
        <v>45855</v>
      </c>
      <c r="D579" s="2">
        <v>45886</v>
      </c>
      <c r="E579" t="s">
        <v>2</v>
      </c>
      <c r="F579" t="s">
        <v>3</v>
      </c>
      <c r="G579" t="s">
        <v>0</v>
      </c>
      <c r="H579" t="s">
        <v>4</v>
      </c>
      <c r="I579" t="s">
        <v>363</v>
      </c>
      <c r="J579" t="s">
        <v>6</v>
      </c>
      <c r="K579" t="s">
        <v>227</v>
      </c>
      <c r="L579" t="s">
        <v>354</v>
      </c>
      <c r="M579" t="s">
        <v>338</v>
      </c>
      <c r="N579" t="s">
        <v>10</v>
      </c>
      <c r="O579" t="s">
        <v>0</v>
      </c>
      <c r="P579" t="s">
        <v>11</v>
      </c>
      <c r="Q579" s="5">
        <v>5</v>
      </c>
      <c r="R579" s="4">
        <v>46500</v>
      </c>
      <c r="S579" s="5">
        <v>1</v>
      </c>
      <c r="T579" s="4">
        <v>232500</v>
      </c>
      <c r="U579" s="5">
        <v>5</v>
      </c>
      <c r="V579" s="4">
        <v>232500</v>
      </c>
      <c r="W579" s="5">
        <v>5</v>
      </c>
      <c r="X579" s="4">
        <v>232500</v>
      </c>
      <c r="Y579" s="4">
        <f t="shared" ref="Y579:Y642" si="18">T579-V579</f>
        <v>0</v>
      </c>
      <c r="Z579" t="s">
        <v>0</v>
      </c>
      <c r="AA579" t="s">
        <v>2</v>
      </c>
      <c r="AB579" t="s">
        <v>12</v>
      </c>
      <c r="AC579">
        <f>_xlfn.XLOOKUP(AB579,'[1]GST Codes'!$A:$A,'[1]GST Codes'!$C:$C,0,0)</f>
        <v>18</v>
      </c>
      <c r="AD579">
        <f t="shared" ref="AD579:AD642" si="19">Y579+(Y579*AC579/100)</f>
        <v>0</v>
      </c>
      <c r="AE579" t="s">
        <v>13</v>
      </c>
      <c r="AF579" t="s">
        <v>0</v>
      </c>
      <c r="AG579" t="s">
        <v>14</v>
      </c>
      <c r="AH579" t="s">
        <v>15</v>
      </c>
      <c r="AI579" t="s">
        <v>16</v>
      </c>
      <c r="AJ579" t="s">
        <v>17</v>
      </c>
      <c r="AK579" t="s">
        <v>18</v>
      </c>
      <c r="AL579" t="s">
        <v>19</v>
      </c>
      <c r="AM579" t="s">
        <v>363</v>
      </c>
      <c r="AN579" t="s">
        <v>0</v>
      </c>
      <c r="AO579" t="s">
        <v>0</v>
      </c>
      <c r="AP579" t="s">
        <v>0</v>
      </c>
      <c r="AQ579" s="5">
        <v>5</v>
      </c>
      <c r="AR579" t="s">
        <v>11</v>
      </c>
      <c r="AS579" t="s">
        <v>0</v>
      </c>
      <c r="AT579" t="s">
        <v>17</v>
      </c>
      <c r="AU579" s="4">
        <v>0</v>
      </c>
      <c r="AV579" s="4">
        <v>0</v>
      </c>
      <c r="AW579" s="4">
        <v>0</v>
      </c>
      <c r="AX579" s="4">
        <v>0</v>
      </c>
      <c r="AY579" s="5">
        <v>0</v>
      </c>
      <c r="AZ579" s="5">
        <v>0</v>
      </c>
      <c r="BA579" s="5">
        <v>0</v>
      </c>
      <c r="BB579" s="2"/>
      <c r="BC579" t="s">
        <v>0</v>
      </c>
      <c r="BD579" s="5">
        <v>1</v>
      </c>
      <c r="BE579" t="s">
        <v>0</v>
      </c>
      <c r="BF579" t="s">
        <v>371</v>
      </c>
      <c r="BG579" t="s">
        <v>17</v>
      </c>
      <c r="BH579" t="s">
        <v>0</v>
      </c>
      <c r="BI579" t="s">
        <v>11</v>
      </c>
      <c r="BJ579" t="s">
        <v>0</v>
      </c>
      <c r="BK579" t="s">
        <v>0</v>
      </c>
      <c r="BL579" s="5">
        <v>0</v>
      </c>
      <c r="BM579" t="s">
        <v>0</v>
      </c>
      <c r="BN579" t="s">
        <v>0</v>
      </c>
      <c r="BO579" t="s">
        <v>0</v>
      </c>
      <c r="BP579" t="s">
        <v>17</v>
      </c>
      <c r="BQ579" t="s">
        <v>0</v>
      </c>
      <c r="BR579" t="s">
        <v>17</v>
      </c>
      <c r="BS579" t="s">
        <v>17</v>
      </c>
      <c r="BT579" t="s">
        <v>0</v>
      </c>
      <c r="BU579" t="s">
        <v>0</v>
      </c>
      <c r="BV579" t="s">
        <v>0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</row>
    <row r="580" spans="1:80" x14ac:dyDescent="0.25">
      <c r="A580" t="s">
        <v>375</v>
      </c>
      <c r="B580" s="2">
        <v>45855</v>
      </c>
      <c r="C580" s="2">
        <v>45855</v>
      </c>
      <c r="D580" s="2">
        <v>45886</v>
      </c>
      <c r="E580" t="s">
        <v>2</v>
      </c>
      <c r="F580" t="s">
        <v>3</v>
      </c>
      <c r="G580" t="s">
        <v>0</v>
      </c>
      <c r="H580" t="s">
        <v>4</v>
      </c>
      <c r="I580" t="s">
        <v>363</v>
      </c>
      <c r="J580" t="s">
        <v>6</v>
      </c>
      <c r="K580" t="s">
        <v>228</v>
      </c>
      <c r="L580" t="s">
        <v>354</v>
      </c>
      <c r="M580" t="s">
        <v>338</v>
      </c>
      <c r="N580" t="s">
        <v>10</v>
      </c>
      <c r="O580" t="s">
        <v>0</v>
      </c>
      <c r="P580" t="s">
        <v>11</v>
      </c>
      <c r="Q580" s="5">
        <v>5</v>
      </c>
      <c r="R580" s="4">
        <v>46500</v>
      </c>
      <c r="S580" s="5">
        <v>1</v>
      </c>
      <c r="T580" s="4">
        <v>232500</v>
      </c>
      <c r="U580" s="5">
        <v>5</v>
      </c>
      <c r="V580" s="4">
        <v>232500</v>
      </c>
      <c r="W580" s="5">
        <v>5</v>
      </c>
      <c r="X580" s="4">
        <v>232500</v>
      </c>
      <c r="Y580" s="4">
        <f t="shared" si="18"/>
        <v>0</v>
      </c>
      <c r="Z580" t="s">
        <v>0</v>
      </c>
      <c r="AA580" t="s">
        <v>2</v>
      </c>
      <c r="AB580" t="s">
        <v>12</v>
      </c>
      <c r="AC580">
        <f>_xlfn.XLOOKUP(AB580,'[1]GST Codes'!$A:$A,'[1]GST Codes'!$C:$C,0,0)</f>
        <v>18</v>
      </c>
      <c r="AD580">
        <f t="shared" si="19"/>
        <v>0</v>
      </c>
      <c r="AE580" t="s">
        <v>13</v>
      </c>
      <c r="AF580" t="s">
        <v>0</v>
      </c>
      <c r="AG580" t="s">
        <v>14</v>
      </c>
      <c r="AH580" t="s">
        <v>15</v>
      </c>
      <c r="AI580" t="s">
        <v>16</v>
      </c>
      <c r="AJ580" t="s">
        <v>17</v>
      </c>
      <c r="AK580" t="s">
        <v>18</v>
      </c>
      <c r="AL580" t="s">
        <v>19</v>
      </c>
      <c r="AM580" t="s">
        <v>363</v>
      </c>
      <c r="AN580" t="s">
        <v>0</v>
      </c>
      <c r="AO580" t="s">
        <v>0</v>
      </c>
      <c r="AP580" t="s">
        <v>0</v>
      </c>
      <c r="AQ580" s="5">
        <v>5</v>
      </c>
      <c r="AR580" t="s">
        <v>11</v>
      </c>
      <c r="AS580" t="s">
        <v>0</v>
      </c>
      <c r="AT580" t="s">
        <v>17</v>
      </c>
      <c r="AU580" s="4">
        <v>0</v>
      </c>
      <c r="AV580" s="4">
        <v>0</v>
      </c>
      <c r="AW580" s="4">
        <v>0</v>
      </c>
      <c r="AX580" s="4">
        <v>0</v>
      </c>
      <c r="AY580" s="5">
        <v>0</v>
      </c>
      <c r="AZ580" s="5">
        <v>0</v>
      </c>
      <c r="BA580" s="5">
        <v>0</v>
      </c>
      <c r="BB580" s="2"/>
      <c r="BC580" t="s">
        <v>0</v>
      </c>
      <c r="BD580" s="5">
        <v>1</v>
      </c>
      <c r="BE580" t="s">
        <v>0</v>
      </c>
      <c r="BF580" t="s">
        <v>371</v>
      </c>
      <c r="BG580" t="s">
        <v>17</v>
      </c>
      <c r="BH580" t="s">
        <v>0</v>
      </c>
      <c r="BI580" t="s">
        <v>11</v>
      </c>
      <c r="BJ580" t="s">
        <v>0</v>
      </c>
      <c r="BK580" t="s">
        <v>0</v>
      </c>
      <c r="BL580" s="5">
        <v>0</v>
      </c>
      <c r="BM580" t="s">
        <v>0</v>
      </c>
      <c r="BN580" t="s">
        <v>0</v>
      </c>
      <c r="BO580" t="s">
        <v>0</v>
      </c>
      <c r="BP580" t="s">
        <v>17</v>
      </c>
      <c r="BQ580" t="s">
        <v>0</v>
      </c>
      <c r="BR580" t="s">
        <v>17</v>
      </c>
      <c r="BS580" t="s">
        <v>17</v>
      </c>
      <c r="BT580" t="s">
        <v>0</v>
      </c>
      <c r="BU580" t="s">
        <v>0</v>
      </c>
      <c r="BV580" t="s">
        <v>0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</row>
    <row r="581" spans="1:80" x14ac:dyDescent="0.25">
      <c r="A581" t="s">
        <v>375</v>
      </c>
      <c r="B581" s="2">
        <v>45855</v>
      </c>
      <c r="C581" s="2">
        <v>45855</v>
      </c>
      <c r="D581" s="2">
        <v>45886</v>
      </c>
      <c r="E581" t="s">
        <v>2</v>
      </c>
      <c r="F581" t="s">
        <v>3</v>
      </c>
      <c r="G581" t="s">
        <v>0</v>
      </c>
      <c r="H581" t="s">
        <v>4</v>
      </c>
      <c r="I581" t="s">
        <v>363</v>
      </c>
      <c r="J581" t="s">
        <v>6</v>
      </c>
      <c r="K581" t="s">
        <v>231</v>
      </c>
      <c r="L581" t="s">
        <v>354</v>
      </c>
      <c r="M581" t="s">
        <v>338</v>
      </c>
      <c r="N581" t="s">
        <v>10</v>
      </c>
      <c r="O581" t="s">
        <v>0</v>
      </c>
      <c r="P581" t="s">
        <v>11</v>
      </c>
      <c r="Q581" s="5">
        <v>5</v>
      </c>
      <c r="R581" s="4">
        <v>46500</v>
      </c>
      <c r="S581" s="5">
        <v>1</v>
      </c>
      <c r="T581" s="4">
        <v>232500</v>
      </c>
      <c r="U581" s="5">
        <v>5</v>
      </c>
      <c r="V581" s="4">
        <v>232500</v>
      </c>
      <c r="W581" s="5">
        <v>5</v>
      </c>
      <c r="X581" s="4">
        <v>232500</v>
      </c>
      <c r="Y581" s="4">
        <f t="shared" si="18"/>
        <v>0</v>
      </c>
      <c r="Z581" t="s">
        <v>0</v>
      </c>
      <c r="AA581" t="s">
        <v>2</v>
      </c>
      <c r="AB581" t="s">
        <v>12</v>
      </c>
      <c r="AC581">
        <f>_xlfn.XLOOKUP(AB581,'[1]GST Codes'!$A:$A,'[1]GST Codes'!$C:$C,0,0)</f>
        <v>18</v>
      </c>
      <c r="AD581">
        <f t="shared" si="19"/>
        <v>0</v>
      </c>
      <c r="AE581" t="s">
        <v>13</v>
      </c>
      <c r="AF581" t="s">
        <v>0</v>
      </c>
      <c r="AG581" t="s">
        <v>14</v>
      </c>
      <c r="AH581" t="s">
        <v>15</v>
      </c>
      <c r="AI581" t="s">
        <v>16</v>
      </c>
      <c r="AJ581" t="s">
        <v>17</v>
      </c>
      <c r="AK581" t="s">
        <v>18</v>
      </c>
      <c r="AL581" t="s">
        <v>19</v>
      </c>
      <c r="AM581" t="s">
        <v>363</v>
      </c>
      <c r="AN581" t="s">
        <v>0</v>
      </c>
      <c r="AO581" t="s">
        <v>0</v>
      </c>
      <c r="AP581" t="s">
        <v>0</v>
      </c>
      <c r="AQ581" s="5">
        <v>5</v>
      </c>
      <c r="AR581" t="s">
        <v>11</v>
      </c>
      <c r="AS581" t="s">
        <v>0</v>
      </c>
      <c r="AT581" t="s">
        <v>17</v>
      </c>
      <c r="AU581" s="4">
        <v>0</v>
      </c>
      <c r="AV581" s="4">
        <v>0</v>
      </c>
      <c r="AW581" s="4">
        <v>0</v>
      </c>
      <c r="AX581" s="4">
        <v>0</v>
      </c>
      <c r="AY581" s="5">
        <v>0</v>
      </c>
      <c r="AZ581" s="5">
        <v>0</v>
      </c>
      <c r="BA581" s="5">
        <v>0</v>
      </c>
      <c r="BB581" s="2"/>
      <c r="BC581" t="s">
        <v>0</v>
      </c>
      <c r="BD581" s="5">
        <v>1</v>
      </c>
      <c r="BE581" t="s">
        <v>0</v>
      </c>
      <c r="BF581" t="s">
        <v>371</v>
      </c>
      <c r="BG581" t="s">
        <v>17</v>
      </c>
      <c r="BH581" t="s">
        <v>0</v>
      </c>
      <c r="BI581" t="s">
        <v>11</v>
      </c>
      <c r="BJ581" t="s">
        <v>0</v>
      </c>
      <c r="BK581" t="s">
        <v>0</v>
      </c>
      <c r="BL581" s="5">
        <v>0</v>
      </c>
      <c r="BM581" t="s">
        <v>0</v>
      </c>
      <c r="BN581" t="s">
        <v>0</v>
      </c>
      <c r="BO581" t="s">
        <v>0</v>
      </c>
      <c r="BP581" t="s">
        <v>17</v>
      </c>
      <c r="BQ581" t="s">
        <v>0</v>
      </c>
      <c r="BR581" t="s">
        <v>17</v>
      </c>
      <c r="BS581" t="s">
        <v>17</v>
      </c>
      <c r="BT581" t="s">
        <v>0</v>
      </c>
      <c r="BU581" t="s">
        <v>0</v>
      </c>
      <c r="BV581" t="s">
        <v>0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</row>
    <row r="582" spans="1:80" x14ac:dyDescent="0.25">
      <c r="A582" t="s">
        <v>375</v>
      </c>
      <c r="B582" s="2">
        <v>45855</v>
      </c>
      <c r="C582" s="2">
        <v>45855</v>
      </c>
      <c r="D582" s="2">
        <v>45886</v>
      </c>
      <c r="E582" t="s">
        <v>2</v>
      </c>
      <c r="F582" t="s">
        <v>3</v>
      </c>
      <c r="G582" t="s">
        <v>0</v>
      </c>
      <c r="H582" t="s">
        <v>4</v>
      </c>
      <c r="I582" t="s">
        <v>363</v>
      </c>
      <c r="J582" t="s">
        <v>6</v>
      </c>
      <c r="K582" t="s">
        <v>232</v>
      </c>
      <c r="L582" t="s">
        <v>354</v>
      </c>
      <c r="M582" t="s">
        <v>338</v>
      </c>
      <c r="N582" t="s">
        <v>10</v>
      </c>
      <c r="O582" t="s">
        <v>0</v>
      </c>
      <c r="P582" t="s">
        <v>11</v>
      </c>
      <c r="Q582" s="5">
        <v>5</v>
      </c>
      <c r="R582" s="4">
        <v>46500</v>
      </c>
      <c r="S582" s="5">
        <v>1</v>
      </c>
      <c r="T582" s="4">
        <v>232500</v>
      </c>
      <c r="U582" s="5">
        <v>5</v>
      </c>
      <c r="V582" s="4">
        <v>232500</v>
      </c>
      <c r="W582" s="5">
        <v>5</v>
      </c>
      <c r="X582" s="4">
        <v>232500</v>
      </c>
      <c r="Y582" s="4">
        <f t="shared" si="18"/>
        <v>0</v>
      </c>
      <c r="Z582" t="s">
        <v>0</v>
      </c>
      <c r="AA582" t="s">
        <v>2</v>
      </c>
      <c r="AB582" t="s">
        <v>12</v>
      </c>
      <c r="AC582">
        <f>_xlfn.XLOOKUP(AB582,'[1]GST Codes'!$A:$A,'[1]GST Codes'!$C:$C,0,0)</f>
        <v>18</v>
      </c>
      <c r="AD582">
        <f t="shared" si="19"/>
        <v>0</v>
      </c>
      <c r="AE582" t="s">
        <v>13</v>
      </c>
      <c r="AF582" t="s">
        <v>0</v>
      </c>
      <c r="AG582" t="s">
        <v>14</v>
      </c>
      <c r="AH582" t="s">
        <v>15</v>
      </c>
      <c r="AI582" t="s">
        <v>16</v>
      </c>
      <c r="AJ582" t="s">
        <v>17</v>
      </c>
      <c r="AK582" t="s">
        <v>18</v>
      </c>
      <c r="AL582" t="s">
        <v>19</v>
      </c>
      <c r="AM582" t="s">
        <v>363</v>
      </c>
      <c r="AN582" t="s">
        <v>0</v>
      </c>
      <c r="AO582" t="s">
        <v>0</v>
      </c>
      <c r="AP582" t="s">
        <v>0</v>
      </c>
      <c r="AQ582" s="5">
        <v>5</v>
      </c>
      <c r="AR582" t="s">
        <v>11</v>
      </c>
      <c r="AS582" t="s">
        <v>0</v>
      </c>
      <c r="AT582" t="s">
        <v>17</v>
      </c>
      <c r="AU582" s="4">
        <v>0</v>
      </c>
      <c r="AV582" s="4">
        <v>0</v>
      </c>
      <c r="AW582" s="4">
        <v>0</v>
      </c>
      <c r="AX582" s="4">
        <v>0</v>
      </c>
      <c r="AY582" s="5">
        <v>0</v>
      </c>
      <c r="AZ582" s="5">
        <v>0</v>
      </c>
      <c r="BA582" s="5">
        <v>0</v>
      </c>
      <c r="BB582" s="2"/>
      <c r="BC582" t="s">
        <v>0</v>
      </c>
      <c r="BD582" s="5">
        <v>1</v>
      </c>
      <c r="BE582" t="s">
        <v>0</v>
      </c>
      <c r="BF582" t="s">
        <v>371</v>
      </c>
      <c r="BG582" t="s">
        <v>17</v>
      </c>
      <c r="BH582" t="s">
        <v>0</v>
      </c>
      <c r="BI582" t="s">
        <v>11</v>
      </c>
      <c r="BJ582" t="s">
        <v>0</v>
      </c>
      <c r="BK582" t="s">
        <v>0</v>
      </c>
      <c r="BL582" s="5">
        <v>0</v>
      </c>
      <c r="BM582" t="s">
        <v>0</v>
      </c>
      <c r="BN582" t="s">
        <v>0</v>
      </c>
      <c r="BO582" t="s">
        <v>0</v>
      </c>
      <c r="BP582" t="s">
        <v>17</v>
      </c>
      <c r="BQ582" t="s">
        <v>0</v>
      </c>
      <c r="BR582" t="s">
        <v>17</v>
      </c>
      <c r="BS582" t="s">
        <v>17</v>
      </c>
      <c r="BT582" t="s">
        <v>0</v>
      </c>
      <c r="BU582" t="s">
        <v>0</v>
      </c>
      <c r="BV582" t="s">
        <v>0</v>
      </c>
      <c r="BW582" t="s">
        <v>0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</row>
    <row r="583" spans="1:80" x14ac:dyDescent="0.25">
      <c r="A583" t="s">
        <v>375</v>
      </c>
      <c r="B583" s="2">
        <v>45855</v>
      </c>
      <c r="C583" s="2">
        <v>45855</v>
      </c>
      <c r="D583" s="2">
        <v>45886</v>
      </c>
      <c r="E583" t="s">
        <v>2</v>
      </c>
      <c r="F583" t="s">
        <v>3</v>
      </c>
      <c r="G583" t="s">
        <v>0</v>
      </c>
      <c r="H583" t="s">
        <v>4</v>
      </c>
      <c r="I583" t="s">
        <v>363</v>
      </c>
      <c r="J583" t="s">
        <v>6</v>
      </c>
      <c r="K583" t="s">
        <v>233</v>
      </c>
      <c r="L583" t="s">
        <v>354</v>
      </c>
      <c r="M583" t="s">
        <v>338</v>
      </c>
      <c r="N583" t="s">
        <v>10</v>
      </c>
      <c r="O583" t="s">
        <v>0</v>
      </c>
      <c r="P583" t="s">
        <v>11</v>
      </c>
      <c r="Q583" s="5">
        <v>5</v>
      </c>
      <c r="R583" s="4">
        <v>46500</v>
      </c>
      <c r="S583" s="5">
        <v>1</v>
      </c>
      <c r="T583" s="4">
        <v>232500</v>
      </c>
      <c r="U583" s="5">
        <v>5</v>
      </c>
      <c r="V583" s="4">
        <v>232500</v>
      </c>
      <c r="W583" s="5">
        <v>5</v>
      </c>
      <c r="X583" s="4">
        <v>232500</v>
      </c>
      <c r="Y583" s="4">
        <f t="shared" si="18"/>
        <v>0</v>
      </c>
      <c r="Z583" t="s">
        <v>0</v>
      </c>
      <c r="AA583" t="s">
        <v>2</v>
      </c>
      <c r="AB583" t="s">
        <v>12</v>
      </c>
      <c r="AC583">
        <f>_xlfn.XLOOKUP(AB583,'[1]GST Codes'!$A:$A,'[1]GST Codes'!$C:$C,0,0)</f>
        <v>18</v>
      </c>
      <c r="AD583">
        <f t="shared" si="19"/>
        <v>0</v>
      </c>
      <c r="AE583" t="s">
        <v>13</v>
      </c>
      <c r="AF583" t="s">
        <v>0</v>
      </c>
      <c r="AG583" t="s">
        <v>14</v>
      </c>
      <c r="AH583" t="s">
        <v>15</v>
      </c>
      <c r="AI583" t="s">
        <v>16</v>
      </c>
      <c r="AJ583" t="s">
        <v>17</v>
      </c>
      <c r="AK583" t="s">
        <v>18</v>
      </c>
      <c r="AL583" t="s">
        <v>19</v>
      </c>
      <c r="AM583" t="s">
        <v>363</v>
      </c>
      <c r="AN583" t="s">
        <v>0</v>
      </c>
      <c r="AO583" t="s">
        <v>0</v>
      </c>
      <c r="AP583" t="s">
        <v>0</v>
      </c>
      <c r="AQ583" s="5">
        <v>5</v>
      </c>
      <c r="AR583" t="s">
        <v>11</v>
      </c>
      <c r="AS583" t="s">
        <v>0</v>
      </c>
      <c r="AT583" t="s">
        <v>17</v>
      </c>
      <c r="AU583" s="4">
        <v>0</v>
      </c>
      <c r="AV583" s="4">
        <v>0</v>
      </c>
      <c r="AW583" s="4">
        <v>0</v>
      </c>
      <c r="AX583" s="4">
        <v>0</v>
      </c>
      <c r="AY583" s="5">
        <v>0</v>
      </c>
      <c r="AZ583" s="5">
        <v>0</v>
      </c>
      <c r="BA583" s="5">
        <v>0</v>
      </c>
      <c r="BB583" s="2"/>
      <c r="BC583" t="s">
        <v>0</v>
      </c>
      <c r="BD583" s="5">
        <v>1</v>
      </c>
      <c r="BE583" t="s">
        <v>0</v>
      </c>
      <c r="BF583" t="s">
        <v>371</v>
      </c>
      <c r="BG583" t="s">
        <v>17</v>
      </c>
      <c r="BH583" t="s">
        <v>0</v>
      </c>
      <c r="BI583" t="s">
        <v>11</v>
      </c>
      <c r="BJ583" t="s">
        <v>0</v>
      </c>
      <c r="BK583" t="s">
        <v>0</v>
      </c>
      <c r="BL583" s="5">
        <v>0</v>
      </c>
      <c r="BM583" t="s">
        <v>0</v>
      </c>
      <c r="BN583" t="s">
        <v>0</v>
      </c>
      <c r="BO583" t="s">
        <v>0</v>
      </c>
      <c r="BP583" t="s">
        <v>17</v>
      </c>
      <c r="BQ583" t="s">
        <v>0</v>
      </c>
      <c r="BR583" t="s">
        <v>17</v>
      </c>
      <c r="BS583" t="s">
        <v>17</v>
      </c>
      <c r="BT583" t="s">
        <v>0</v>
      </c>
      <c r="BU583" t="s">
        <v>0</v>
      </c>
      <c r="BV583" t="s">
        <v>0</v>
      </c>
      <c r="BW583" t="s">
        <v>0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</row>
    <row r="584" spans="1:80" x14ac:dyDescent="0.25">
      <c r="A584" t="s">
        <v>375</v>
      </c>
      <c r="B584" s="2">
        <v>45855</v>
      </c>
      <c r="C584" s="2">
        <v>45855</v>
      </c>
      <c r="D584" s="2">
        <v>45886</v>
      </c>
      <c r="E584" t="s">
        <v>2</v>
      </c>
      <c r="F584" t="s">
        <v>3</v>
      </c>
      <c r="G584" t="s">
        <v>0</v>
      </c>
      <c r="H584" t="s">
        <v>4</v>
      </c>
      <c r="I584" t="s">
        <v>363</v>
      </c>
      <c r="J584" t="s">
        <v>6</v>
      </c>
      <c r="K584" t="s">
        <v>237</v>
      </c>
      <c r="L584" t="s">
        <v>354</v>
      </c>
      <c r="M584" t="s">
        <v>338</v>
      </c>
      <c r="N584" t="s">
        <v>10</v>
      </c>
      <c r="O584" t="s">
        <v>0</v>
      </c>
      <c r="P584" t="s">
        <v>11</v>
      </c>
      <c r="Q584" s="5">
        <v>5</v>
      </c>
      <c r="R584" s="4">
        <v>46500</v>
      </c>
      <c r="S584" s="5">
        <v>1</v>
      </c>
      <c r="T584" s="4">
        <v>232500</v>
      </c>
      <c r="U584" s="5">
        <v>5</v>
      </c>
      <c r="V584" s="4">
        <v>232500</v>
      </c>
      <c r="W584" s="5">
        <v>5</v>
      </c>
      <c r="X584" s="4">
        <v>232500</v>
      </c>
      <c r="Y584" s="4">
        <f t="shared" si="18"/>
        <v>0</v>
      </c>
      <c r="Z584" t="s">
        <v>0</v>
      </c>
      <c r="AA584" t="s">
        <v>2</v>
      </c>
      <c r="AB584" t="s">
        <v>12</v>
      </c>
      <c r="AC584">
        <f>_xlfn.XLOOKUP(AB584,'[1]GST Codes'!$A:$A,'[1]GST Codes'!$C:$C,0,0)</f>
        <v>18</v>
      </c>
      <c r="AD584">
        <f t="shared" si="19"/>
        <v>0</v>
      </c>
      <c r="AE584" t="s">
        <v>13</v>
      </c>
      <c r="AF584" t="s">
        <v>0</v>
      </c>
      <c r="AG584" t="s">
        <v>14</v>
      </c>
      <c r="AH584" t="s">
        <v>15</v>
      </c>
      <c r="AI584" t="s">
        <v>16</v>
      </c>
      <c r="AJ584" t="s">
        <v>17</v>
      </c>
      <c r="AK584" t="s">
        <v>18</v>
      </c>
      <c r="AL584" t="s">
        <v>19</v>
      </c>
      <c r="AM584" t="s">
        <v>363</v>
      </c>
      <c r="AN584" t="s">
        <v>0</v>
      </c>
      <c r="AO584" t="s">
        <v>0</v>
      </c>
      <c r="AP584" t="s">
        <v>0</v>
      </c>
      <c r="AQ584" s="5">
        <v>5</v>
      </c>
      <c r="AR584" t="s">
        <v>11</v>
      </c>
      <c r="AS584" t="s">
        <v>0</v>
      </c>
      <c r="AT584" t="s">
        <v>17</v>
      </c>
      <c r="AU584" s="4">
        <v>0</v>
      </c>
      <c r="AV584" s="4">
        <v>0</v>
      </c>
      <c r="AW584" s="4">
        <v>0</v>
      </c>
      <c r="AX584" s="4">
        <v>0</v>
      </c>
      <c r="AY584" s="5">
        <v>0</v>
      </c>
      <c r="AZ584" s="5">
        <v>0</v>
      </c>
      <c r="BA584" s="5">
        <v>0</v>
      </c>
      <c r="BB584" s="2"/>
      <c r="BC584" t="s">
        <v>0</v>
      </c>
      <c r="BD584" s="5">
        <v>1</v>
      </c>
      <c r="BE584" t="s">
        <v>0</v>
      </c>
      <c r="BF584" t="s">
        <v>371</v>
      </c>
      <c r="BG584" t="s">
        <v>17</v>
      </c>
      <c r="BH584" t="s">
        <v>0</v>
      </c>
      <c r="BI584" t="s">
        <v>11</v>
      </c>
      <c r="BJ584" t="s">
        <v>0</v>
      </c>
      <c r="BK584" t="s">
        <v>0</v>
      </c>
      <c r="BL584" s="5">
        <v>0</v>
      </c>
      <c r="BM584" t="s">
        <v>0</v>
      </c>
      <c r="BN584" t="s">
        <v>0</v>
      </c>
      <c r="BO584" t="s">
        <v>0</v>
      </c>
      <c r="BP584" t="s">
        <v>17</v>
      </c>
      <c r="BQ584" t="s">
        <v>0</v>
      </c>
      <c r="BR584" t="s">
        <v>17</v>
      </c>
      <c r="BS584" t="s">
        <v>17</v>
      </c>
      <c r="BT584" t="s">
        <v>0</v>
      </c>
      <c r="BU584" t="s">
        <v>0</v>
      </c>
      <c r="BV584" t="s">
        <v>0</v>
      </c>
      <c r="BW584" t="s">
        <v>0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</row>
    <row r="585" spans="1:80" x14ac:dyDescent="0.25">
      <c r="A585" t="s">
        <v>375</v>
      </c>
      <c r="B585" s="2">
        <v>45855</v>
      </c>
      <c r="C585" s="2">
        <v>45855</v>
      </c>
      <c r="D585" s="2">
        <v>45886</v>
      </c>
      <c r="E585" t="s">
        <v>2</v>
      </c>
      <c r="F585" t="s">
        <v>3</v>
      </c>
      <c r="G585" t="s">
        <v>0</v>
      </c>
      <c r="H585" t="s">
        <v>4</v>
      </c>
      <c r="I585" t="s">
        <v>363</v>
      </c>
      <c r="J585" t="s">
        <v>6</v>
      </c>
      <c r="K585" t="s">
        <v>238</v>
      </c>
      <c r="L585" t="s">
        <v>329</v>
      </c>
      <c r="M585" t="s">
        <v>339</v>
      </c>
      <c r="N585" t="s">
        <v>10</v>
      </c>
      <c r="O585" t="s">
        <v>0</v>
      </c>
      <c r="P585" t="s">
        <v>11</v>
      </c>
      <c r="Q585" s="5">
        <v>5</v>
      </c>
      <c r="R585" s="4">
        <v>46500</v>
      </c>
      <c r="S585" s="5">
        <v>1</v>
      </c>
      <c r="T585" s="4">
        <v>232500</v>
      </c>
      <c r="U585" s="5">
        <v>5</v>
      </c>
      <c r="V585" s="4">
        <v>232500</v>
      </c>
      <c r="W585" s="5">
        <v>5</v>
      </c>
      <c r="X585" s="4">
        <v>232500</v>
      </c>
      <c r="Y585" s="4">
        <f t="shared" si="18"/>
        <v>0</v>
      </c>
      <c r="Z585" t="s">
        <v>0</v>
      </c>
      <c r="AA585" t="s">
        <v>2</v>
      </c>
      <c r="AB585" t="s">
        <v>12</v>
      </c>
      <c r="AC585">
        <f>_xlfn.XLOOKUP(AB585,'[1]GST Codes'!$A:$A,'[1]GST Codes'!$C:$C,0,0)</f>
        <v>18</v>
      </c>
      <c r="AD585">
        <f t="shared" si="19"/>
        <v>0</v>
      </c>
      <c r="AE585" t="s">
        <v>13</v>
      </c>
      <c r="AF585" t="s">
        <v>0</v>
      </c>
      <c r="AG585" t="s">
        <v>14</v>
      </c>
      <c r="AH585" t="s">
        <v>15</v>
      </c>
      <c r="AI585" t="s">
        <v>16</v>
      </c>
      <c r="AJ585" t="s">
        <v>17</v>
      </c>
      <c r="AK585" t="s">
        <v>18</v>
      </c>
      <c r="AL585" t="s">
        <v>19</v>
      </c>
      <c r="AM585" t="s">
        <v>363</v>
      </c>
      <c r="AN585" t="s">
        <v>0</v>
      </c>
      <c r="AO585" t="s">
        <v>0</v>
      </c>
      <c r="AP585" t="s">
        <v>0</v>
      </c>
      <c r="AQ585" s="5">
        <v>5</v>
      </c>
      <c r="AR585" t="s">
        <v>11</v>
      </c>
      <c r="AS585" t="s">
        <v>0</v>
      </c>
      <c r="AT585" t="s">
        <v>17</v>
      </c>
      <c r="AU585" s="4">
        <v>0</v>
      </c>
      <c r="AV585" s="4">
        <v>0</v>
      </c>
      <c r="AW585" s="4">
        <v>0</v>
      </c>
      <c r="AX585" s="4">
        <v>0</v>
      </c>
      <c r="AY585" s="5">
        <v>0</v>
      </c>
      <c r="AZ585" s="5">
        <v>0</v>
      </c>
      <c r="BA585" s="5">
        <v>0</v>
      </c>
      <c r="BB585" s="2"/>
      <c r="BC585" t="s">
        <v>0</v>
      </c>
      <c r="BD585" s="5">
        <v>1</v>
      </c>
      <c r="BE585" t="s">
        <v>0</v>
      </c>
      <c r="BF585" t="s">
        <v>365</v>
      </c>
      <c r="BG585" t="s">
        <v>17</v>
      </c>
      <c r="BH585" t="s">
        <v>0</v>
      </c>
      <c r="BI585" t="s">
        <v>11</v>
      </c>
      <c r="BJ585" t="s">
        <v>0</v>
      </c>
      <c r="BK585" t="s">
        <v>0</v>
      </c>
      <c r="BL585" s="5">
        <v>0</v>
      </c>
      <c r="BM585" t="s">
        <v>0</v>
      </c>
      <c r="BN585" t="s">
        <v>0</v>
      </c>
      <c r="BO585" t="s">
        <v>0</v>
      </c>
      <c r="BP585" t="s">
        <v>17</v>
      </c>
      <c r="BQ585" t="s">
        <v>0</v>
      </c>
      <c r="BR585" t="s">
        <v>17</v>
      </c>
      <c r="BS585" t="s">
        <v>17</v>
      </c>
      <c r="BT585" t="s">
        <v>0</v>
      </c>
      <c r="BU585" t="s">
        <v>0</v>
      </c>
      <c r="BV585" t="s">
        <v>0</v>
      </c>
      <c r="BW585" t="s">
        <v>0</v>
      </c>
      <c r="BX585" t="s">
        <v>0</v>
      </c>
      <c r="BY585" t="s">
        <v>0</v>
      </c>
      <c r="BZ585" t="s">
        <v>0</v>
      </c>
      <c r="CA585" t="s">
        <v>0</v>
      </c>
      <c r="CB585" t="s">
        <v>0</v>
      </c>
    </row>
    <row r="586" spans="1:80" x14ac:dyDescent="0.25">
      <c r="A586" t="s">
        <v>375</v>
      </c>
      <c r="B586" s="2">
        <v>45855</v>
      </c>
      <c r="C586" s="2">
        <v>45855</v>
      </c>
      <c r="D586" s="2">
        <v>45886</v>
      </c>
      <c r="E586" t="s">
        <v>2</v>
      </c>
      <c r="F586" t="s">
        <v>3</v>
      </c>
      <c r="G586" t="s">
        <v>0</v>
      </c>
      <c r="H586" t="s">
        <v>4</v>
      </c>
      <c r="I586" t="s">
        <v>363</v>
      </c>
      <c r="J586" t="s">
        <v>6</v>
      </c>
      <c r="K586" t="s">
        <v>239</v>
      </c>
      <c r="L586" t="s">
        <v>329</v>
      </c>
      <c r="M586" t="s">
        <v>339</v>
      </c>
      <c r="N586" t="s">
        <v>10</v>
      </c>
      <c r="O586" t="s">
        <v>0</v>
      </c>
      <c r="P586" t="s">
        <v>11</v>
      </c>
      <c r="Q586" s="5">
        <v>5</v>
      </c>
      <c r="R586" s="4">
        <v>46500</v>
      </c>
      <c r="S586" s="5">
        <v>1</v>
      </c>
      <c r="T586" s="4">
        <v>232500</v>
      </c>
      <c r="U586" s="5">
        <v>5</v>
      </c>
      <c r="V586" s="4">
        <v>232500</v>
      </c>
      <c r="W586" s="5">
        <v>5</v>
      </c>
      <c r="X586" s="4">
        <v>232500</v>
      </c>
      <c r="Y586" s="4">
        <f t="shared" si="18"/>
        <v>0</v>
      </c>
      <c r="Z586" t="s">
        <v>0</v>
      </c>
      <c r="AA586" t="s">
        <v>2</v>
      </c>
      <c r="AB586" t="s">
        <v>12</v>
      </c>
      <c r="AC586">
        <f>_xlfn.XLOOKUP(AB586,'[1]GST Codes'!$A:$A,'[1]GST Codes'!$C:$C,0,0)</f>
        <v>18</v>
      </c>
      <c r="AD586">
        <f t="shared" si="19"/>
        <v>0</v>
      </c>
      <c r="AE586" t="s">
        <v>13</v>
      </c>
      <c r="AF586" t="s">
        <v>0</v>
      </c>
      <c r="AG586" t="s">
        <v>14</v>
      </c>
      <c r="AH586" t="s">
        <v>15</v>
      </c>
      <c r="AI586" t="s">
        <v>16</v>
      </c>
      <c r="AJ586" t="s">
        <v>17</v>
      </c>
      <c r="AK586" t="s">
        <v>18</v>
      </c>
      <c r="AL586" t="s">
        <v>19</v>
      </c>
      <c r="AM586" t="s">
        <v>363</v>
      </c>
      <c r="AN586" t="s">
        <v>0</v>
      </c>
      <c r="AO586" t="s">
        <v>0</v>
      </c>
      <c r="AP586" t="s">
        <v>0</v>
      </c>
      <c r="AQ586" s="5">
        <v>5</v>
      </c>
      <c r="AR586" t="s">
        <v>11</v>
      </c>
      <c r="AS586" t="s">
        <v>0</v>
      </c>
      <c r="AT586" t="s">
        <v>17</v>
      </c>
      <c r="AU586" s="4">
        <v>0</v>
      </c>
      <c r="AV586" s="4">
        <v>0</v>
      </c>
      <c r="AW586" s="4">
        <v>0</v>
      </c>
      <c r="AX586" s="4">
        <v>0</v>
      </c>
      <c r="AY586" s="5">
        <v>0</v>
      </c>
      <c r="AZ586" s="5">
        <v>0</v>
      </c>
      <c r="BA586" s="5">
        <v>0</v>
      </c>
      <c r="BB586" s="2"/>
      <c r="BC586" t="s">
        <v>0</v>
      </c>
      <c r="BD586" s="5">
        <v>1</v>
      </c>
      <c r="BE586" t="s">
        <v>0</v>
      </c>
      <c r="BF586" t="s">
        <v>365</v>
      </c>
      <c r="BG586" t="s">
        <v>17</v>
      </c>
      <c r="BH586" t="s">
        <v>0</v>
      </c>
      <c r="BI586" t="s">
        <v>11</v>
      </c>
      <c r="BJ586" t="s">
        <v>0</v>
      </c>
      <c r="BK586" t="s">
        <v>0</v>
      </c>
      <c r="BL586" s="5">
        <v>0</v>
      </c>
      <c r="BM586" t="s">
        <v>0</v>
      </c>
      <c r="BN586" t="s">
        <v>0</v>
      </c>
      <c r="BO586" t="s">
        <v>0</v>
      </c>
      <c r="BP586" t="s">
        <v>17</v>
      </c>
      <c r="BQ586" t="s">
        <v>0</v>
      </c>
      <c r="BR586" t="s">
        <v>17</v>
      </c>
      <c r="BS586" t="s">
        <v>17</v>
      </c>
      <c r="BT586" t="s">
        <v>0</v>
      </c>
      <c r="BU586" t="s">
        <v>0</v>
      </c>
      <c r="BV586" t="s">
        <v>0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</row>
    <row r="587" spans="1:80" x14ac:dyDescent="0.25">
      <c r="A587" t="s">
        <v>375</v>
      </c>
      <c r="B587" s="2">
        <v>45855</v>
      </c>
      <c r="C587" s="2">
        <v>45855</v>
      </c>
      <c r="D587" s="2">
        <v>45886</v>
      </c>
      <c r="E587" t="s">
        <v>2</v>
      </c>
      <c r="F587" t="s">
        <v>3</v>
      </c>
      <c r="G587" t="s">
        <v>0</v>
      </c>
      <c r="H587" t="s">
        <v>4</v>
      </c>
      <c r="I587" t="s">
        <v>363</v>
      </c>
      <c r="J587" t="s">
        <v>6</v>
      </c>
      <c r="K587" t="s">
        <v>240</v>
      </c>
      <c r="L587" t="s">
        <v>329</v>
      </c>
      <c r="M587" t="s">
        <v>339</v>
      </c>
      <c r="N587" t="s">
        <v>10</v>
      </c>
      <c r="O587" t="s">
        <v>0</v>
      </c>
      <c r="P587" t="s">
        <v>11</v>
      </c>
      <c r="Q587" s="5">
        <v>5</v>
      </c>
      <c r="R587" s="4">
        <v>46500</v>
      </c>
      <c r="S587" s="5">
        <v>1</v>
      </c>
      <c r="T587" s="4">
        <v>232500</v>
      </c>
      <c r="U587" s="5">
        <v>5</v>
      </c>
      <c r="V587" s="4">
        <v>232500</v>
      </c>
      <c r="W587" s="5">
        <v>5</v>
      </c>
      <c r="X587" s="4">
        <v>232500</v>
      </c>
      <c r="Y587" s="4">
        <f t="shared" si="18"/>
        <v>0</v>
      </c>
      <c r="Z587" t="s">
        <v>0</v>
      </c>
      <c r="AA587" t="s">
        <v>2</v>
      </c>
      <c r="AB587" t="s">
        <v>12</v>
      </c>
      <c r="AC587">
        <f>_xlfn.XLOOKUP(AB587,'[1]GST Codes'!$A:$A,'[1]GST Codes'!$C:$C,0,0)</f>
        <v>18</v>
      </c>
      <c r="AD587">
        <f t="shared" si="19"/>
        <v>0</v>
      </c>
      <c r="AE587" t="s">
        <v>13</v>
      </c>
      <c r="AF587" t="s">
        <v>0</v>
      </c>
      <c r="AG587" t="s">
        <v>14</v>
      </c>
      <c r="AH587" t="s">
        <v>15</v>
      </c>
      <c r="AI587" t="s">
        <v>16</v>
      </c>
      <c r="AJ587" t="s">
        <v>17</v>
      </c>
      <c r="AK587" t="s">
        <v>18</v>
      </c>
      <c r="AL587" t="s">
        <v>19</v>
      </c>
      <c r="AM587" t="s">
        <v>363</v>
      </c>
      <c r="AN587" t="s">
        <v>0</v>
      </c>
      <c r="AO587" t="s">
        <v>0</v>
      </c>
      <c r="AP587" t="s">
        <v>0</v>
      </c>
      <c r="AQ587" s="5">
        <v>5</v>
      </c>
      <c r="AR587" t="s">
        <v>11</v>
      </c>
      <c r="AS587" t="s">
        <v>0</v>
      </c>
      <c r="AT587" t="s">
        <v>17</v>
      </c>
      <c r="AU587" s="4">
        <v>0</v>
      </c>
      <c r="AV587" s="4">
        <v>0</v>
      </c>
      <c r="AW587" s="4">
        <v>0</v>
      </c>
      <c r="AX587" s="4">
        <v>0</v>
      </c>
      <c r="AY587" s="5">
        <v>0</v>
      </c>
      <c r="AZ587" s="5">
        <v>0</v>
      </c>
      <c r="BA587" s="5">
        <v>0</v>
      </c>
      <c r="BB587" s="2"/>
      <c r="BC587" t="s">
        <v>0</v>
      </c>
      <c r="BD587" s="5">
        <v>1</v>
      </c>
      <c r="BE587" t="s">
        <v>0</v>
      </c>
      <c r="BF587" t="s">
        <v>365</v>
      </c>
      <c r="BG587" t="s">
        <v>17</v>
      </c>
      <c r="BH587" t="s">
        <v>0</v>
      </c>
      <c r="BI587" t="s">
        <v>11</v>
      </c>
      <c r="BJ587" t="s">
        <v>0</v>
      </c>
      <c r="BK587" t="s">
        <v>0</v>
      </c>
      <c r="BL587" s="5">
        <v>0</v>
      </c>
      <c r="BM587" t="s">
        <v>0</v>
      </c>
      <c r="BN587" t="s">
        <v>0</v>
      </c>
      <c r="BO587" t="s">
        <v>0</v>
      </c>
      <c r="BP587" t="s">
        <v>17</v>
      </c>
      <c r="BQ587" t="s">
        <v>0</v>
      </c>
      <c r="BR587" t="s">
        <v>17</v>
      </c>
      <c r="BS587" t="s">
        <v>17</v>
      </c>
      <c r="BT587" t="s">
        <v>0</v>
      </c>
      <c r="BU587" t="s">
        <v>0</v>
      </c>
      <c r="BV587" t="s">
        <v>0</v>
      </c>
      <c r="BW587" t="s">
        <v>0</v>
      </c>
      <c r="BX587" t="s">
        <v>0</v>
      </c>
      <c r="BY587" t="s">
        <v>0</v>
      </c>
      <c r="BZ587" t="s">
        <v>0</v>
      </c>
      <c r="CA587" t="s">
        <v>0</v>
      </c>
      <c r="CB587" t="s">
        <v>0</v>
      </c>
    </row>
    <row r="588" spans="1:80" x14ac:dyDescent="0.25">
      <c r="A588" t="s">
        <v>375</v>
      </c>
      <c r="B588" s="2">
        <v>45855</v>
      </c>
      <c r="C588" s="2">
        <v>45855</v>
      </c>
      <c r="D588" s="2">
        <v>45886</v>
      </c>
      <c r="E588" t="s">
        <v>2</v>
      </c>
      <c r="F588" t="s">
        <v>3</v>
      </c>
      <c r="G588" t="s">
        <v>0</v>
      </c>
      <c r="H588" t="s">
        <v>4</v>
      </c>
      <c r="I588" t="s">
        <v>363</v>
      </c>
      <c r="J588" t="s">
        <v>6</v>
      </c>
      <c r="K588" t="s">
        <v>241</v>
      </c>
      <c r="L588" t="s">
        <v>329</v>
      </c>
      <c r="M588" t="s">
        <v>339</v>
      </c>
      <c r="N588" t="s">
        <v>10</v>
      </c>
      <c r="O588" t="s">
        <v>0</v>
      </c>
      <c r="P588" t="s">
        <v>11</v>
      </c>
      <c r="Q588" s="5">
        <v>5</v>
      </c>
      <c r="R588" s="4">
        <v>46500</v>
      </c>
      <c r="S588" s="5">
        <v>1</v>
      </c>
      <c r="T588" s="4">
        <v>232500</v>
      </c>
      <c r="U588" s="5">
        <v>5</v>
      </c>
      <c r="V588" s="4">
        <v>232500</v>
      </c>
      <c r="W588" s="5">
        <v>5</v>
      </c>
      <c r="X588" s="4">
        <v>232500</v>
      </c>
      <c r="Y588" s="4">
        <f t="shared" si="18"/>
        <v>0</v>
      </c>
      <c r="Z588" t="s">
        <v>0</v>
      </c>
      <c r="AA588" t="s">
        <v>2</v>
      </c>
      <c r="AB588" t="s">
        <v>12</v>
      </c>
      <c r="AC588">
        <f>_xlfn.XLOOKUP(AB588,'[1]GST Codes'!$A:$A,'[1]GST Codes'!$C:$C,0,0)</f>
        <v>18</v>
      </c>
      <c r="AD588">
        <f t="shared" si="19"/>
        <v>0</v>
      </c>
      <c r="AE588" t="s">
        <v>13</v>
      </c>
      <c r="AF588" t="s">
        <v>0</v>
      </c>
      <c r="AG588" t="s">
        <v>14</v>
      </c>
      <c r="AH588" t="s">
        <v>15</v>
      </c>
      <c r="AI588" t="s">
        <v>16</v>
      </c>
      <c r="AJ588" t="s">
        <v>17</v>
      </c>
      <c r="AK588" t="s">
        <v>18</v>
      </c>
      <c r="AL588" t="s">
        <v>19</v>
      </c>
      <c r="AM588" t="s">
        <v>363</v>
      </c>
      <c r="AN588" t="s">
        <v>0</v>
      </c>
      <c r="AO588" t="s">
        <v>0</v>
      </c>
      <c r="AP588" t="s">
        <v>0</v>
      </c>
      <c r="AQ588" s="5">
        <v>5</v>
      </c>
      <c r="AR588" t="s">
        <v>11</v>
      </c>
      <c r="AS588" t="s">
        <v>0</v>
      </c>
      <c r="AT588" t="s">
        <v>17</v>
      </c>
      <c r="AU588" s="4">
        <v>0</v>
      </c>
      <c r="AV588" s="4">
        <v>0</v>
      </c>
      <c r="AW588" s="4">
        <v>0</v>
      </c>
      <c r="AX588" s="4">
        <v>0</v>
      </c>
      <c r="AY588" s="5">
        <v>0</v>
      </c>
      <c r="AZ588" s="5">
        <v>0</v>
      </c>
      <c r="BA588" s="5">
        <v>0</v>
      </c>
      <c r="BB588" s="2"/>
      <c r="BC588" t="s">
        <v>0</v>
      </c>
      <c r="BD588" s="5">
        <v>1</v>
      </c>
      <c r="BE588" t="s">
        <v>0</v>
      </c>
      <c r="BF588" t="s">
        <v>365</v>
      </c>
      <c r="BG588" t="s">
        <v>17</v>
      </c>
      <c r="BH588" t="s">
        <v>0</v>
      </c>
      <c r="BI588" t="s">
        <v>11</v>
      </c>
      <c r="BJ588" t="s">
        <v>0</v>
      </c>
      <c r="BK588" t="s">
        <v>0</v>
      </c>
      <c r="BL588" s="5">
        <v>0</v>
      </c>
      <c r="BM588" t="s">
        <v>0</v>
      </c>
      <c r="BN588" t="s">
        <v>0</v>
      </c>
      <c r="BO588" t="s">
        <v>0</v>
      </c>
      <c r="BP588" t="s">
        <v>17</v>
      </c>
      <c r="BQ588" t="s">
        <v>0</v>
      </c>
      <c r="BR588" t="s">
        <v>17</v>
      </c>
      <c r="BS588" t="s">
        <v>17</v>
      </c>
      <c r="BT588" t="s">
        <v>0</v>
      </c>
      <c r="BU588" t="s">
        <v>0</v>
      </c>
      <c r="BV588" t="s">
        <v>0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</row>
    <row r="589" spans="1:80" x14ac:dyDescent="0.25">
      <c r="A589" t="s">
        <v>375</v>
      </c>
      <c r="B589" s="2">
        <v>45855</v>
      </c>
      <c r="C589" s="2">
        <v>45855</v>
      </c>
      <c r="D589" s="2">
        <v>45886</v>
      </c>
      <c r="E589" t="s">
        <v>2</v>
      </c>
      <c r="F589" t="s">
        <v>3</v>
      </c>
      <c r="G589" t="s">
        <v>0</v>
      </c>
      <c r="H589" t="s">
        <v>4</v>
      </c>
      <c r="I589" t="s">
        <v>363</v>
      </c>
      <c r="J589" t="s">
        <v>6</v>
      </c>
      <c r="K589" t="s">
        <v>242</v>
      </c>
      <c r="L589" t="s">
        <v>329</v>
      </c>
      <c r="M589" t="s">
        <v>339</v>
      </c>
      <c r="N589" t="s">
        <v>10</v>
      </c>
      <c r="O589" t="s">
        <v>0</v>
      </c>
      <c r="P589" t="s">
        <v>11</v>
      </c>
      <c r="Q589" s="5">
        <v>5</v>
      </c>
      <c r="R589" s="4">
        <v>46500</v>
      </c>
      <c r="S589" s="5">
        <v>1</v>
      </c>
      <c r="T589" s="4">
        <v>232500</v>
      </c>
      <c r="U589" s="5">
        <v>5</v>
      </c>
      <c r="V589" s="4">
        <v>232500</v>
      </c>
      <c r="W589" s="5">
        <v>5</v>
      </c>
      <c r="X589" s="4">
        <v>232500</v>
      </c>
      <c r="Y589" s="4">
        <f t="shared" si="18"/>
        <v>0</v>
      </c>
      <c r="Z589" t="s">
        <v>0</v>
      </c>
      <c r="AA589" t="s">
        <v>2</v>
      </c>
      <c r="AB589" t="s">
        <v>12</v>
      </c>
      <c r="AC589">
        <f>_xlfn.XLOOKUP(AB589,'[1]GST Codes'!$A:$A,'[1]GST Codes'!$C:$C,0,0)</f>
        <v>18</v>
      </c>
      <c r="AD589">
        <f t="shared" si="19"/>
        <v>0</v>
      </c>
      <c r="AE589" t="s">
        <v>13</v>
      </c>
      <c r="AF589" t="s">
        <v>0</v>
      </c>
      <c r="AG589" t="s">
        <v>14</v>
      </c>
      <c r="AH589" t="s">
        <v>15</v>
      </c>
      <c r="AI589" t="s">
        <v>16</v>
      </c>
      <c r="AJ589" t="s">
        <v>17</v>
      </c>
      <c r="AK589" t="s">
        <v>18</v>
      </c>
      <c r="AL589" t="s">
        <v>19</v>
      </c>
      <c r="AM589" t="s">
        <v>363</v>
      </c>
      <c r="AN589" t="s">
        <v>0</v>
      </c>
      <c r="AO589" t="s">
        <v>0</v>
      </c>
      <c r="AP589" t="s">
        <v>0</v>
      </c>
      <c r="AQ589" s="5">
        <v>5</v>
      </c>
      <c r="AR589" t="s">
        <v>11</v>
      </c>
      <c r="AS589" t="s">
        <v>0</v>
      </c>
      <c r="AT589" t="s">
        <v>17</v>
      </c>
      <c r="AU589" s="4">
        <v>0</v>
      </c>
      <c r="AV589" s="4">
        <v>0</v>
      </c>
      <c r="AW589" s="4">
        <v>0</v>
      </c>
      <c r="AX589" s="4">
        <v>0</v>
      </c>
      <c r="AY589" s="5">
        <v>0</v>
      </c>
      <c r="AZ589" s="5">
        <v>0</v>
      </c>
      <c r="BA589" s="5">
        <v>0</v>
      </c>
      <c r="BB589" s="2"/>
      <c r="BC589" t="s">
        <v>0</v>
      </c>
      <c r="BD589" s="5">
        <v>1</v>
      </c>
      <c r="BE589" t="s">
        <v>0</v>
      </c>
      <c r="BF589" t="s">
        <v>365</v>
      </c>
      <c r="BG589" t="s">
        <v>17</v>
      </c>
      <c r="BH589" t="s">
        <v>0</v>
      </c>
      <c r="BI589" t="s">
        <v>11</v>
      </c>
      <c r="BJ589" t="s">
        <v>0</v>
      </c>
      <c r="BK589" t="s">
        <v>0</v>
      </c>
      <c r="BL589" s="5">
        <v>0</v>
      </c>
      <c r="BM589" t="s">
        <v>0</v>
      </c>
      <c r="BN589" t="s">
        <v>0</v>
      </c>
      <c r="BO589" t="s">
        <v>0</v>
      </c>
      <c r="BP589" t="s">
        <v>17</v>
      </c>
      <c r="BQ589" t="s">
        <v>0</v>
      </c>
      <c r="BR589" t="s">
        <v>17</v>
      </c>
      <c r="BS589" t="s">
        <v>17</v>
      </c>
      <c r="BT589" t="s">
        <v>0</v>
      </c>
      <c r="BU589" t="s">
        <v>0</v>
      </c>
      <c r="BV589" t="s">
        <v>0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</row>
    <row r="590" spans="1:80" x14ac:dyDescent="0.25">
      <c r="A590" t="s">
        <v>375</v>
      </c>
      <c r="B590" s="2">
        <v>45855</v>
      </c>
      <c r="C590" s="2">
        <v>45855</v>
      </c>
      <c r="D590" s="2">
        <v>45886</v>
      </c>
      <c r="E590" t="s">
        <v>2</v>
      </c>
      <c r="F590" t="s">
        <v>3</v>
      </c>
      <c r="G590" t="s">
        <v>0</v>
      </c>
      <c r="H590" t="s">
        <v>4</v>
      </c>
      <c r="I590" t="s">
        <v>363</v>
      </c>
      <c r="J590" t="s">
        <v>6</v>
      </c>
      <c r="K590" t="s">
        <v>243</v>
      </c>
      <c r="L590" t="s">
        <v>329</v>
      </c>
      <c r="M590" t="s">
        <v>339</v>
      </c>
      <c r="N590" t="s">
        <v>10</v>
      </c>
      <c r="O590" t="s">
        <v>0</v>
      </c>
      <c r="P590" t="s">
        <v>11</v>
      </c>
      <c r="Q590" s="5">
        <v>5</v>
      </c>
      <c r="R590" s="4">
        <v>46500</v>
      </c>
      <c r="S590" s="5">
        <v>1</v>
      </c>
      <c r="T590" s="4">
        <v>232500</v>
      </c>
      <c r="U590" s="5">
        <v>5</v>
      </c>
      <c r="V590" s="4">
        <v>232500</v>
      </c>
      <c r="W590" s="5">
        <v>5</v>
      </c>
      <c r="X590" s="4">
        <v>232500</v>
      </c>
      <c r="Y590" s="4">
        <f t="shared" si="18"/>
        <v>0</v>
      </c>
      <c r="Z590" t="s">
        <v>0</v>
      </c>
      <c r="AA590" t="s">
        <v>2</v>
      </c>
      <c r="AB590" t="s">
        <v>12</v>
      </c>
      <c r="AC590">
        <f>_xlfn.XLOOKUP(AB590,'[1]GST Codes'!$A:$A,'[1]GST Codes'!$C:$C,0,0)</f>
        <v>18</v>
      </c>
      <c r="AD590">
        <f t="shared" si="19"/>
        <v>0</v>
      </c>
      <c r="AE590" t="s">
        <v>13</v>
      </c>
      <c r="AF590" t="s">
        <v>0</v>
      </c>
      <c r="AG590" t="s">
        <v>14</v>
      </c>
      <c r="AH590" t="s">
        <v>15</v>
      </c>
      <c r="AI590" t="s">
        <v>16</v>
      </c>
      <c r="AJ590" t="s">
        <v>17</v>
      </c>
      <c r="AK590" t="s">
        <v>18</v>
      </c>
      <c r="AL590" t="s">
        <v>19</v>
      </c>
      <c r="AM590" t="s">
        <v>363</v>
      </c>
      <c r="AN590" t="s">
        <v>0</v>
      </c>
      <c r="AO590" t="s">
        <v>0</v>
      </c>
      <c r="AP590" t="s">
        <v>0</v>
      </c>
      <c r="AQ590" s="5">
        <v>5</v>
      </c>
      <c r="AR590" t="s">
        <v>11</v>
      </c>
      <c r="AS590" t="s">
        <v>0</v>
      </c>
      <c r="AT590" t="s">
        <v>17</v>
      </c>
      <c r="AU590" s="4">
        <v>0</v>
      </c>
      <c r="AV590" s="4">
        <v>0</v>
      </c>
      <c r="AW590" s="4">
        <v>0</v>
      </c>
      <c r="AX590" s="4">
        <v>0</v>
      </c>
      <c r="AY590" s="5">
        <v>0</v>
      </c>
      <c r="AZ590" s="5">
        <v>0</v>
      </c>
      <c r="BA590" s="5">
        <v>0</v>
      </c>
      <c r="BB590" s="2"/>
      <c r="BC590" t="s">
        <v>0</v>
      </c>
      <c r="BD590" s="5">
        <v>1</v>
      </c>
      <c r="BE590" t="s">
        <v>0</v>
      </c>
      <c r="BF590" t="s">
        <v>365</v>
      </c>
      <c r="BG590" t="s">
        <v>17</v>
      </c>
      <c r="BH590" t="s">
        <v>0</v>
      </c>
      <c r="BI590" t="s">
        <v>11</v>
      </c>
      <c r="BJ590" t="s">
        <v>0</v>
      </c>
      <c r="BK590" t="s">
        <v>0</v>
      </c>
      <c r="BL590" s="5">
        <v>0</v>
      </c>
      <c r="BM590" t="s">
        <v>0</v>
      </c>
      <c r="BN590" t="s">
        <v>0</v>
      </c>
      <c r="BO590" t="s">
        <v>0</v>
      </c>
      <c r="BP590" t="s">
        <v>17</v>
      </c>
      <c r="BQ590" t="s">
        <v>0</v>
      </c>
      <c r="BR590" t="s">
        <v>17</v>
      </c>
      <c r="BS590" t="s">
        <v>17</v>
      </c>
      <c r="BT590" t="s">
        <v>0</v>
      </c>
      <c r="BU590" t="s">
        <v>0</v>
      </c>
      <c r="BV590" t="s">
        <v>0</v>
      </c>
      <c r="BW590" t="s">
        <v>0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</row>
    <row r="591" spans="1:80" x14ac:dyDescent="0.25">
      <c r="A591" t="s">
        <v>375</v>
      </c>
      <c r="B591" s="2">
        <v>45855</v>
      </c>
      <c r="C591" s="2">
        <v>45855</v>
      </c>
      <c r="D591" s="2">
        <v>45886</v>
      </c>
      <c r="E591" t="s">
        <v>2</v>
      </c>
      <c r="F591" t="s">
        <v>3</v>
      </c>
      <c r="G591" t="s">
        <v>0</v>
      </c>
      <c r="H591" t="s">
        <v>4</v>
      </c>
      <c r="I591" t="s">
        <v>363</v>
      </c>
      <c r="J591" t="s">
        <v>6</v>
      </c>
      <c r="K591" t="s">
        <v>244</v>
      </c>
      <c r="L591" t="s">
        <v>329</v>
      </c>
      <c r="M591" t="s">
        <v>339</v>
      </c>
      <c r="N591" t="s">
        <v>10</v>
      </c>
      <c r="O591" t="s">
        <v>0</v>
      </c>
      <c r="P591" t="s">
        <v>11</v>
      </c>
      <c r="Q591" s="5">
        <v>5</v>
      </c>
      <c r="R591" s="4">
        <v>46500</v>
      </c>
      <c r="S591" s="5">
        <v>1</v>
      </c>
      <c r="T591" s="4">
        <v>232500</v>
      </c>
      <c r="U591" s="5">
        <v>5</v>
      </c>
      <c r="V591" s="4">
        <v>232500</v>
      </c>
      <c r="W591" s="5">
        <v>5</v>
      </c>
      <c r="X591" s="4">
        <v>232500</v>
      </c>
      <c r="Y591" s="4">
        <f t="shared" si="18"/>
        <v>0</v>
      </c>
      <c r="Z591" t="s">
        <v>0</v>
      </c>
      <c r="AA591" t="s">
        <v>2</v>
      </c>
      <c r="AB591" t="s">
        <v>12</v>
      </c>
      <c r="AC591">
        <f>_xlfn.XLOOKUP(AB591,'[1]GST Codes'!$A:$A,'[1]GST Codes'!$C:$C,0,0)</f>
        <v>18</v>
      </c>
      <c r="AD591">
        <f t="shared" si="19"/>
        <v>0</v>
      </c>
      <c r="AE591" t="s">
        <v>13</v>
      </c>
      <c r="AF591" t="s">
        <v>0</v>
      </c>
      <c r="AG591" t="s">
        <v>14</v>
      </c>
      <c r="AH591" t="s">
        <v>15</v>
      </c>
      <c r="AI591" t="s">
        <v>16</v>
      </c>
      <c r="AJ591" t="s">
        <v>17</v>
      </c>
      <c r="AK591" t="s">
        <v>18</v>
      </c>
      <c r="AL591" t="s">
        <v>19</v>
      </c>
      <c r="AM591" t="s">
        <v>363</v>
      </c>
      <c r="AN591" t="s">
        <v>0</v>
      </c>
      <c r="AO591" t="s">
        <v>0</v>
      </c>
      <c r="AP591" t="s">
        <v>0</v>
      </c>
      <c r="AQ591" s="5">
        <v>5</v>
      </c>
      <c r="AR591" t="s">
        <v>11</v>
      </c>
      <c r="AS591" t="s">
        <v>0</v>
      </c>
      <c r="AT591" t="s">
        <v>17</v>
      </c>
      <c r="AU591" s="4">
        <v>0</v>
      </c>
      <c r="AV591" s="4">
        <v>0</v>
      </c>
      <c r="AW591" s="4">
        <v>0</v>
      </c>
      <c r="AX591" s="4">
        <v>0</v>
      </c>
      <c r="AY591" s="5">
        <v>0</v>
      </c>
      <c r="AZ591" s="5">
        <v>0</v>
      </c>
      <c r="BA591" s="5">
        <v>0</v>
      </c>
      <c r="BB591" s="2"/>
      <c r="BC591" t="s">
        <v>0</v>
      </c>
      <c r="BD591" s="5">
        <v>1</v>
      </c>
      <c r="BE591" t="s">
        <v>0</v>
      </c>
      <c r="BF591" t="s">
        <v>365</v>
      </c>
      <c r="BG591" t="s">
        <v>17</v>
      </c>
      <c r="BH591" t="s">
        <v>0</v>
      </c>
      <c r="BI591" t="s">
        <v>11</v>
      </c>
      <c r="BJ591" t="s">
        <v>0</v>
      </c>
      <c r="BK591" t="s">
        <v>0</v>
      </c>
      <c r="BL591" s="5">
        <v>0</v>
      </c>
      <c r="BM591" t="s">
        <v>0</v>
      </c>
      <c r="BN591" t="s">
        <v>0</v>
      </c>
      <c r="BO591" t="s">
        <v>0</v>
      </c>
      <c r="BP591" t="s">
        <v>17</v>
      </c>
      <c r="BQ591" t="s">
        <v>0</v>
      </c>
      <c r="BR591" t="s">
        <v>17</v>
      </c>
      <c r="BS591" t="s">
        <v>17</v>
      </c>
      <c r="BT591" t="s">
        <v>0</v>
      </c>
      <c r="BU591" t="s">
        <v>0</v>
      </c>
      <c r="BV591" t="s">
        <v>0</v>
      </c>
      <c r="BW591" t="s">
        <v>0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</row>
    <row r="592" spans="1:80" ht="13.95" customHeight="1" x14ac:dyDescent="0.25">
      <c r="A592" t="s">
        <v>377</v>
      </c>
      <c r="B592" s="2">
        <v>45883</v>
      </c>
      <c r="C592" s="2">
        <v>45883</v>
      </c>
      <c r="D592" s="2">
        <v>45914</v>
      </c>
      <c r="E592" t="s">
        <v>2</v>
      </c>
      <c r="F592" t="s">
        <v>3</v>
      </c>
      <c r="G592" t="s">
        <v>0</v>
      </c>
      <c r="H592" t="s">
        <v>4</v>
      </c>
      <c r="I592" t="s">
        <v>363</v>
      </c>
      <c r="J592" t="s">
        <v>6</v>
      </c>
      <c r="K592" t="s">
        <v>7</v>
      </c>
      <c r="L592" t="s">
        <v>74</v>
      </c>
      <c r="M592" t="s">
        <v>75</v>
      </c>
      <c r="N592" t="s">
        <v>10</v>
      </c>
      <c r="O592" t="s">
        <v>0</v>
      </c>
      <c r="P592" t="s">
        <v>11</v>
      </c>
      <c r="Q592" s="5">
        <v>35</v>
      </c>
      <c r="R592" s="4">
        <v>47000</v>
      </c>
      <c r="S592" s="5">
        <v>1</v>
      </c>
      <c r="T592" s="4">
        <v>1645000</v>
      </c>
      <c r="U592" s="5">
        <v>0</v>
      </c>
      <c r="V592" s="4">
        <v>0</v>
      </c>
      <c r="W592" s="5">
        <v>0</v>
      </c>
      <c r="X592" s="4">
        <v>0</v>
      </c>
      <c r="Y592" s="4">
        <f t="shared" si="18"/>
        <v>1645000</v>
      </c>
      <c r="Z592" s="6" t="s">
        <v>0</v>
      </c>
      <c r="AA592" t="s">
        <v>2</v>
      </c>
      <c r="AB592" t="s">
        <v>12</v>
      </c>
      <c r="AC592">
        <f>_xlfn.XLOOKUP(AB592,'[1]GST Codes'!$A:$A,'[1]GST Codes'!$C:$C,0,0)</f>
        <v>18</v>
      </c>
      <c r="AD592">
        <f t="shared" si="19"/>
        <v>1941100</v>
      </c>
      <c r="AE592" t="s">
        <v>13</v>
      </c>
      <c r="AF592" t="s">
        <v>0</v>
      </c>
      <c r="AG592" t="s">
        <v>14</v>
      </c>
      <c r="AH592" t="s">
        <v>15</v>
      </c>
      <c r="AI592" t="s">
        <v>16</v>
      </c>
      <c r="AJ592" t="s">
        <v>17</v>
      </c>
      <c r="AK592" t="s">
        <v>18</v>
      </c>
      <c r="AL592" t="s">
        <v>19</v>
      </c>
      <c r="AM592" t="s">
        <v>363</v>
      </c>
      <c r="AN592" t="s">
        <v>0</v>
      </c>
      <c r="AO592" t="s">
        <v>0</v>
      </c>
      <c r="AP592" t="s">
        <v>0</v>
      </c>
      <c r="AQ592" s="5">
        <v>35</v>
      </c>
      <c r="AR592" t="s">
        <v>11</v>
      </c>
      <c r="AS592" t="s">
        <v>0</v>
      </c>
      <c r="AT592" t="s">
        <v>17</v>
      </c>
      <c r="AU592" s="4">
        <v>0</v>
      </c>
      <c r="AV592" s="4">
        <v>0</v>
      </c>
      <c r="AW592" s="4">
        <v>0</v>
      </c>
      <c r="AX592" s="4">
        <v>0</v>
      </c>
      <c r="AY592" s="5">
        <v>0</v>
      </c>
      <c r="AZ592" s="5">
        <v>0</v>
      </c>
      <c r="BA592" s="5">
        <v>0</v>
      </c>
      <c r="BB592" s="2"/>
      <c r="BC592" t="s">
        <v>0</v>
      </c>
      <c r="BD592" s="5">
        <v>1</v>
      </c>
      <c r="BE592" t="s">
        <v>0</v>
      </c>
      <c r="BF592" t="s">
        <v>367</v>
      </c>
      <c r="BG592" t="s">
        <v>17</v>
      </c>
      <c r="BH592" t="s">
        <v>0</v>
      </c>
      <c r="BI592" t="s">
        <v>11</v>
      </c>
      <c r="BJ592" t="s">
        <v>0</v>
      </c>
      <c r="BK592" t="s">
        <v>0</v>
      </c>
      <c r="BL592" s="5">
        <v>0</v>
      </c>
      <c r="BM592" t="s">
        <v>0</v>
      </c>
      <c r="BN592" t="s">
        <v>0</v>
      </c>
      <c r="BO592" t="s">
        <v>0</v>
      </c>
      <c r="BP592" t="s">
        <v>17</v>
      </c>
      <c r="BQ592" t="s">
        <v>0</v>
      </c>
      <c r="BR592" t="s">
        <v>17</v>
      </c>
      <c r="BS592" t="s">
        <v>17</v>
      </c>
      <c r="BT592" t="s">
        <v>0</v>
      </c>
      <c r="BU592" t="s">
        <v>0</v>
      </c>
      <c r="BV592" t="s">
        <v>0</v>
      </c>
      <c r="BW592" t="s">
        <v>0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</row>
    <row r="593" spans="1:80" ht="13.95" customHeight="1" x14ac:dyDescent="0.25">
      <c r="A593" t="s">
        <v>377</v>
      </c>
      <c r="B593" s="2">
        <v>45883</v>
      </c>
      <c r="C593" s="2">
        <v>45883</v>
      </c>
      <c r="D593" s="2">
        <v>45914</v>
      </c>
      <c r="E593" t="s">
        <v>2</v>
      </c>
      <c r="F593" t="s">
        <v>3</v>
      </c>
      <c r="G593" t="s">
        <v>0</v>
      </c>
      <c r="H593" t="s">
        <v>4</v>
      </c>
      <c r="I593" t="s">
        <v>363</v>
      </c>
      <c r="J593" t="s">
        <v>6</v>
      </c>
      <c r="K593" t="s">
        <v>22</v>
      </c>
      <c r="L593" t="s">
        <v>74</v>
      </c>
      <c r="M593" t="s">
        <v>75</v>
      </c>
      <c r="N593" t="s">
        <v>10</v>
      </c>
      <c r="O593" t="s">
        <v>0</v>
      </c>
      <c r="P593" t="s">
        <v>11</v>
      </c>
      <c r="Q593" s="5">
        <v>35</v>
      </c>
      <c r="R593" s="4">
        <v>47000</v>
      </c>
      <c r="S593" s="5">
        <v>1</v>
      </c>
      <c r="T593" s="4">
        <v>1645000</v>
      </c>
      <c r="U593" s="5">
        <v>0</v>
      </c>
      <c r="V593" s="4">
        <v>0</v>
      </c>
      <c r="W593" s="5">
        <v>0</v>
      </c>
      <c r="X593" s="4">
        <v>0</v>
      </c>
      <c r="Y593" s="4">
        <f t="shared" si="18"/>
        <v>1645000</v>
      </c>
      <c r="Z593" s="6" t="s">
        <v>0</v>
      </c>
      <c r="AA593" t="s">
        <v>2</v>
      </c>
      <c r="AB593" t="s">
        <v>12</v>
      </c>
      <c r="AC593">
        <f>_xlfn.XLOOKUP(AB593,'[1]GST Codes'!$A:$A,'[1]GST Codes'!$C:$C,0,0)</f>
        <v>18</v>
      </c>
      <c r="AD593">
        <f t="shared" si="19"/>
        <v>1941100</v>
      </c>
      <c r="AE593" t="s">
        <v>13</v>
      </c>
      <c r="AF593" t="s">
        <v>0</v>
      </c>
      <c r="AG593" t="s">
        <v>14</v>
      </c>
      <c r="AH593" t="s">
        <v>15</v>
      </c>
      <c r="AI593" t="s">
        <v>16</v>
      </c>
      <c r="AJ593" t="s">
        <v>17</v>
      </c>
      <c r="AK593" t="s">
        <v>18</v>
      </c>
      <c r="AL593" t="s">
        <v>19</v>
      </c>
      <c r="AM593" t="s">
        <v>363</v>
      </c>
      <c r="AN593" t="s">
        <v>0</v>
      </c>
      <c r="AO593" t="s">
        <v>0</v>
      </c>
      <c r="AP593" t="s">
        <v>0</v>
      </c>
      <c r="AQ593" s="5">
        <v>35</v>
      </c>
      <c r="AR593" t="s">
        <v>11</v>
      </c>
      <c r="AS593" t="s">
        <v>0</v>
      </c>
      <c r="AT593" t="s">
        <v>17</v>
      </c>
      <c r="AU593" s="4">
        <v>0</v>
      </c>
      <c r="AV593" s="4">
        <v>0</v>
      </c>
      <c r="AW593" s="4">
        <v>0</v>
      </c>
      <c r="AX593" s="4">
        <v>0</v>
      </c>
      <c r="AY593" s="5">
        <v>0</v>
      </c>
      <c r="AZ593" s="5">
        <v>0</v>
      </c>
      <c r="BA593" s="5">
        <v>0</v>
      </c>
      <c r="BB593" s="2"/>
      <c r="BC593" t="s">
        <v>0</v>
      </c>
      <c r="BD593" s="5">
        <v>1</v>
      </c>
      <c r="BE593" t="s">
        <v>0</v>
      </c>
      <c r="BF593" t="s">
        <v>367</v>
      </c>
      <c r="BG593" t="s">
        <v>17</v>
      </c>
      <c r="BH593" t="s">
        <v>0</v>
      </c>
      <c r="BI593" t="s">
        <v>11</v>
      </c>
      <c r="BJ593" t="s">
        <v>0</v>
      </c>
      <c r="BK593" t="s">
        <v>0</v>
      </c>
      <c r="BL593" s="5">
        <v>0</v>
      </c>
      <c r="BM593" t="s">
        <v>0</v>
      </c>
      <c r="BN593" t="s">
        <v>0</v>
      </c>
      <c r="BO593" t="s">
        <v>0</v>
      </c>
      <c r="BP593" t="s">
        <v>17</v>
      </c>
      <c r="BQ593" t="s">
        <v>0</v>
      </c>
      <c r="BR593" t="s">
        <v>17</v>
      </c>
      <c r="BS593" t="s">
        <v>17</v>
      </c>
      <c r="BT593" t="s">
        <v>0</v>
      </c>
      <c r="BU593" t="s">
        <v>0</v>
      </c>
      <c r="BV593" t="s">
        <v>0</v>
      </c>
      <c r="BW593" t="s">
        <v>0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</row>
    <row r="594" spans="1:80" ht="13.95" customHeight="1" x14ac:dyDescent="0.25">
      <c r="A594" t="s">
        <v>377</v>
      </c>
      <c r="B594" s="2">
        <v>45883</v>
      </c>
      <c r="C594" s="2">
        <v>45883</v>
      </c>
      <c r="D594" s="2">
        <v>45914</v>
      </c>
      <c r="E594" t="s">
        <v>2</v>
      </c>
      <c r="F594" t="s">
        <v>3</v>
      </c>
      <c r="G594" t="s">
        <v>0</v>
      </c>
      <c r="H594" t="s">
        <v>4</v>
      </c>
      <c r="I594" t="s">
        <v>363</v>
      </c>
      <c r="J594" t="s">
        <v>6</v>
      </c>
      <c r="K594" t="s">
        <v>26</v>
      </c>
      <c r="L594" t="s">
        <v>74</v>
      </c>
      <c r="M594" t="s">
        <v>75</v>
      </c>
      <c r="N594" t="s">
        <v>10</v>
      </c>
      <c r="O594" t="s">
        <v>0</v>
      </c>
      <c r="P594" t="s">
        <v>11</v>
      </c>
      <c r="Q594" s="5">
        <v>35</v>
      </c>
      <c r="R594" s="4">
        <v>47000</v>
      </c>
      <c r="S594" s="5">
        <v>1</v>
      </c>
      <c r="T594" s="4">
        <v>1645000</v>
      </c>
      <c r="U594" s="5">
        <v>0</v>
      </c>
      <c r="V594" s="4">
        <v>0</v>
      </c>
      <c r="W594" s="5">
        <v>0</v>
      </c>
      <c r="X594" s="4">
        <v>0</v>
      </c>
      <c r="Y594" s="4">
        <f t="shared" si="18"/>
        <v>1645000</v>
      </c>
      <c r="Z594" s="6" t="s">
        <v>0</v>
      </c>
      <c r="AA594" t="s">
        <v>2</v>
      </c>
      <c r="AB594" t="s">
        <v>12</v>
      </c>
      <c r="AC594">
        <f>_xlfn.XLOOKUP(AB594,'[1]GST Codes'!$A:$A,'[1]GST Codes'!$C:$C,0,0)</f>
        <v>18</v>
      </c>
      <c r="AD594">
        <f t="shared" si="19"/>
        <v>1941100</v>
      </c>
      <c r="AE594" t="s">
        <v>13</v>
      </c>
      <c r="AF594" t="s">
        <v>0</v>
      </c>
      <c r="AG594" t="s">
        <v>14</v>
      </c>
      <c r="AH594" t="s">
        <v>15</v>
      </c>
      <c r="AI594" t="s">
        <v>16</v>
      </c>
      <c r="AJ594" t="s">
        <v>17</v>
      </c>
      <c r="AK594" t="s">
        <v>18</v>
      </c>
      <c r="AL594" t="s">
        <v>19</v>
      </c>
      <c r="AM594" t="s">
        <v>363</v>
      </c>
      <c r="AN594" t="s">
        <v>0</v>
      </c>
      <c r="AO594" t="s">
        <v>0</v>
      </c>
      <c r="AP594" t="s">
        <v>0</v>
      </c>
      <c r="AQ594" s="5">
        <v>35</v>
      </c>
      <c r="AR594" t="s">
        <v>11</v>
      </c>
      <c r="AS594" t="s">
        <v>0</v>
      </c>
      <c r="AT594" t="s">
        <v>17</v>
      </c>
      <c r="AU594" s="4">
        <v>0</v>
      </c>
      <c r="AV594" s="4">
        <v>0</v>
      </c>
      <c r="AW594" s="4">
        <v>0</v>
      </c>
      <c r="AX594" s="4">
        <v>0</v>
      </c>
      <c r="AY594" s="5">
        <v>0</v>
      </c>
      <c r="AZ594" s="5">
        <v>0</v>
      </c>
      <c r="BA594" s="5">
        <v>0</v>
      </c>
      <c r="BB594" s="2"/>
      <c r="BC594" t="s">
        <v>0</v>
      </c>
      <c r="BD594" s="5">
        <v>1</v>
      </c>
      <c r="BE594" t="s">
        <v>0</v>
      </c>
      <c r="BF594" t="s">
        <v>367</v>
      </c>
      <c r="BG594" t="s">
        <v>17</v>
      </c>
      <c r="BH594" t="s">
        <v>0</v>
      </c>
      <c r="BI594" t="s">
        <v>11</v>
      </c>
      <c r="BJ594" t="s">
        <v>0</v>
      </c>
      <c r="BK594" t="s">
        <v>0</v>
      </c>
      <c r="BL594" s="5">
        <v>0</v>
      </c>
      <c r="BM594" t="s">
        <v>0</v>
      </c>
      <c r="BN594" t="s">
        <v>0</v>
      </c>
      <c r="BO594" t="s">
        <v>0</v>
      </c>
      <c r="BP594" t="s">
        <v>17</v>
      </c>
      <c r="BQ594" t="s">
        <v>0</v>
      </c>
      <c r="BR594" t="s">
        <v>17</v>
      </c>
      <c r="BS594" t="s">
        <v>17</v>
      </c>
      <c r="BT594" t="s">
        <v>0</v>
      </c>
      <c r="BU594" t="s">
        <v>0</v>
      </c>
      <c r="BV594" t="s">
        <v>0</v>
      </c>
      <c r="BW594" t="s">
        <v>0</v>
      </c>
      <c r="BX594" t="s">
        <v>0</v>
      </c>
      <c r="BY594" t="s">
        <v>0</v>
      </c>
      <c r="BZ594" t="s">
        <v>0</v>
      </c>
      <c r="CA594" t="s">
        <v>0</v>
      </c>
      <c r="CB594" t="s">
        <v>0</v>
      </c>
    </row>
    <row r="595" spans="1:80" ht="13.95" customHeight="1" x14ac:dyDescent="0.25">
      <c r="A595" t="s">
        <v>377</v>
      </c>
      <c r="B595" s="2">
        <v>45883</v>
      </c>
      <c r="C595" s="2">
        <v>45883</v>
      </c>
      <c r="D595" s="2">
        <v>45914</v>
      </c>
      <c r="E595" t="s">
        <v>2</v>
      </c>
      <c r="F595" t="s">
        <v>3</v>
      </c>
      <c r="G595" t="s">
        <v>0</v>
      </c>
      <c r="H595" t="s">
        <v>4</v>
      </c>
      <c r="I595" t="s">
        <v>363</v>
      </c>
      <c r="J595" t="s">
        <v>6</v>
      </c>
      <c r="K595" t="s">
        <v>30</v>
      </c>
      <c r="L595" t="s">
        <v>74</v>
      </c>
      <c r="M595" t="s">
        <v>75</v>
      </c>
      <c r="N595" t="s">
        <v>10</v>
      </c>
      <c r="O595" t="s">
        <v>0</v>
      </c>
      <c r="P595" t="s">
        <v>11</v>
      </c>
      <c r="Q595" s="5">
        <v>35</v>
      </c>
      <c r="R595" s="4">
        <v>47000</v>
      </c>
      <c r="S595" s="5">
        <v>1</v>
      </c>
      <c r="T595" s="4">
        <v>1645000</v>
      </c>
      <c r="U595" s="5">
        <v>0</v>
      </c>
      <c r="V595" s="4">
        <v>0</v>
      </c>
      <c r="W595" s="5">
        <v>0</v>
      </c>
      <c r="X595" s="4">
        <v>0</v>
      </c>
      <c r="Y595" s="4">
        <f t="shared" si="18"/>
        <v>1645000</v>
      </c>
      <c r="Z595" s="6" t="s">
        <v>0</v>
      </c>
      <c r="AA595" t="s">
        <v>2</v>
      </c>
      <c r="AB595" t="s">
        <v>12</v>
      </c>
      <c r="AC595">
        <f>_xlfn.XLOOKUP(AB595,'[1]GST Codes'!$A:$A,'[1]GST Codes'!$C:$C,0,0)</f>
        <v>18</v>
      </c>
      <c r="AD595">
        <f t="shared" si="19"/>
        <v>1941100</v>
      </c>
      <c r="AE595" t="s">
        <v>13</v>
      </c>
      <c r="AF595" t="s">
        <v>0</v>
      </c>
      <c r="AG595" t="s">
        <v>14</v>
      </c>
      <c r="AH595" t="s">
        <v>15</v>
      </c>
      <c r="AI595" t="s">
        <v>16</v>
      </c>
      <c r="AJ595" t="s">
        <v>17</v>
      </c>
      <c r="AK595" t="s">
        <v>18</v>
      </c>
      <c r="AL595" t="s">
        <v>19</v>
      </c>
      <c r="AM595" t="s">
        <v>363</v>
      </c>
      <c r="AN595" t="s">
        <v>0</v>
      </c>
      <c r="AO595" t="s">
        <v>0</v>
      </c>
      <c r="AP595" t="s">
        <v>0</v>
      </c>
      <c r="AQ595" s="5">
        <v>35</v>
      </c>
      <c r="AR595" t="s">
        <v>11</v>
      </c>
      <c r="AS595" t="s">
        <v>0</v>
      </c>
      <c r="AT595" t="s">
        <v>17</v>
      </c>
      <c r="AU595" s="4">
        <v>0</v>
      </c>
      <c r="AV595" s="4">
        <v>0</v>
      </c>
      <c r="AW595" s="4">
        <v>0</v>
      </c>
      <c r="AX595" s="4">
        <v>0</v>
      </c>
      <c r="AY595" s="5">
        <v>0</v>
      </c>
      <c r="AZ595" s="5">
        <v>0</v>
      </c>
      <c r="BA595" s="5">
        <v>0</v>
      </c>
      <c r="BB595" s="2"/>
      <c r="BC595" t="s">
        <v>0</v>
      </c>
      <c r="BD595" s="5">
        <v>1</v>
      </c>
      <c r="BE595" t="s">
        <v>0</v>
      </c>
      <c r="BF595" t="s">
        <v>367</v>
      </c>
      <c r="BG595" t="s">
        <v>17</v>
      </c>
      <c r="BH595" t="s">
        <v>0</v>
      </c>
      <c r="BI595" t="s">
        <v>11</v>
      </c>
      <c r="BJ595" t="s">
        <v>0</v>
      </c>
      <c r="BK595" t="s">
        <v>0</v>
      </c>
      <c r="BL595" s="5">
        <v>0</v>
      </c>
      <c r="BM595" t="s">
        <v>0</v>
      </c>
      <c r="BN595" t="s">
        <v>0</v>
      </c>
      <c r="BO595" t="s">
        <v>0</v>
      </c>
      <c r="BP595" t="s">
        <v>17</v>
      </c>
      <c r="BQ595" t="s">
        <v>0</v>
      </c>
      <c r="BR595" t="s">
        <v>17</v>
      </c>
      <c r="BS595" t="s">
        <v>17</v>
      </c>
      <c r="BT595" t="s">
        <v>0</v>
      </c>
      <c r="BU595" t="s">
        <v>0</v>
      </c>
      <c r="BV595" t="s">
        <v>0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</row>
    <row r="596" spans="1:80" ht="13.95" customHeight="1" x14ac:dyDescent="0.25">
      <c r="A596" t="s">
        <v>377</v>
      </c>
      <c r="B596" s="2">
        <v>45883</v>
      </c>
      <c r="C596" s="2">
        <v>45883</v>
      </c>
      <c r="D596" s="2">
        <v>45914</v>
      </c>
      <c r="E596" t="s">
        <v>2</v>
      </c>
      <c r="F596" t="s">
        <v>3</v>
      </c>
      <c r="G596" t="s">
        <v>0</v>
      </c>
      <c r="H596" t="s">
        <v>4</v>
      </c>
      <c r="I596" t="s">
        <v>363</v>
      </c>
      <c r="J596" t="s">
        <v>6</v>
      </c>
      <c r="K596" t="s">
        <v>34</v>
      </c>
      <c r="L596" t="s">
        <v>74</v>
      </c>
      <c r="M596" t="s">
        <v>75</v>
      </c>
      <c r="N596" t="s">
        <v>10</v>
      </c>
      <c r="O596" t="s">
        <v>0</v>
      </c>
      <c r="P596" t="s">
        <v>11</v>
      </c>
      <c r="Q596" s="5">
        <v>30</v>
      </c>
      <c r="R596" s="4">
        <v>47000</v>
      </c>
      <c r="S596" s="5">
        <v>1</v>
      </c>
      <c r="T596" s="4">
        <v>1410000</v>
      </c>
      <c r="U596" s="5">
        <v>0</v>
      </c>
      <c r="V596" s="4">
        <v>0</v>
      </c>
      <c r="W596" s="5">
        <v>0</v>
      </c>
      <c r="X596" s="4">
        <v>0</v>
      </c>
      <c r="Y596" s="4">
        <f t="shared" si="18"/>
        <v>1410000</v>
      </c>
      <c r="Z596" s="6" t="s">
        <v>0</v>
      </c>
      <c r="AA596" t="s">
        <v>2</v>
      </c>
      <c r="AB596" t="s">
        <v>12</v>
      </c>
      <c r="AC596">
        <f>_xlfn.XLOOKUP(AB596,'[1]GST Codes'!$A:$A,'[1]GST Codes'!$C:$C,0,0)</f>
        <v>18</v>
      </c>
      <c r="AD596">
        <f t="shared" si="19"/>
        <v>1663800</v>
      </c>
      <c r="AE596" t="s">
        <v>13</v>
      </c>
      <c r="AF596" t="s">
        <v>0</v>
      </c>
      <c r="AG596" t="s">
        <v>14</v>
      </c>
      <c r="AH596" t="s">
        <v>15</v>
      </c>
      <c r="AI596" t="s">
        <v>16</v>
      </c>
      <c r="AJ596" t="s">
        <v>17</v>
      </c>
      <c r="AK596" t="s">
        <v>18</v>
      </c>
      <c r="AL596" t="s">
        <v>19</v>
      </c>
      <c r="AM596" t="s">
        <v>363</v>
      </c>
      <c r="AN596" t="s">
        <v>0</v>
      </c>
      <c r="AO596" t="s">
        <v>0</v>
      </c>
      <c r="AP596" t="s">
        <v>0</v>
      </c>
      <c r="AQ596" s="5">
        <v>30</v>
      </c>
      <c r="AR596" t="s">
        <v>11</v>
      </c>
      <c r="AS596" t="s">
        <v>0</v>
      </c>
      <c r="AT596" t="s">
        <v>17</v>
      </c>
      <c r="AU596" s="4">
        <v>0</v>
      </c>
      <c r="AV596" s="4">
        <v>0</v>
      </c>
      <c r="AW596" s="4">
        <v>0</v>
      </c>
      <c r="AX596" s="4">
        <v>0</v>
      </c>
      <c r="AY596" s="5">
        <v>0</v>
      </c>
      <c r="AZ596" s="5">
        <v>0</v>
      </c>
      <c r="BA596" s="5">
        <v>0</v>
      </c>
      <c r="BB596" s="2"/>
      <c r="BC596" t="s">
        <v>0</v>
      </c>
      <c r="BD596" s="5">
        <v>1</v>
      </c>
      <c r="BE596" t="s">
        <v>0</v>
      </c>
      <c r="BF596" t="s">
        <v>367</v>
      </c>
      <c r="BG596" t="s">
        <v>17</v>
      </c>
      <c r="BH596" t="s">
        <v>0</v>
      </c>
      <c r="BI596" t="s">
        <v>11</v>
      </c>
      <c r="BJ596" t="s">
        <v>0</v>
      </c>
      <c r="BK596" t="s">
        <v>0</v>
      </c>
      <c r="BL596" s="5">
        <v>0</v>
      </c>
      <c r="BM596" t="s">
        <v>0</v>
      </c>
      <c r="BN596" t="s">
        <v>0</v>
      </c>
      <c r="BO596" t="s">
        <v>0</v>
      </c>
      <c r="BP596" t="s">
        <v>17</v>
      </c>
      <c r="BQ596" t="s">
        <v>0</v>
      </c>
      <c r="BR596" t="s">
        <v>17</v>
      </c>
      <c r="BS596" t="s">
        <v>17</v>
      </c>
      <c r="BT596" t="s">
        <v>0</v>
      </c>
      <c r="BU596" t="s">
        <v>0</v>
      </c>
      <c r="BV596" t="s">
        <v>0</v>
      </c>
      <c r="BW596" t="s">
        <v>0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</row>
    <row r="597" spans="1:80" ht="13.95" customHeight="1" x14ac:dyDescent="0.25">
      <c r="A597" t="s">
        <v>377</v>
      </c>
      <c r="B597" s="2">
        <v>45883</v>
      </c>
      <c r="C597" s="2">
        <v>45883</v>
      </c>
      <c r="D597" s="2">
        <v>45914</v>
      </c>
      <c r="E597" t="s">
        <v>2</v>
      </c>
      <c r="F597" t="s">
        <v>3</v>
      </c>
      <c r="G597" t="s">
        <v>0</v>
      </c>
      <c r="H597" t="s">
        <v>4</v>
      </c>
      <c r="I597" t="s">
        <v>363</v>
      </c>
      <c r="J597" t="s">
        <v>6</v>
      </c>
      <c r="K597" t="s">
        <v>38</v>
      </c>
      <c r="L597" t="s">
        <v>74</v>
      </c>
      <c r="M597" t="s">
        <v>75</v>
      </c>
      <c r="N597" t="s">
        <v>10</v>
      </c>
      <c r="O597" t="s">
        <v>0</v>
      </c>
      <c r="P597" t="s">
        <v>11</v>
      </c>
      <c r="Q597" s="5">
        <v>30</v>
      </c>
      <c r="R597" s="4">
        <v>47000</v>
      </c>
      <c r="S597" s="5">
        <v>1</v>
      </c>
      <c r="T597" s="4">
        <v>1410000</v>
      </c>
      <c r="U597" s="5">
        <v>0</v>
      </c>
      <c r="V597" s="4">
        <v>0</v>
      </c>
      <c r="W597" s="5">
        <v>0</v>
      </c>
      <c r="X597" s="4">
        <v>0</v>
      </c>
      <c r="Y597" s="4">
        <f t="shared" si="18"/>
        <v>1410000</v>
      </c>
      <c r="Z597" s="6" t="s">
        <v>0</v>
      </c>
      <c r="AA597" t="s">
        <v>2</v>
      </c>
      <c r="AB597" t="s">
        <v>12</v>
      </c>
      <c r="AC597">
        <f>_xlfn.XLOOKUP(AB597,'[1]GST Codes'!$A:$A,'[1]GST Codes'!$C:$C,0,0)</f>
        <v>18</v>
      </c>
      <c r="AD597">
        <f t="shared" si="19"/>
        <v>1663800</v>
      </c>
      <c r="AE597" t="s">
        <v>13</v>
      </c>
      <c r="AF597" t="s">
        <v>0</v>
      </c>
      <c r="AG597" t="s">
        <v>14</v>
      </c>
      <c r="AH597" t="s">
        <v>15</v>
      </c>
      <c r="AI597" t="s">
        <v>16</v>
      </c>
      <c r="AJ597" t="s">
        <v>17</v>
      </c>
      <c r="AK597" t="s">
        <v>18</v>
      </c>
      <c r="AL597" t="s">
        <v>19</v>
      </c>
      <c r="AM597" t="s">
        <v>363</v>
      </c>
      <c r="AN597" t="s">
        <v>0</v>
      </c>
      <c r="AO597" t="s">
        <v>0</v>
      </c>
      <c r="AP597" t="s">
        <v>0</v>
      </c>
      <c r="AQ597" s="5">
        <v>30</v>
      </c>
      <c r="AR597" t="s">
        <v>11</v>
      </c>
      <c r="AS597" t="s">
        <v>0</v>
      </c>
      <c r="AT597" t="s">
        <v>17</v>
      </c>
      <c r="AU597" s="4">
        <v>0</v>
      </c>
      <c r="AV597" s="4">
        <v>0</v>
      </c>
      <c r="AW597" s="4">
        <v>0</v>
      </c>
      <c r="AX597" s="4">
        <v>0</v>
      </c>
      <c r="AY597" s="5">
        <v>0</v>
      </c>
      <c r="AZ597" s="5">
        <v>0</v>
      </c>
      <c r="BA597" s="5">
        <v>0</v>
      </c>
      <c r="BB597" s="2"/>
      <c r="BC597" t="s">
        <v>0</v>
      </c>
      <c r="BD597" s="5">
        <v>1</v>
      </c>
      <c r="BE597" t="s">
        <v>0</v>
      </c>
      <c r="BF597" t="s">
        <v>367</v>
      </c>
      <c r="BG597" t="s">
        <v>17</v>
      </c>
      <c r="BH597" t="s">
        <v>0</v>
      </c>
      <c r="BI597" t="s">
        <v>11</v>
      </c>
      <c r="BJ597" t="s">
        <v>0</v>
      </c>
      <c r="BK597" t="s">
        <v>0</v>
      </c>
      <c r="BL597" s="5">
        <v>0</v>
      </c>
      <c r="BM597" t="s">
        <v>0</v>
      </c>
      <c r="BN597" t="s">
        <v>0</v>
      </c>
      <c r="BO597" t="s">
        <v>0</v>
      </c>
      <c r="BP597" t="s">
        <v>17</v>
      </c>
      <c r="BQ597" t="s">
        <v>0</v>
      </c>
      <c r="BR597" t="s">
        <v>17</v>
      </c>
      <c r="BS597" t="s">
        <v>17</v>
      </c>
      <c r="BT597" t="s">
        <v>0</v>
      </c>
      <c r="BU597" t="s">
        <v>0</v>
      </c>
      <c r="BV597" t="s">
        <v>0</v>
      </c>
      <c r="BW597" t="s">
        <v>0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</row>
    <row r="598" spans="1:80" ht="13.95" customHeight="1" x14ac:dyDescent="0.25">
      <c r="A598" t="s">
        <v>377</v>
      </c>
      <c r="B598" s="2">
        <v>45883</v>
      </c>
      <c r="C598" s="2">
        <v>45883</v>
      </c>
      <c r="D598" s="2">
        <v>45914</v>
      </c>
      <c r="E598" t="s">
        <v>2</v>
      </c>
      <c r="F598" t="s">
        <v>3</v>
      </c>
      <c r="G598" t="s">
        <v>0</v>
      </c>
      <c r="H598" t="s">
        <v>4</v>
      </c>
      <c r="I598" t="s">
        <v>363</v>
      </c>
      <c r="J598" t="s">
        <v>6</v>
      </c>
      <c r="K598" t="s">
        <v>42</v>
      </c>
      <c r="L598" t="s">
        <v>39</v>
      </c>
      <c r="M598" t="s">
        <v>40</v>
      </c>
      <c r="N598" t="s">
        <v>10</v>
      </c>
      <c r="O598" t="s">
        <v>0</v>
      </c>
      <c r="P598" t="s">
        <v>11</v>
      </c>
      <c r="Q598" s="5">
        <v>15</v>
      </c>
      <c r="R598" s="4">
        <v>47000</v>
      </c>
      <c r="S598" s="5">
        <v>1</v>
      </c>
      <c r="T598" s="4">
        <v>705000</v>
      </c>
      <c r="U598" s="5">
        <v>0</v>
      </c>
      <c r="V598" s="4">
        <v>0</v>
      </c>
      <c r="W598" s="5">
        <v>0</v>
      </c>
      <c r="X598" s="4">
        <v>0</v>
      </c>
      <c r="Y598" s="4">
        <f t="shared" si="18"/>
        <v>705000</v>
      </c>
      <c r="Z598" s="6" t="s">
        <v>0</v>
      </c>
      <c r="AA598" t="s">
        <v>2</v>
      </c>
      <c r="AB598" t="s">
        <v>12</v>
      </c>
      <c r="AC598">
        <f>_xlfn.XLOOKUP(AB598,'[1]GST Codes'!$A:$A,'[1]GST Codes'!$C:$C,0,0)</f>
        <v>18</v>
      </c>
      <c r="AD598">
        <f t="shared" si="19"/>
        <v>831900</v>
      </c>
      <c r="AE598" t="s">
        <v>13</v>
      </c>
      <c r="AF598" t="s">
        <v>0</v>
      </c>
      <c r="AG598" t="s">
        <v>14</v>
      </c>
      <c r="AH598" t="s">
        <v>15</v>
      </c>
      <c r="AI598" t="s">
        <v>16</v>
      </c>
      <c r="AJ598" t="s">
        <v>17</v>
      </c>
      <c r="AK598" t="s">
        <v>18</v>
      </c>
      <c r="AL598" t="s">
        <v>19</v>
      </c>
      <c r="AM598" t="s">
        <v>363</v>
      </c>
      <c r="AN598" t="s">
        <v>0</v>
      </c>
      <c r="AO598" t="s">
        <v>0</v>
      </c>
      <c r="AP598" t="s">
        <v>0</v>
      </c>
      <c r="AQ598" s="5">
        <v>15</v>
      </c>
      <c r="AR598" t="s">
        <v>11</v>
      </c>
      <c r="AS598" t="s">
        <v>0</v>
      </c>
      <c r="AT598" t="s">
        <v>17</v>
      </c>
      <c r="AU598" s="4">
        <v>0</v>
      </c>
      <c r="AV598" s="4">
        <v>0</v>
      </c>
      <c r="AW598" s="4">
        <v>0</v>
      </c>
      <c r="AX598" s="4">
        <v>0</v>
      </c>
      <c r="AY598" s="5">
        <v>0</v>
      </c>
      <c r="AZ598" s="5">
        <v>0</v>
      </c>
      <c r="BA598" s="5">
        <v>0</v>
      </c>
      <c r="BB598" s="2"/>
      <c r="BC598" t="s">
        <v>0</v>
      </c>
      <c r="BD598" s="5">
        <v>1</v>
      </c>
      <c r="BE598" t="s">
        <v>0</v>
      </c>
      <c r="BF598" t="s">
        <v>368</v>
      </c>
      <c r="BG598" t="s">
        <v>17</v>
      </c>
      <c r="BH598" t="s">
        <v>0</v>
      </c>
      <c r="BI598" t="s">
        <v>11</v>
      </c>
      <c r="BJ598" t="s">
        <v>0</v>
      </c>
      <c r="BK598" t="s">
        <v>0</v>
      </c>
      <c r="BL598" s="5">
        <v>0</v>
      </c>
      <c r="BM598" t="s">
        <v>0</v>
      </c>
      <c r="BN598" t="s">
        <v>0</v>
      </c>
      <c r="BO598" t="s">
        <v>0</v>
      </c>
      <c r="BP598" t="s">
        <v>17</v>
      </c>
      <c r="BQ598" t="s">
        <v>0</v>
      </c>
      <c r="BR598" t="s">
        <v>17</v>
      </c>
      <c r="BS598" t="s">
        <v>17</v>
      </c>
      <c r="BT598" t="s">
        <v>0</v>
      </c>
      <c r="BU598" t="s">
        <v>0</v>
      </c>
      <c r="BV598" t="s">
        <v>0</v>
      </c>
      <c r="BW598" t="s">
        <v>0</v>
      </c>
      <c r="BX598" t="s">
        <v>0</v>
      </c>
      <c r="BY598" t="s">
        <v>0</v>
      </c>
      <c r="BZ598" t="s">
        <v>0</v>
      </c>
      <c r="CA598" t="s">
        <v>0</v>
      </c>
      <c r="CB598" t="s">
        <v>0</v>
      </c>
    </row>
    <row r="599" spans="1:80" ht="13.95" customHeight="1" x14ac:dyDescent="0.25">
      <c r="A599" t="s">
        <v>377</v>
      </c>
      <c r="B599" s="2">
        <v>45883</v>
      </c>
      <c r="C599" s="2">
        <v>45883</v>
      </c>
      <c r="D599" s="2">
        <v>45914</v>
      </c>
      <c r="E599" t="s">
        <v>2</v>
      </c>
      <c r="F599" t="s">
        <v>3</v>
      </c>
      <c r="G599" t="s">
        <v>0</v>
      </c>
      <c r="H599" t="s">
        <v>4</v>
      </c>
      <c r="I599" t="s">
        <v>363</v>
      </c>
      <c r="J599" t="s">
        <v>6</v>
      </c>
      <c r="K599" t="s">
        <v>86</v>
      </c>
      <c r="L599" t="s">
        <v>39</v>
      </c>
      <c r="M599" t="s">
        <v>40</v>
      </c>
      <c r="N599" t="s">
        <v>10</v>
      </c>
      <c r="O599" t="s">
        <v>0</v>
      </c>
      <c r="P599" t="s">
        <v>11</v>
      </c>
      <c r="Q599" s="5">
        <v>15</v>
      </c>
      <c r="R599" s="4">
        <v>47000</v>
      </c>
      <c r="S599" s="5">
        <v>1</v>
      </c>
      <c r="T599" s="4">
        <v>705000</v>
      </c>
      <c r="U599" s="5">
        <v>0</v>
      </c>
      <c r="V599" s="4">
        <v>0</v>
      </c>
      <c r="W599" s="5">
        <v>0</v>
      </c>
      <c r="X599" s="4">
        <v>0</v>
      </c>
      <c r="Y599" s="4">
        <f t="shared" si="18"/>
        <v>705000</v>
      </c>
      <c r="Z599" s="6" t="s">
        <v>0</v>
      </c>
      <c r="AA599" t="s">
        <v>2</v>
      </c>
      <c r="AB599" t="s">
        <v>12</v>
      </c>
      <c r="AC599">
        <f>_xlfn.XLOOKUP(AB599,'[1]GST Codes'!$A:$A,'[1]GST Codes'!$C:$C,0,0)</f>
        <v>18</v>
      </c>
      <c r="AD599">
        <f t="shared" si="19"/>
        <v>831900</v>
      </c>
      <c r="AE599" t="s">
        <v>13</v>
      </c>
      <c r="AF599" t="s">
        <v>0</v>
      </c>
      <c r="AG599" t="s">
        <v>14</v>
      </c>
      <c r="AH599" t="s">
        <v>15</v>
      </c>
      <c r="AI599" t="s">
        <v>16</v>
      </c>
      <c r="AJ599" t="s">
        <v>17</v>
      </c>
      <c r="AK599" t="s">
        <v>18</v>
      </c>
      <c r="AL599" t="s">
        <v>19</v>
      </c>
      <c r="AM599" t="s">
        <v>363</v>
      </c>
      <c r="AN599" t="s">
        <v>0</v>
      </c>
      <c r="AO599" t="s">
        <v>0</v>
      </c>
      <c r="AP599" t="s">
        <v>0</v>
      </c>
      <c r="AQ599" s="5">
        <v>15</v>
      </c>
      <c r="AR599" t="s">
        <v>11</v>
      </c>
      <c r="AS599" t="s">
        <v>0</v>
      </c>
      <c r="AT599" t="s">
        <v>17</v>
      </c>
      <c r="AU599" s="4">
        <v>0</v>
      </c>
      <c r="AV599" s="4">
        <v>0</v>
      </c>
      <c r="AW599" s="4">
        <v>0</v>
      </c>
      <c r="AX599" s="4">
        <v>0</v>
      </c>
      <c r="AY599" s="5">
        <v>0</v>
      </c>
      <c r="AZ599" s="5">
        <v>0</v>
      </c>
      <c r="BA599" s="5">
        <v>0</v>
      </c>
      <c r="BB599" s="2"/>
      <c r="BC599" t="s">
        <v>0</v>
      </c>
      <c r="BD599" s="5">
        <v>1</v>
      </c>
      <c r="BE599" t="s">
        <v>0</v>
      </c>
      <c r="BF599" t="s">
        <v>368</v>
      </c>
      <c r="BG599" t="s">
        <v>17</v>
      </c>
      <c r="BH599" t="s">
        <v>0</v>
      </c>
      <c r="BI599" t="s">
        <v>11</v>
      </c>
      <c r="BJ599" t="s">
        <v>0</v>
      </c>
      <c r="BK599" t="s">
        <v>0</v>
      </c>
      <c r="BL599" s="5">
        <v>0</v>
      </c>
      <c r="BM599" t="s">
        <v>0</v>
      </c>
      <c r="BN599" t="s">
        <v>0</v>
      </c>
      <c r="BO599" t="s">
        <v>0</v>
      </c>
      <c r="BP599" t="s">
        <v>17</v>
      </c>
      <c r="BQ599" t="s">
        <v>0</v>
      </c>
      <c r="BR599" t="s">
        <v>17</v>
      </c>
      <c r="BS599" t="s">
        <v>17</v>
      </c>
      <c r="BT599" t="s">
        <v>0</v>
      </c>
      <c r="BU599" t="s">
        <v>0</v>
      </c>
      <c r="BV599" t="s">
        <v>0</v>
      </c>
      <c r="BW599" t="s">
        <v>0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</row>
    <row r="600" spans="1:80" ht="13.95" customHeight="1" x14ac:dyDescent="0.25">
      <c r="A600" t="s">
        <v>377</v>
      </c>
      <c r="B600" s="2">
        <v>45883</v>
      </c>
      <c r="C600" s="2">
        <v>45883</v>
      </c>
      <c r="D600" s="2">
        <v>45914</v>
      </c>
      <c r="E600" t="s">
        <v>2</v>
      </c>
      <c r="F600" t="s">
        <v>3</v>
      </c>
      <c r="G600" t="s">
        <v>0</v>
      </c>
      <c r="H600" t="s">
        <v>4</v>
      </c>
      <c r="I600" t="s">
        <v>363</v>
      </c>
      <c r="J600" t="s">
        <v>6</v>
      </c>
      <c r="K600" t="s">
        <v>87</v>
      </c>
      <c r="L600" t="s">
        <v>39</v>
      </c>
      <c r="M600" t="s">
        <v>40</v>
      </c>
      <c r="N600" t="s">
        <v>10</v>
      </c>
      <c r="O600" t="s">
        <v>0</v>
      </c>
      <c r="P600" t="s">
        <v>11</v>
      </c>
      <c r="Q600" s="5">
        <v>15</v>
      </c>
      <c r="R600" s="4">
        <v>47000</v>
      </c>
      <c r="S600" s="5">
        <v>1</v>
      </c>
      <c r="T600" s="4">
        <v>705000</v>
      </c>
      <c r="U600" s="5">
        <v>0</v>
      </c>
      <c r="V600" s="4">
        <v>0</v>
      </c>
      <c r="W600" s="5">
        <v>0</v>
      </c>
      <c r="X600" s="4">
        <v>0</v>
      </c>
      <c r="Y600" s="4">
        <f t="shared" si="18"/>
        <v>705000</v>
      </c>
      <c r="Z600" s="6" t="s">
        <v>0</v>
      </c>
      <c r="AA600" t="s">
        <v>2</v>
      </c>
      <c r="AB600" t="s">
        <v>12</v>
      </c>
      <c r="AC600">
        <f>_xlfn.XLOOKUP(AB600,'[1]GST Codes'!$A:$A,'[1]GST Codes'!$C:$C,0,0)</f>
        <v>18</v>
      </c>
      <c r="AD600">
        <f t="shared" si="19"/>
        <v>831900</v>
      </c>
      <c r="AE600" t="s">
        <v>13</v>
      </c>
      <c r="AF600" t="s">
        <v>0</v>
      </c>
      <c r="AG600" t="s">
        <v>14</v>
      </c>
      <c r="AH600" t="s">
        <v>15</v>
      </c>
      <c r="AI600" t="s">
        <v>16</v>
      </c>
      <c r="AJ600" t="s">
        <v>17</v>
      </c>
      <c r="AK600" t="s">
        <v>18</v>
      </c>
      <c r="AL600" t="s">
        <v>19</v>
      </c>
      <c r="AM600" t="s">
        <v>363</v>
      </c>
      <c r="AN600" t="s">
        <v>0</v>
      </c>
      <c r="AO600" t="s">
        <v>0</v>
      </c>
      <c r="AP600" t="s">
        <v>0</v>
      </c>
      <c r="AQ600" s="5">
        <v>15</v>
      </c>
      <c r="AR600" t="s">
        <v>11</v>
      </c>
      <c r="AS600" t="s">
        <v>0</v>
      </c>
      <c r="AT600" t="s">
        <v>17</v>
      </c>
      <c r="AU600" s="4">
        <v>0</v>
      </c>
      <c r="AV600" s="4">
        <v>0</v>
      </c>
      <c r="AW600" s="4">
        <v>0</v>
      </c>
      <c r="AX600" s="4">
        <v>0</v>
      </c>
      <c r="AY600" s="5">
        <v>0</v>
      </c>
      <c r="AZ600" s="5">
        <v>0</v>
      </c>
      <c r="BA600" s="5">
        <v>0</v>
      </c>
      <c r="BB600" s="2"/>
      <c r="BC600" t="s">
        <v>0</v>
      </c>
      <c r="BD600" s="5">
        <v>1</v>
      </c>
      <c r="BE600" t="s">
        <v>0</v>
      </c>
      <c r="BF600" t="s">
        <v>368</v>
      </c>
      <c r="BG600" t="s">
        <v>17</v>
      </c>
      <c r="BH600" t="s">
        <v>0</v>
      </c>
      <c r="BI600" t="s">
        <v>11</v>
      </c>
      <c r="BJ600" t="s">
        <v>0</v>
      </c>
      <c r="BK600" t="s">
        <v>0</v>
      </c>
      <c r="BL600" s="5">
        <v>0</v>
      </c>
      <c r="BM600" t="s">
        <v>0</v>
      </c>
      <c r="BN600" t="s">
        <v>0</v>
      </c>
      <c r="BO600" t="s">
        <v>0</v>
      </c>
      <c r="BP600" t="s">
        <v>17</v>
      </c>
      <c r="BQ600" t="s">
        <v>0</v>
      </c>
      <c r="BR600" t="s">
        <v>17</v>
      </c>
      <c r="BS600" t="s">
        <v>17</v>
      </c>
      <c r="BT600" t="s">
        <v>0</v>
      </c>
      <c r="BU600" t="s">
        <v>0</v>
      </c>
      <c r="BV600" t="s">
        <v>0</v>
      </c>
      <c r="BW600" t="s">
        <v>0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</row>
    <row r="601" spans="1:80" ht="13.95" customHeight="1" x14ac:dyDescent="0.25">
      <c r="A601" t="s">
        <v>377</v>
      </c>
      <c r="B601" s="2">
        <v>45883</v>
      </c>
      <c r="C601" s="2">
        <v>45883</v>
      </c>
      <c r="D601" s="2">
        <v>45914</v>
      </c>
      <c r="E601" t="s">
        <v>2</v>
      </c>
      <c r="F601" t="s">
        <v>3</v>
      </c>
      <c r="G601" t="s">
        <v>0</v>
      </c>
      <c r="H601" t="s">
        <v>4</v>
      </c>
      <c r="I601" t="s">
        <v>363</v>
      </c>
      <c r="J601" t="s">
        <v>6</v>
      </c>
      <c r="K601" t="s">
        <v>88</v>
      </c>
      <c r="L601" t="s">
        <v>39</v>
      </c>
      <c r="M601" t="s">
        <v>40</v>
      </c>
      <c r="N601" t="s">
        <v>10</v>
      </c>
      <c r="O601" t="s">
        <v>0</v>
      </c>
      <c r="P601" t="s">
        <v>11</v>
      </c>
      <c r="Q601" s="5">
        <v>10</v>
      </c>
      <c r="R601" s="4">
        <v>47000</v>
      </c>
      <c r="S601" s="5">
        <v>1</v>
      </c>
      <c r="T601" s="4">
        <v>470000</v>
      </c>
      <c r="U601" s="5">
        <v>0</v>
      </c>
      <c r="V601" s="4">
        <v>0</v>
      </c>
      <c r="W601" s="5">
        <v>0</v>
      </c>
      <c r="X601" s="4">
        <v>0</v>
      </c>
      <c r="Y601" s="4">
        <f t="shared" si="18"/>
        <v>470000</v>
      </c>
      <c r="Z601" s="6" t="s">
        <v>0</v>
      </c>
      <c r="AA601" t="s">
        <v>2</v>
      </c>
      <c r="AB601" t="s">
        <v>12</v>
      </c>
      <c r="AC601">
        <f>_xlfn.XLOOKUP(AB601,'[1]GST Codes'!$A:$A,'[1]GST Codes'!$C:$C,0,0)</f>
        <v>18</v>
      </c>
      <c r="AD601">
        <f t="shared" si="19"/>
        <v>554600</v>
      </c>
      <c r="AE601" t="s">
        <v>13</v>
      </c>
      <c r="AF601" t="s">
        <v>0</v>
      </c>
      <c r="AG601" t="s">
        <v>14</v>
      </c>
      <c r="AH601" t="s">
        <v>15</v>
      </c>
      <c r="AI601" t="s">
        <v>16</v>
      </c>
      <c r="AJ601" t="s">
        <v>17</v>
      </c>
      <c r="AK601" t="s">
        <v>18</v>
      </c>
      <c r="AL601" t="s">
        <v>19</v>
      </c>
      <c r="AM601" t="s">
        <v>363</v>
      </c>
      <c r="AN601" t="s">
        <v>0</v>
      </c>
      <c r="AO601" t="s">
        <v>0</v>
      </c>
      <c r="AP601" t="s">
        <v>0</v>
      </c>
      <c r="AQ601" s="5">
        <v>10</v>
      </c>
      <c r="AR601" t="s">
        <v>11</v>
      </c>
      <c r="AS601" t="s">
        <v>0</v>
      </c>
      <c r="AT601" t="s">
        <v>17</v>
      </c>
      <c r="AU601" s="4">
        <v>0</v>
      </c>
      <c r="AV601" s="4">
        <v>0</v>
      </c>
      <c r="AW601" s="4">
        <v>0</v>
      </c>
      <c r="AX601" s="4">
        <v>0</v>
      </c>
      <c r="AY601" s="5">
        <v>0</v>
      </c>
      <c r="AZ601" s="5">
        <v>0</v>
      </c>
      <c r="BA601" s="5">
        <v>0</v>
      </c>
      <c r="BB601" s="2"/>
      <c r="BC601" t="s">
        <v>0</v>
      </c>
      <c r="BD601" s="5">
        <v>1</v>
      </c>
      <c r="BE601" t="s">
        <v>0</v>
      </c>
      <c r="BF601" t="s">
        <v>368</v>
      </c>
      <c r="BG601" t="s">
        <v>17</v>
      </c>
      <c r="BH601" t="s">
        <v>0</v>
      </c>
      <c r="BI601" t="s">
        <v>11</v>
      </c>
      <c r="BJ601" t="s">
        <v>0</v>
      </c>
      <c r="BK601" t="s">
        <v>0</v>
      </c>
      <c r="BL601" s="5">
        <v>0</v>
      </c>
      <c r="BM601" t="s">
        <v>0</v>
      </c>
      <c r="BN601" t="s">
        <v>0</v>
      </c>
      <c r="BO601" t="s">
        <v>0</v>
      </c>
      <c r="BP601" t="s">
        <v>17</v>
      </c>
      <c r="BQ601" t="s">
        <v>0</v>
      </c>
      <c r="BR601" t="s">
        <v>17</v>
      </c>
      <c r="BS601" t="s">
        <v>17</v>
      </c>
      <c r="BT601" t="s">
        <v>0</v>
      </c>
      <c r="BU601" t="s">
        <v>0</v>
      </c>
      <c r="BV601" t="s">
        <v>0</v>
      </c>
      <c r="BW601" t="s">
        <v>0</v>
      </c>
      <c r="BX601" t="s">
        <v>0</v>
      </c>
      <c r="BY601" t="s">
        <v>0</v>
      </c>
      <c r="BZ601" t="s">
        <v>0</v>
      </c>
      <c r="CA601" t="s">
        <v>0</v>
      </c>
      <c r="CB601" t="s">
        <v>0</v>
      </c>
    </row>
    <row r="602" spans="1:80" ht="13.95" customHeight="1" x14ac:dyDescent="0.25">
      <c r="A602" t="s">
        <v>377</v>
      </c>
      <c r="B602" s="2">
        <v>45883</v>
      </c>
      <c r="C602" s="2">
        <v>45883</v>
      </c>
      <c r="D602" s="2">
        <v>45914</v>
      </c>
      <c r="E602" t="s">
        <v>2</v>
      </c>
      <c r="F602" t="s">
        <v>3</v>
      </c>
      <c r="G602" t="s">
        <v>0</v>
      </c>
      <c r="H602" t="s">
        <v>4</v>
      </c>
      <c r="I602" t="s">
        <v>363</v>
      </c>
      <c r="J602" t="s">
        <v>6</v>
      </c>
      <c r="K602" t="s">
        <v>89</v>
      </c>
      <c r="L602" t="s">
        <v>39</v>
      </c>
      <c r="M602" t="s">
        <v>40</v>
      </c>
      <c r="N602" t="s">
        <v>10</v>
      </c>
      <c r="O602" t="s">
        <v>0</v>
      </c>
      <c r="P602" t="s">
        <v>11</v>
      </c>
      <c r="Q602" s="5">
        <v>10</v>
      </c>
      <c r="R602" s="4">
        <v>47000</v>
      </c>
      <c r="S602" s="5">
        <v>1</v>
      </c>
      <c r="T602" s="4">
        <v>470000</v>
      </c>
      <c r="U602" s="5">
        <v>0</v>
      </c>
      <c r="V602" s="4">
        <v>0</v>
      </c>
      <c r="W602" s="5">
        <v>0</v>
      </c>
      <c r="X602" s="4">
        <v>0</v>
      </c>
      <c r="Y602" s="4">
        <f t="shared" si="18"/>
        <v>470000</v>
      </c>
      <c r="Z602" s="6" t="s">
        <v>0</v>
      </c>
      <c r="AA602" t="s">
        <v>2</v>
      </c>
      <c r="AB602" t="s">
        <v>12</v>
      </c>
      <c r="AC602">
        <f>_xlfn.XLOOKUP(AB602,'[1]GST Codes'!$A:$A,'[1]GST Codes'!$C:$C,0,0)</f>
        <v>18</v>
      </c>
      <c r="AD602">
        <f t="shared" si="19"/>
        <v>554600</v>
      </c>
      <c r="AE602" t="s">
        <v>13</v>
      </c>
      <c r="AF602" t="s">
        <v>0</v>
      </c>
      <c r="AG602" t="s">
        <v>14</v>
      </c>
      <c r="AH602" t="s">
        <v>15</v>
      </c>
      <c r="AI602" t="s">
        <v>16</v>
      </c>
      <c r="AJ602" t="s">
        <v>17</v>
      </c>
      <c r="AK602" t="s">
        <v>18</v>
      </c>
      <c r="AL602" t="s">
        <v>19</v>
      </c>
      <c r="AM602" t="s">
        <v>363</v>
      </c>
      <c r="AN602" t="s">
        <v>0</v>
      </c>
      <c r="AO602" t="s">
        <v>0</v>
      </c>
      <c r="AP602" t="s">
        <v>0</v>
      </c>
      <c r="AQ602" s="5">
        <v>10</v>
      </c>
      <c r="AR602" t="s">
        <v>11</v>
      </c>
      <c r="AS602" t="s">
        <v>0</v>
      </c>
      <c r="AT602" t="s">
        <v>17</v>
      </c>
      <c r="AU602" s="4">
        <v>0</v>
      </c>
      <c r="AV602" s="4">
        <v>0</v>
      </c>
      <c r="AW602" s="4">
        <v>0</v>
      </c>
      <c r="AX602" s="4">
        <v>0</v>
      </c>
      <c r="AY602" s="5">
        <v>0</v>
      </c>
      <c r="AZ602" s="5">
        <v>0</v>
      </c>
      <c r="BA602" s="5">
        <v>0</v>
      </c>
      <c r="BB602" s="2"/>
      <c r="BC602" t="s">
        <v>0</v>
      </c>
      <c r="BD602" s="5">
        <v>1</v>
      </c>
      <c r="BE602" t="s">
        <v>0</v>
      </c>
      <c r="BF602" t="s">
        <v>368</v>
      </c>
      <c r="BG602" t="s">
        <v>17</v>
      </c>
      <c r="BH602" t="s">
        <v>0</v>
      </c>
      <c r="BI602" t="s">
        <v>11</v>
      </c>
      <c r="BJ602" t="s">
        <v>0</v>
      </c>
      <c r="BK602" t="s">
        <v>0</v>
      </c>
      <c r="BL602" s="5">
        <v>0</v>
      </c>
      <c r="BM602" t="s">
        <v>0</v>
      </c>
      <c r="BN602" t="s">
        <v>0</v>
      </c>
      <c r="BO602" t="s">
        <v>0</v>
      </c>
      <c r="BP602" t="s">
        <v>17</v>
      </c>
      <c r="BQ602" t="s">
        <v>0</v>
      </c>
      <c r="BR602" t="s">
        <v>17</v>
      </c>
      <c r="BS602" t="s">
        <v>17</v>
      </c>
      <c r="BT602" t="s">
        <v>0</v>
      </c>
      <c r="BU602" t="s">
        <v>0</v>
      </c>
      <c r="BV602" t="s">
        <v>0</v>
      </c>
      <c r="BW602" t="s">
        <v>0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</row>
    <row r="603" spans="1:80" ht="13.95" customHeight="1" x14ac:dyDescent="0.25">
      <c r="A603" t="s">
        <v>377</v>
      </c>
      <c r="B603" s="2">
        <v>45883</v>
      </c>
      <c r="C603" s="2">
        <v>45883</v>
      </c>
      <c r="D603" s="2">
        <v>45914</v>
      </c>
      <c r="E603" t="s">
        <v>2</v>
      </c>
      <c r="F603" t="s">
        <v>3</v>
      </c>
      <c r="G603" t="s">
        <v>0</v>
      </c>
      <c r="H603" t="s">
        <v>4</v>
      </c>
      <c r="I603" t="s">
        <v>363</v>
      </c>
      <c r="J603" t="s">
        <v>6</v>
      </c>
      <c r="K603" t="s">
        <v>90</v>
      </c>
      <c r="L603" t="s">
        <v>39</v>
      </c>
      <c r="M603" t="s">
        <v>40</v>
      </c>
      <c r="N603" t="s">
        <v>10</v>
      </c>
      <c r="O603" t="s">
        <v>0</v>
      </c>
      <c r="P603" t="s">
        <v>11</v>
      </c>
      <c r="Q603" s="5">
        <v>10</v>
      </c>
      <c r="R603" s="4">
        <v>47000</v>
      </c>
      <c r="S603" s="5">
        <v>1</v>
      </c>
      <c r="T603" s="4">
        <v>470000</v>
      </c>
      <c r="U603" s="3">
        <v>1.1970000000000001</v>
      </c>
      <c r="V603" s="4">
        <v>56259</v>
      </c>
      <c r="W603" s="3">
        <v>1.1970000000000001</v>
      </c>
      <c r="X603" s="4">
        <v>56259</v>
      </c>
      <c r="Y603" s="4">
        <f t="shared" si="18"/>
        <v>413741</v>
      </c>
      <c r="Z603" s="6" t="s">
        <v>0</v>
      </c>
      <c r="AA603" t="s">
        <v>2</v>
      </c>
      <c r="AB603" t="s">
        <v>12</v>
      </c>
      <c r="AC603">
        <f>_xlfn.XLOOKUP(AB603,'[1]GST Codes'!$A:$A,'[1]GST Codes'!$C:$C,0,0)</f>
        <v>18</v>
      </c>
      <c r="AD603">
        <f t="shared" si="19"/>
        <v>488214.38</v>
      </c>
      <c r="AE603" t="s">
        <v>13</v>
      </c>
      <c r="AF603" t="s">
        <v>0</v>
      </c>
      <c r="AG603" t="s">
        <v>14</v>
      </c>
      <c r="AH603" t="s">
        <v>15</v>
      </c>
      <c r="AI603" t="s">
        <v>16</v>
      </c>
      <c r="AJ603" t="s">
        <v>17</v>
      </c>
      <c r="AK603" t="s">
        <v>18</v>
      </c>
      <c r="AL603" t="s">
        <v>19</v>
      </c>
      <c r="AM603" t="s">
        <v>363</v>
      </c>
      <c r="AN603" t="s">
        <v>0</v>
      </c>
      <c r="AO603" t="s">
        <v>0</v>
      </c>
      <c r="AP603" t="s">
        <v>0</v>
      </c>
      <c r="AQ603" s="5">
        <v>10</v>
      </c>
      <c r="AR603" t="s">
        <v>11</v>
      </c>
      <c r="AS603" t="s">
        <v>0</v>
      </c>
      <c r="AT603" t="s">
        <v>17</v>
      </c>
      <c r="AU603" s="4">
        <v>0</v>
      </c>
      <c r="AV603" s="4">
        <v>0</v>
      </c>
      <c r="AW603" s="4">
        <v>0</v>
      </c>
      <c r="AX603" s="4">
        <v>0</v>
      </c>
      <c r="AY603" s="5">
        <v>0</v>
      </c>
      <c r="AZ603" s="5">
        <v>0</v>
      </c>
      <c r="BA603" s="5">
        <v>0</v>
      </c>
      <c r="BB603" s="2"/>
      <c r="BC603" t="s">
        <v>0</v>
      </c>
      <c r="BD603" s="5">
        <v>1</v>
      </c>
      <c r="BE603" t="s">
        <v>0</v>
      </c>
      <c r="BF603" t="s">
        <v>368</v>
      </c>
      <c r="BG603" t="s">
        <v>17</v>
      </c>
      <c r="BH603" t="s">
        <v>0</v>
      </c>
      <c r="BI603" t="s">
        <v>11</v>
      </c>
      <c r="BJ603" t="s">
        <v>0</v>
      </c>
      <c r="BK603" t="s">
        <v>0</v>
      </c>
      <c r="BL603" s="5">
        <v>0</v>
      </c>
      <c r="BM603" t="s">
        <v>0</v>
      </c>
      <c r="BN603" t="s">
        <v>0</v>
      </c>
      <c r="BO603" t="s">
        <v>0</v>
      </c>
      <c r="BP603" t="s">
        <v>17</v>
      </c>
      <c r="BQ603" t="s">
        <v>0</v>
      </c>
      <c r="BR603" t="s">
        <v>17</v>
      </c>
      <c r="BS603" t="s">
        <v>17</v>
      </c>
      <c r="BT603" t="s">
        <v>0</v>
      </c>
      <c r="BU603" t="s">
        <v>0</v>
      </c>
      <c r="BV603" t="s">
        <v>0</v>
      </c>
      <c r="BW603" t="s">
        <v>0</v>
      </c>
      <c r="BX603" t="s">
        <v>0</v>
      </c>
      <c r="BY603" t="s">
        <v>0</v>
      </c>
      <c r="BZ603" t="s">
        <v>0</v>
      </c>
      <c r="CA603" t="s">
        <v>0</v>
      </c>
      <c r="CB603" t="s">
        <v>0</v>
      </c>
    </row>
    <row r="604" spans="1:80" ht="13.95" customHeight="1" x14ac:dyDescent="0.25">
      <c r="A604" t="s">
        <v>377</v>
      </c>
      <c r="B604" s="2">
        <v>45883</v>
      </c>
      <c r="C604" s="2">
        <v>45883</v>
      </c>
      <c r="D604" s="2">
        <v>45914</v>
      </c>
      <c r="E604" t="s">
        <v>2</v>
      </c>
      <c r="F604" t="s">
        <v>3</v>
      </c>
      <c r="G604" t="s">
        <v>0</v>
      </c>
      <c r="H604" t="s">
        <v>4</v>
      </c>
      <c r="I604" t="s">
        <v>363</v>
      </c>
      <c r="J604" t="s">
        <v>6</v>
      </c>
      <c r="K604" t="s">
        <v>177</v>
      </c>
      <c r="L604" t="s">
        <v>43</v>
      </c>
      <c r="M604" t="s">
        <v>44</v>
      </c>
      <c r="N604" t="s">
        <v>10</v>
      </c>
      <c r="O604" t="s">
        <v>0</v>
      </c>
      <c r="P604" t="s">
        <v>11</v>
      </c>
      <c r="Q604" s="5">
        <v>15</v>
      </c>
      <c r="R604" s="4">
        <v>47000</v>
      </c>
      <c r="S604" s="5">
        <v>1</v>
      </c>
      <c r="T604" s="4">
        <v>705000</v>
      </c>
      <c r="U604" s="5">
        <v>0</v>
      </c>
      <c r="V604" s="4">
        <v>0</v>
      </c>
      <c r="W604" s="5">
        <v>0</v>
      </c>
      <c r="X604" s="4">
        <v>0</v>
      </c>
      <c r="Y604" s="4">
        <f t="shared" si="18"/>
        <v>705000</v>
      </c>
      <c r="Z604" s="6" t="s">
        <v>0</v>
      </c>
      <c r="AA604" t="s">
        <v>2</v>
      </c>
      <c r="AB604" t="s">
        <v>12</v>
      </c>
      <c r="AC604">
        <f>_xlfn.XLOOKUP(AB604,'[1]GST Codes'!$A:$A,'[1]GST Codes'!$C:$C,0,0)</f>
        <v>18</v>
      </c>
      <c r="AD604">
        <f t="shared" si="19"/>
        <v>831900</v>
      </c>
      <c r="AE604" t="s">
        <v>13</v>
      </c>
      <c r="AF604" t="s">
        <v>0</v>
      </c>
      <c r="AG604" t="s">
        <v>14</v>
      </c>
      <c r="AH604" t="s">
        <v>15</v>
      </c>
      <c r="AI604" t="s">
        <v>16</v>
      </c>
      <c r="AJ604" t="s">
        <v>17</v>
      </c>
      <c r="AK604" t="s">
        <v>18</v>
      </c>
      <c r="AL604" t="s">
        <v>19</v>
      </c>
      <c r="AM604" t="s">
        <v>363</v>
      </c>
      <c r="AN604" t="s">
        <v>0</v>
      </c>
      <c r="AO604" t="s">
        <v>0</v>
      </c>
      <c r="AP604" t="s">
        <v>0</v>
      </c>
      <c r="AQ604" s="5">
        <v>15</v>
      </c>
      <c r="AR604" t="s">
        <v>11</v>
      </c>
      <c r="AS604" t="s">
        <v>0</v>
      </c>
      <c r="AT604" t="s">
        <v>17</v>
      </c>
      <c r="AU604" s="4">
        <v>0</v>
      </c>
      <c r="AV604" s="4">
        <v>0</v>
      </c>
      <c r="AW604" s="4">
        <v>0</v>
      </c>
      <c r="AX604" s="4">
        <v>0</v>
      </c>
      <c r="AY604" s="5">
        <v>0</v>
      </c>
      <c r="AZ604" s="5">
        <v>0</v>
      </c>
      <c r="BA604" s="5">
        <v>0</v>
      </c>
      <c r="BB604" s="2"/>
      <c r="BC604" t="s">
        <v>0</v>
      </c>
      <c r="BD604" s="5">
        <v>1</v>
      </c>
      <c r="BE604" t="s">
        <v>0</v>
      </c>
      <c r="BF604" t="s">
        <v>364</v>
      </c>
      <c r="BG604" t="s">
        <v>17</v>
      </c>
      <c r="BH604" t="s">
        <v>0</v>
      </c>
      <c r="BI604" t="s">
        <v>11</v>
      </c>
      <c r="BJ604" t="s">
        <v>0</v>
      </c>
      <c r="BK604" t="s">
        <v>0</v>
      </c>
      <c r="BL604" s="5">
        <v>0</v>
      </c>
      <c r="BM604" t="s">
        <v>0</v>
      </c>
      <c r="BN604" t="s">
        <v>0</v>
      </c>
      <c r="BO604" t="s">
        <v>0</v>
      </c>
      <c r="BP604" t="s">
        <v>17</v>
      </c>
      <c r="BQ604" t="s">
        <v>0</v>
      </c>
      <c r="BR604" t="s">
        <v>17</v>
      </c>
      <c r="BS604" t="s">
        <v>17</v>
      </c>
      <c r="BT604" t="s">
        <v>0</v>
      </c>
      <c r="BU604" t="s">
        <v>0</v>
      </c>
      <c r="BV604" t="s">
        <v>0</v>
      </c>
      <c r="BW604" t="s">
        <v>0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</row>
    <row r="605" spans="1:80" ht="13.95" customHeight="1" x14ac:dyDescent="0.25">
      <c r="A605" t="s">
        <v>377</v>
      </c>
      <c r="B605" s="2">
        <v>45883</v>
      </c>
      <c r="C605" s="2">
        <v>45883</v>
      </c>
      <c r="D605" s="2">
        <v>45914</v>
      </c>
      <c r="E605" t="s">
        <v>2</v>
      </c>
      <c r="F605" t="s">
        <v>3</v>
      </c>
      <c r="G605" t="s">
        <v>0</v>
      </c>
      <c r="H605" t="s">
        <v>4</v>
      </c>
      <c r="I605" t="s">
        <v>363</v>
      </c>
      <c r="J605" t="s">
        <v>6</v>
      </c>
      <c r="K605" t="s">
        <v>181</v>
      </c>
      <c r="L605" t="s">
        <v>43</v>
      </c>
      <c r="M605" t="s">
        <v>44</v>
      </c>
      <c r="N605" t="s">
        <v>10</v>
      </c>
      <c r="O605" t="s">
        <v>0</v>
      </c>
      <c r="P605" t="s">
        <v>11</v>
      </c>
      <c r="Q605" s="5">
        <v>15</v>
      </c>
      <c r="R605" s="4">
        <v>47000</v>
      </c>
      <c r="S605" s="5">
        <v>1</v>
      </c>
      <c r="T605" s="4">
        <v>705000</v>
      </c>
      <c r="U605" s="5">
        <v>0</v>
      </c>
      <c r="V605" s="4">
        <v>0</v>
      </c>
      <c r="W605" s="5">
        <v>0</v>
      </c>
      <c r="X605" s="4">
        <v>0</v>
      </c>
      <c r="Y605" s="4">
        <f t="shared" si="18"/>
        <v>705000</v>
      </c>
      <c r="Z605" s="6" t="s">
        <v>0</v>
      </c>
      <c r="AA605" t="s">
        <v>2</v>
      </c>
      <c r="AB605" t="s">
        <v>12</v>
      </c>
      <c r="AC605">
        <f>_xlfn.XLOOKUP(AB605,'[1]GST Codes'!$A:$A,'[1]GST Codes'!$C:$C,0,0)</f>
        <v>18</v>
      </c>
      <c r="AD605">
        <f t="shared" si="19"/>
        <v>831900</v>
      </c>
      <c r="AE605" t="s">
        <v>13</v>
      </c>
      <c r="AF605" t="s">
        <v>0</v>
      </c>
      <c r="AG605" t="s">
        <v>14</v>
      </c>
      <c r="AH605" t="s">
        <v>15</v>
      </c>
      <c r="AI605" t="s">
        <v>16</v>
      </c>
      <c r="AJ605" t="s">
        <v>17</v>
      </c>
      <c r="AK605" t="s">
        <v>18</v>
      </c>
      <c r="AL605" t="s">
        <v>19</v>
      </c>
      <c r="AM605" t="s">
        <v>363</v>
      </c>
      <c r="AN605" t="s">
        <v>0</v>
      </c>
      <c r="AO605" t="s">
        <v>0</v>
      </c>
      <c r="AP605" t="s">
        <v>0</v>
      </c>
      <c r="AQ605" s="5">
        <v>15</v>
      </c>
      <c r="AR605" t="s">
        <v>11</v>
      </c>
      <c r="AS605" t="s">
        <v>0</v>
      </c>
      <c r="AT605" t="s">
        <v>17</v>
      </c>
      <c r="AU605" s="4">
        <v>0</v>
      </c>
      <c r="AV605" s="4">
        <v>0</v>
      </c>
      <c r="AW605" s="4">
        <v>0</v>
      </c>
      <c r="AX605" s="4">
        <v>0</v>
      </c>
      <c r="AY605" s="5">
        <v>0</v>
      </c>
      <c r="AZ605" s="5">
        <v>0</v>
      </c>
      <c r="BA605" s="5">
        <v>0</v>
      </c>
      <c r="BB605" s="2"/>
      <c r="BC605" t="s">
        <v>0</v>
      </c>
      <c r="BD605" s="5">
        <v>1</v>
      </c>
      <c r="BE605" t="s">
        <v>0</v>
      </c>
      <c r="BF605" t="s">
        <v>364</v>
      </c>
      <c r="BG605" t="s">
        <v>17</v>
      </c>
      <c r="BH605" t="s">
        <v>0</v>
      </c>
      <c r="BI605" t="s">
        <v>11</v>
      </c>
      <c r="BJ605" t="s">
        <v>0</v>
      </c>
      <c r="BK605" t="s">
        <v>0</v>
      </c>
      <c r="BL605" s="5">
        <v>0</v>
      </c>
      <c r="BM605" t="s">
        <v>0</v>
      </c>
      <c r="BN605" t="s">
        <v>0</v>
      </c>
      <c r="BO605" t="s">
        <v>0</v>
      </c>
      <c r="BP605" t="s">
        <v>17</v>
      </c>
      <c r="BQ605" t="s">
        <v>0</v>
      </c>
      <c r="BR605" t="s">
        <v>17</v>
      </c>
      <c r="BS605" t="s">
        <v>17</v>
      </c>
      <c r="BT605" t="s">
        <v>0</v>
      </c>
      <c r="BU605" t="s">
        <v>0</v>
      </c>
      <c r="BV605" t="s">
        <v>0</v>
      </c>
      <c r="BW605" t="s">
        <v>0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</row>
    <row r="606" spans="1:80" ht="13.95" customHeight="1" x14ac:dyDescent="0.25">
      <c r="A606" t="s">
        <v>377</v>
      </c>
      <c r="B606" s="2">
        <v>45883</v>
      </c>
      <c r="C606" s="2">
        <v>45883</v>
      </c>
      <c r="D606" s="2">
        <v>45914</v>
      </c>
      <c r="E606" t="s">
        <v>2</v>
      </c>
      <c r="F606" t="s">
        <v>3</v>
      </c>
      <c r="G606" t="s">
        <v>0</v>
      </c>
      <c r="H606" t="s">
        <v>4</v>
      </c>
      <c r="I606" t="s">
        <v>363</v>
      </c>
      <c r="J606" t="s">
        <v>6</v>
      </c>
      <c r="K606" t="s">
        <v>185</v>
      </c>
      <c r="L606" t="s">
        <v>43</v>
      </c>
      <c r="M606" t="s">
        <v>44</v>
      </c>
      <c r="N606" t="s">
        <v>10</v>
      </c>
      <c r="O606" t="s">
        <v>0</v>
      </c>
      <c r="P606" t="s">
        <v>11</v>
      </c>
      <c r="Q606" s="5">
        <v>15</v>
      </c>
      <c r="R606" s="4">
        <v>47000</v>
      </c>
      <c r="S606" s="5">
        <v>1</v>
      </c>
      <c r="T606" s="4">
        <v>705000</v>
      </c>
      <c r="U606" s="5">
        <v>0</v>
      </c>
      <c r="V606" s="4">
        <v>0</v>
      </c>
      <c r="W606" s="5">
        <v>0</v>
      </c>
      <c r="X606" s="4">
        <v>0</v>
      </c>
      <c r="Y606" s="4">
        <f t="shared" si="18"/>
        <v>705000</v>
      </c>
      <c r="Z606" s="6" t="s">
        <v>0</v>
      </c>
      <c r="AA606" t="s">
        <v>2</v>
      </c>
      <c r="AB606" t="s">
        <v>12</v>
      </c>
      <c r="AC606">
        <f>_xlfn.XLOOKUP(AB606,'[1]GST Codes'!$A:$A,'[1]GST Codes'!$C:$C,0,0)</f>
        <v>18</v>
      </c>
      <c r="AD606">
        <f t="shared" si="19"/>
        <v>831900</v>
      </c>
      <c r="AE606" t="s">
        <v>13</v>
      </c>
      <c r="AF606" t="s">
        <v>0</v>
      </c>
      <c r="AG606" t="s">
        <v>14</v>
      </c>
      <c r="AH606" t="s">
        <v>15</v>
      </c>
      <c r="AI606" t="s">
        <v>16</v>
      </c>
      <c r="AJ606" t="s">
        <v>17</v>
      </c>
      <c r="AK606" t="s">
        <v>18</v>
      </c>
      <c r="AL606" t="s">
        <v>19</v>
      </c>
      <c r="AM606" t="s">
        <v>363</v>
      </c>
      <c r="AN606" t="s">
        <v>0</v>
      </c>
      <c r="AO606" t="s">
        <v>0</v>
      </c>
      <c r="AP606" t="s">
        <v>0</v>
      </c>
      <c r="AQ606" s="5">
        <v>15</v>
      </c>
      <c r="AR606" t="s">
        <v>11</v>
      </c>
      <c r="AS606" t="s">
        <v>0</v>
      </c>
      <c r="AT606" t="s">
        <v>17</v>
      </c>
      <c r="AU606" s="4">
        <v>0</v>
      </c>
      <c r="AV606" s="4">
        <v>0</v>
      </c>
      <c r="AW606" s="4">
        <v>0</v>
      </c>
      <c r="AX606" s="4">
        <v>0</v>
      </c>
      <c r="AY606" s="5">
        <v>0</v>
      </c>
      <c r="AZ606" s="5">
        <v>0</v>
      </c>
      <c r="BA606" s="5">
        <v>0</v>
      </c>
      <c r="BB606" s="2"/>
      <c r="BC606" t="s">
        <v>0</v>
      </c>
      <c r="BD606" s="5">
        <v>1</v>
      </c>
      <c r="BE606" t="s">
        <v>0</v>
      </c>
      <c r="BF606" t="s">
        <v>364</v>
      </c>
      <c r="BG606" t="s">
        <v>17</v>
      </c>
      <c r="BH606" t="s">
        <v>0</v>
      </c>
      <c r="BI606" t="s">
        <v>11</v>
      </c>
      <c r="BJ606" t="s">
        <v>0</v>
      </c>
      <c r="BK606" t="s">
        <v>0</v>
      </c>
      <c r="BL606" s="5">
        <v>0</v>
      </c>
      <c r="BM606" t="s">
        <v>0</v>
      </c>
      <c r="BN606" t="s">
        <v>0</v>
      </c>
      <c r="BO606" t="s">
        <v>0</v>
      </c>
      <c r="BP606" t="s">
        <v>17</v>
      </c>
      <c r="BQ606" t="s">
        <v>0</v>
      </c>
      <c r="BR606" t="s">
        <v>17</v>
      </c>
      <c r="BS606" t="s">
        <v>17</v>
      </c>
      <c r="BT606" t="s">
        <v>0</v>
      </c>
      <c r="BU606" t="s">
        <v>0</v>
      </c>
      <c r="BV606" t="s">
        <v>0</v>
      </c>
      <c r="BW606" t="s">
        <v>0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</row>
    <row r="607" spans="1:80" ht="13.95" customHeight="1" x14ac:dyDescent="0.25">
      <c r="A607" t="s">
        <v>377</v>
      </c>
      <c r="B607" s="2">
        <v>45883</v>
      </c>
      <c r="C607" s="2">
        <v>45883</v>
      </c>
      <c r="D607" s="2">
        <v>45914</v>
      </c>
      <c r="E607" t="s">
        <v>2</v>
      </c>
      <c r="F607" t="s">
        <v>3</v>
      </c>
      <c r="G607" t="s">
        <v>0</v>
      </c>
      <c r="H607" t="s">
        <v>4</v>
      </c>
      <c r="I607" t="s">
        <v>363</v>
      </c>
      <c r="J607" t="s">
        <v>6</v>
      </c>
      <c r="K607" t="s">
        <v>189</v>
      </c>
      <c r="L607" t="s">
        <v>43</v>
      </c>
      <c r="M607" t="s">
        <v>44</v>
      </c>
      <c r="N607" t="s">
        <v>10</v>
      </c>
      <c r="O607" t="s">
        <v>0</v>
      </c>
      <c r="P607" t="s">
        <v>11</v>
      </c>
      <c r="Q607" s="5">
        <v>10</v>
      </c>
      <c r="R607" s="4">
        <v>47000</v>
      </c>
      <c r="S607" s="5">
        <v>1</v>
      </c>
      <c r="T607" s="4">
        <v>470000</v>
      </c>
      <c r="U607" s="5">
        <v>0</v>
      </c>
      <c r="V607" s="4">
        <v>0</v>
      </c>
      <c r="W607" s="5">
        <v>0</v>
      </c>
      <c r="X607" s="4">
        <v>0</v>
      </c>
      <c r="Y607" s="4">
        <f t="shared" si="18"/>
        <v>470000</v>
      </c>
      <c r="Z607" s="6" t="s">
        <v>0</v>
      </c>
      <c r="AA607" t="s">
        <v>2</v>
      </c>
      <c r="AB607" t="s">
        <v>12</v>
      </c>
      <c r="AC607">
        <f>_xlfn.XLOOKUP(AB607,'[1]GST Codes'!$A:$A,'[1]GST Codes'!$C:$C,0,0)</f>
        <v>18</v>
      </c>
      <c r="AD607">
        <f t="shared" si="19"/>
        <v>554600</v>
      </c>
      <c r="AE607" t="s">
        <v>13</v>
      </c>
      <c r="AF607" t="s">
        <v>0</v>
      </c>
      <c r="AG607" t="s">
        <v>14</v>
      </c>
      <c r="AH607" t="s">
        <v>15</v>
      </c>
      <c r="AI607" t="s">
        <v>16</v>
      </c>
      <c r="AJ607" t="s">
        <v>17</v>
      </c>
      <c r="AK607" t="s">
        <v>18</v>
      </c>
      <c r="AL607" t="s">
        <v>19</v>
      </c>
      <c r="AM607" t="s">
        <v>363</v>
      </c>
      <c r="AN607" t="s">
        <v>0</v>
      </c>
      <c r="AO607" t="s">
        <v>0</v>
      </c>
      <c r="AP607" t="s">
        <v>0</v>
      </c>
      <c r="AQ607" s="5">
        <v>10</v>
      </c>
      <c r="AR607" t="s">
        <v>11</v>
      </c>
      <c r="AS607" t="s">
        <v>0</v>
      </c>
      <c r="AT607" t="s">
        <v>17</v>
      </c>
      <c r="AU607" s="4">
        <v>0</v>
      </c>
      <c r="AV607" s="4">
        <v>0</v>
      </c>
      <c r="AW607" s="4">
        <v>0</v>
      </c>
      <c r="AX607" s="4">
        <v>0</v>
      </c>
      <c r="AY607" s="5">
        <v>0</v>
      </c>
      <c r="AZ607" s="5">
        <v>0</v>
      </c>
      <c r="BA607" s="5">
        <v>0</v>
      </c>
      <c r="BB607" s="2"/>
      <c r="BC607" t="s">
        <v>0</v>
      </c>
      <c r="BD607" s="5">
        <v>1</v>
      </c>
      <c r="BE607" t="s">
        <v>0</v>
      </c>
      <c r="BF607" t="s">
        <v>364</v>
      </c>
      <c r="BG607" t="s">
        <v>17</v>
      </c>
      <c r="BH607" t="s">
        <v>0</v>
      </c>
      <c r="BI607" t="s">
        <v>11</v>
      </c>
      <c r="BJ607" t="s">
        <v>0</v>
      </c>
      <c r="BK607" t="s">
        <v>0</v>
      </c>
      <c r="BL607" s="5">
        <v>0</v>
      </c>
      <c r="BM607" t="s">
        <v>0</v>
      </c>
      <c r="BN607" t="s">
        <v>0</v>
      </c>
      <c r="BO607" t="s">
        <v>0</v>
      </c>
      <c r="BP607" t="s">
        <v>17</v>
      </c>
      <c r="BQ607" t="s">
        <v>0</v>
      </c>
      <c r="BR607" t="s">
        <v>17</v>
      </c>
      <c r="BS607" t="s">
        <v>17</v>
      </c>
      <c r="BT607" t="s">
        <v>0</v>
      </c>
      <c r="BU607" t="s">
        <v>0</v>
      </c>
      <c r="BV607" t="s">
        <v>0</v>
      </c>
      <c r="BW607" t="s">
        <v>0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</row>
    <row r="608" spans="1:80" ht="13.95" customHeight="1" x14ac:dyDescent="0.25">
      <c r="A608" t="s">
        <v>377</v>
      </c>
      <c r="B608" s="2">
        <v>45883</v>
      </c>
      <c r="C608" s="2">
        <v>45883</v>
      </c>
      <c r="D608" s="2">
        <v>45914</v>
      </c>
      <c r="E608" t="s">
        <v>2</v>
      </c>
      <c r="F608" t="s">
        <v>3</v>
      </c>
      <c r="G608" t="s">
        <v>0</v>
      </c>
      <c r="H608" t="s">
        <v>4</v>
      </c>
      <c r="I608" t="s">
        <v>363</v>
      </c>
      <c r="J608" t="s">
        <v>6</v>
      </c>
      <c r="K608" t="s">
        <v>193</v>
      </c>
      <c r="L608" t="s">
        <v>43</v>
      </c>
      <c r="M608" t="s">
        <v>44</v>
      </c>
      <c r="N608" t="s">
        <v>10</v>
      </c>
      <c r="O608" t="s">
        <v>0</v>
      </c>
      <c r="P608" t="s">
        <v>11</v>
      </c>
      <c r="Q608" s="5">
        <v>10</v>
      </c>
      <c r="R608" s="4">
        <v>47000</v>
      </c>
      <c r="S608" s="5">
        <v>1</v>
      </c>
      <c r="T608" s="4">
        <v>470000</v>
      </c>
      <c r="U608" s="5">
        <v>0</v>
      </c>
      <c r="V608" s="4">
        <v>0</v>
      </c>
      <c r="W608" s="5">
        <v>0</v>
      </c>
      <c r="X608" s="4">
        <v>0</v>
      </c>
      <c r="Y608" s="4">
        <f t="shared" si="18"/>
        <v>470000</v>
      </c>
      <c r="Z608" s="6" t="s">
        <v>0</v>
      </c>
      <c r="AA608" t="s">
        <v>2</v>
      </c>
      <c r="AB608" t="s">
        <v>12</v>
      </c>
      <c r="AC608">
        <f>_xlfn.XLOOKUP(AB608,'[1]GST Codes'!$A:$A,'[1]GST Codes'!$C:$C,0,0)</f>
        <v>18</v>
      </c>
      <c r="AD608">
        <f t="shared" si="19"/>
        <v>554600</v>
      </c>
      <c r="AE608" t="s">
        <v>13</v>
      </c>
      <c r="AF608" t="s">
        <v>0</v>
      </c>
      <c r="AG608" t="s">
        <v>14</v>
      </c>
      <c r="AH608" t="s">
        <v>15</v>
      </c>
      <c r="AI608" t="s">
        <v>16</v>
      </c>
      <c r="AJ608" t="s">
        <v>17</v>
      </c>
      <c r="AK608" t="s">
        <v>18</v>
      </c>
      <c r="AL608" t="s">
        <v>19</v>
      </c>
      <c r="AM608" t="s">
        <v>363</v>
      </c>
      <c r="AN608" t="s">
        <v>0</v>
      </c>
      <c r="AO608" t="s">
        <v>0</v>
      </c>
      <c r="AP608" t="s">
        <v>0</v>
      </c>
      <c r="AQ608" s="5">
        <v>10</v>
      </c>
      <c r="AR608" t="s">
        <v>11</v>
      </c>
      <c r="AS608" t="s">
        <v>0</v>
      </c>
      <c r="AT608" t="s">
        <v>17</v>
      </c>
      <c r="AU608" s="4">
        <v>0</v>
      </c>
      <c r="AV608" s="4">
        <v>0</v>
      </c>
      <c r="AW608" s="4">
        <v>0</v>
      </c>
      <c r="AX608" s="4">
        <v>0</v>
      </c>
      <c r="AY608" s="5">
        <v>0</v>
      </c>
      <c r="AZ608" s="5">
        <v>0</v>
      </c>
      <c r="BA608" s="5">
        <v>0</v>
      </c>
      <c r="BB608" s="2"/>
      <c r="BC608" t="s">
        <v>0</v>
      </c>
      <c r="BD608" s="5">
        <v>1</v>
      </c>
      <c r="BE608" t="s">
        <v>0</v>
      </c>
      <c r="BF608" t="s">
        <v>364</v>
      </c>
      <c r="BG608" t="s">
        <v>17</v>
      </c>
      <c r="BH608" t="s">
        <v>0</v>
      </c>
      <c r="BI608" t="s">
        <v>11</v>
      </c>
      <c r="BJ608" t="s">
        <v>0</v>
      </c>
      <c r="BK608" t="s">
        <v>0</v>
      </c>
      <c r="BL608" s="5">
        <v>0</v>
      </c>
      <c r="BM608" t="s">
        <v>0</v>
      </c>
      <c r="BN608" t="s">
        <v>0</v>
      </c>
      <c r="BO608" t="s">
        <v>0</v>
      </c>
      <c r="BP608" t="s">
        <v>17</v>
      </c>
      <c r="BQ608" t="s">
        <v>0</v>
      </c>
      <c r="BR608" t="s">
        <v>17</v>
      </c>
      <c r="BS608" t="s">
        <v>17</v>
      </c>
      <c r="BT608" t="s">
        <v>0</v>
      </c>
      <c r="BU608" t="s">
        <v>0</v>
      </c>
      <c r="BV608" t="s">
        <v>0</v>
      </c>
      <c r="BW608" t="s">
        <v>0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</row>
    <row r="609" spans="1:80" ht="13.95" customHeight="1" x14ac:dyDescent="0.25">
      <c r="A609" t="s">
        <v>377</v>
      </c>
      <c r="B609" s="2">
        <v>45883</v>
      </c>
      <c r="C609" s="2">
        <v>45883</v>
      </c>
      <c r="D609" s="2">
        <v>45914</v>
      </c>
      <c r="E609" t="s">
        <v>2</v>
      </c>
      <c r="F609" t="s">
        <v>3</v>
      </c>
      <c r="G609" t="s">
        <v>0</v>
      </c>
      <c r="H609" t="s">
        <v>4</v>
      </c>
      <c r="I609" t="s">
        <v>363</v>
      </c>
      <c r="J609" t="s">
        <v>6</v>
      </c>
      <c r="K609" t="s">
        <v>197</v>
      </c>
      <c r="L609" t="s">
        <v>43</v>
      </c>
      <c r="M609" t="s">
        <v>44</v>
      </c>
      <c r="N609" t="s">
        <v>10</v>
      </c>
      <c r="O609" t="s">
        <v>0</v>
      </c>
      <c r="P609" t="s">
        <v>11</v>
      </c>
      <c r="Q609" s="5">
        <v>10</v>
      </c>
      <c r="R609" s="4">
        <v>47000</v>
      </c>
      <c r="S609" s="5">
        <v>1</v>
      </c>
      <c r="T609" s="4">
        <v>470000</v>
      </c>
      <c r="U609" s="5">
        <v>0</v>
      </c>
      <c r="V609" s="4">
        <v>0</v>
      </c>
      <c r="W609" s="5">
        <v>0</v>
      </c>
      <c r="X609" s="4">
        <v>0</v>
      </c>
      <c r="Y609" s="4">
        <f t="shared" si="18"/>
        <v>470000</v>
      </c>
      <c r="Z609" s="6" t="s">
        <v>0</v>
      </c>
      <c r="AA609" t="s">
        <v>2</v>
      </c>
      <c r="AB609" t="s">
        <v>12</v>
      </c>
      <c r="AC609">
        <f>_xlfn.XLOOKUP(AB609,'[1]GST Codes'!$A:$A,'[1]GST Codes'!$C:$C,0,0)</f>
        <v>18</v>
      </c>
      <c r="AD609">
        <f t="shared" si="19"/>
        <v>554600</v>
      </c>
      <c r="AE609" t="s">
        <v>13</v>
      </c>
      <c r="AF609" t="s">
        <v>0</v>
      </c>
      <c r="AG609" t="s">
        <v>14</v>
      </c>
      <c r="AH609" t="s">
        <v>15</v>
      </c>
      <c r="AI609" t="s">
        <v>16</v>
      </c>
      <c r="AJ609" t="s">
        <v>17</v>
      </c>
      <c r="AK609" t="s">
        <v>18</v>
      </c>
      <c r="AL609" t="s">
        <v>19</v>
      </c>
      <c r="AM609" t="s">
        <v>363</v>
      </c>
      <c r="AN609" t="s">
        <v>0</v>
      </c>
      <c r="AO609" t="s">
        <v>0</v>
      </c>
      <c r="AP609" t="s">
        <v>0</v>
      </c>
      <c r="AQ609" s="5">
        <v>10</v>
      </c>
      <c r="AR609" t="s">
        <v>11</v>
      </c>
      <c r="AS609" t="s">
        <v>0</v>
      </c>
      <c r="AT609" t="s">
        <v>17</v>
      </c>
      <c r="AU609" s="4">
        <v>0</v>
      </c>
      <c r="AV609" s="4">
        <v>0</v>
      </c>
      <c r="AW609" s="4">
        <v>0</v>
      </c>
      <c r="AX609" s="4">
        <v>0</v>
      </c>
      <c r="AY609" s="5">
        <v>0</v>
      </c>
      <c r="AZ609" s="5">
        <v>0</v>
      </c>
      <c r="BA609" s="5">
        <v>0</v>
      </c>
      <c r="BB609" s="2"/>
      <c r="BC609" t="s">
        <v>0</v>
      </c>
      <c r="BD609" s="5">
        <v>1</v>
      </c>
      <c r="BE609" t="s">
        <v>0</v>
      </c>
      <c r="BF609" t="s">
        <v>364</v>
      </c>
      <c r="BG609" t="s">
        <v>17</v>
      </c>
      <c r="BH609" t="s">
        <v>0</v>
      </c>
      <c r="BI609" t="s">
        <v>11</v>
      </c>
      <c r="BJ609" t="s">
        <v>0</v>
      </c>
      <c r="BK609" t="s">
        <v>0</v>
      </c>
      <c r="BL609" s="5">
        <v>0</v>
      </c>
      <c r="BM609" t="s">
        <v>0</v>
      </c>
      <c r="BN609" t="s">
        <v>0</v>
      </c>
      <c r="BO609" t="s">
        <v>0</v>
      </c>
      <c r="BP609" t="s">
        <v>17</v>
      </c>
      <c r="BQ609" t="s">
        <v>0</v>
      </c>
      <c r="BR609" t="s">
        <v>17</v>
      </c>
      <c r="BS609" t="s">
        <v>17</v>
      </c>
      <c r="BT609" t="s">
        <v>0</v>
      </c>
      <c r="BU609" t="s">
        <v>0</v>
      </c>
      <c r="BV609" t="s">
        <v>0</v>
      </c>
      <c r="BW609" t="s">
        <v>0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</row>
    <row r="610" spans="1:80" ht="13.95" customHeight="1" x14ac:dyDescent="0.25">
      <c r="A610" t="s">
        <v>377</v>
      </c>
      <c r="B610" s="2">
        <v>45883</v>
      </c>
      <c r="C610" s="2">
        <v>45883</v>
      </c>
      <c r="D610" s="2">
        <v>45914</v>
      </c>
      <c r="E610" t="s">
        <v>2</v>
      </c>
      <c r="F610" t="s">
        <v>3</v>
      </c>
      <c r="G610" t="s">
        <v>0</v>
      </c>
      <c r="H610" t="s">
        <v>4</v>
      </c>
      <c r="I610" t="s">
        <v>363</v>
      </c>
      <c r="J610" t="s">
        <v>6</v>
      </c>
      <c r="K610" t="s">
        <v>201</v>
      </c>
      <c r="L610" t="s">
        <v>354</v>
      </c>
      <c r="M610" t="s">
        <v>338</v>
      </c>
      <c r="N610" t="s">
        <v>10</v>
      </c>
      <c r="O610" t="s">
        <v>0</v>
      </c>
      <c r="P610" t="s">
        <v>11</v>
      </c>
      <c r="Q610" s="5">
        <v>20</v>
      </c>
      <c r="R610" s="4">
        <v>47000</v>
      </c>
      <c r="S610" s="5">
        <v>1</v>
      </c>
      <c r="T610" s="4">
        <v>940000</v>
      </c>
      <c r="U610" s="5">
        <v>0</v>
      </c>
      <c r="V610" s="4">
        <v>0</v>
      </c>
      <c r="W610" s="5">
        <v>0</v>
      </c>
      <c r="X610" s="4">
        <v>0</v>
      </c>
      <c r="Y610" s="4">
        <f t="shared" si="18"/>
        <v>940000</v>
      </c>
      <c r="Z610" s="6" t="s">
        <v>0</v>
      </c>
      <c r="AA610" t="s">
        <v>2</v>
      </c>
      <c r="AB610" t="s">
        <v>12</v>
      </c>
      <c r="AC610">
        <f>_xlfn.XLOOKUP(AB610,'[1]GST Codes'!$A:$A,'[1]GST Codes'!$C:$C,0,0)</f>
        <v>18</v>
      </c>
      <c r="AD610">
        <f t="shared" si="19"/>
        <v>1109200</v>
      </c>
      <c r="AE610" t="s">
        <v>13</v>
      </c>
      <c r="AF610" t="s">
        <v>0</v>
      </c>
      <c r="AG610" t="s">
        <v>14</v>
      </c>
      <c r="AH610" t="s">
        <v>15</v>
      </c>
      <c r="AI610" t="s">
        <v>16</v>
      </c>
      <c r="AJ610" t="s">
        <v>17</v>
      </c>
      <c r="AK610" t="s">
        <v>18</v>
      </c>
      <c r="AL610" t="s">
        <v>19</v>
      </c>
      <c r="AM610" t="s">
        <v>363</v>
      </c>
      <c r="AN610" t="s">
        <v>0</v>
      </c>
      <c r="AO610" t="s">
        <v>0</v>
      </c>
      <c r="AP610" t="s">
        <v>0</v>
      </c>
      <c r="AQ610" s="5">
        <v>20</v>
      </c>
      <c r="AR610" t="s">
        <v>11</v>
      </c>
      <c r="AS610" t="s">
        <v>0</v>
      </c>
      <c r="AT610" t="s">
        <v>17</v>
      </c>
      <c r="AU610" s="4">
        <v>0</v>
      </c>
      <c r="AV610" s="4">
        <v>0</v>
      </c>
      <c r="AW610" s="4">
        <v>0</v>
      </c>
      <c r="AX610" s="4">
        <v>0</v>
      </c>
      <c r="AY610" s="5">
        <v>0</v>
      </c>
      <c r="AZ610" s="5">
        <v>0</v>
      </c>
      <c r="BA610" s="5">
        <v>0</v>
      </c>
      <c r="BB610" s="2"/>
      <c r="BC610" t="s">
        <v>0</v>
      </c>
      <c r="BD610" s="5">
        <v>1</v>
      </c>
      <c r="BE610" t="s">
        <v>0</v>
      </c>
      <c r="BF610" t="s">
        <v>371</v>
      </c>
      <c r="BG610" t="s">
        <v>17</v>
      </c>
      <c r="BH610" t="s">
        <v>0</v>
      </c>
      <c r="BI610" t="s">
        <v>11</v>
      </c>
      <c r="BJ610" t="s">
        <v>0</v>
      </c>
      <c r="BK610" t="s">
        <v>0</v>
      </c>
      <c r="BL610" s="5">
        <v>0</v>
      </c>
      <c r="BM610" t="s">
        <v>0</v>
      </c>
      <c r="BN610" t="s">
        <v>0</v>
      </c>
      <c r="BO610" t="s">
        <v>0</v>
      </c>
      <c r="BP610" t="s">
        <v>17</v>
      </c>
      <c r="BQ610" t="s">
        <v>0</v>
      </c>
      <c r="BR610" t="s">
        <v>17</v>
      </c>
      <c r="BS610" t="s">
        <v>17</v>
      </c>
      <c r="BT610" t="s">
        <v>0</v>
      </c>
      <c r="BU610" t="s">
        <v>0</v>
      </c>
      <c r="BV610" t="s">
        <v>0</v>
      </c>
      <c r="BW610" t="s">
        <v>0</v>
      </c>
      <c r="BX610" t="s">
        <v>0</v>
      </c>
      <c r="BY610" t="s">
        <v>0</v>
      </c>
      <c r="BZ610" t="s">
        <v>0</v>
      </c>
      <c r="CA610" t="s">
        <v>0</v>
      </c>
      <c r="CB610" t="s">
        <v>0</v>
      </c>
    </row>
    <row r="611" spans="1:80" ht="13.95" customHeight="1" x14ac:dyDescent="0.25">
      <c r="A611" t="s">
        <v>377</v>
      </c>
      <c r="B611" s="2">
        <v>45883</v>
      </c>
      <c r="C611" s="2">
        <v>45883</v>
      </c>
      <c r="D611" s="2">
        <v>45914</v>
      </c>
      <c r="E611" t="s">
        <v>2</v>
      </c>
      <c r="F611" t="s">
        <v>3</v>
      </c>
      <c r="G611" t="s">
        <v>0</v>
      </c>
      <c r="H611" t="s">
        <v>4</v>
      </c>
      <c r="I611" t="s">
        <v>363</v>
      </c>
      <c r="J611" t="s">
        <v>6</v>
      </c>
      <c r="K611" t="s">
        <v>205</v>
      </c>
      <c r="L611" t="s">
        <v>354</v>
      </c>
      <c r="M611" t="s">
        <v>338</v>
      </c>
      <c r="N611" t="s">
        <v>10</v>
      </c>
      <c r="O611" t="s">
        <v>0</v>
      </c>
      <c r="P611" t="s">
        <v>11</v>
      </c>
      <c r="Q611" s="5">
        <v>20</v>
      </c>
      <c r="R611" s="4">
        <v>47000</v>
      </c>
      <c r="S611" s="5">
        <v>1</v>
      </c>
      <c r="T611" s="4">
        <v>940000</v>
      </c>
      <c r="U611" s="5">
        <v>0</v>
      </c>
      <c r="V611" s="4">
        <v>0</v>
      </c>
      <c r="W611" s="5">
        <v>0</v>
      </c>
      <c r="X611" s="4">
        <v>0</v>
      </c>
      <c r="Y611" s="4">
        <f t="shared" si="18"/>
        <v>940000</v>
      </c>
      <c r="Z611" s="6" t="s">
        <v>0</v>
      </c>
      <c r="AA611" t="s">
        <v>2</v>
      </c>
      <c r="AB611" t="s">
        <v>12</v>
      </c>
      <c r="AC611">
        <f>_xlfn.XLOOKUP(AB611,'[1]GST Codes'!$A:$A,'[1]GST Codes'!$C:$C,0,0)</f>
        <v>18</v>
      </c>
      <c r="AD611">
        <f t="shared" si="19"/>
        <v>1109200</v>
      </c>
      <c r="AE611" t="s">
        <v>13</v>
      </c>
      <c r="AF611" t="s">
        <v>0</v>
      </c>
      <c r="AG611" t="s">
        <v>14</v>
      </c>
      <c r="AH611" t="s">
        <v>15</v>
      </c>
      <c r="AI611" t="s">
        <v>16</v>
      </c>
      <c r="AJ611" t="s">
        <v>17</v>
      </c>
      <c r="AK611" t="s">
        <v>18</v>
      </c>
      <c r="AL611" t="s">
        <v>19</v>
      </c>
      <c r="AM611" t="s">
        <v>363</v>
      </c>
      <c r="AN611" t="s">
        <v>0</v>
      </c>
      <c r="AO611" t="s">
        <v>0</v>
      </c>
      <c r="AP611" t="s">
        <v>0</v>
      </c>
      <c r="AQ611" s="5">
        <v>20</v>
      </c>
      <c r="AR611" t="s">
        <v>11</v>
      </c>
      <c r="AS611" t="s">
        <v>0</v>
      </c>
      <c r="AT611" t="s">
        <v>17</v>
      </c>
      <c r="AU611" s="4">
        <v>0</v>
      </c>
      <c r="AV611" s="4">
        <v>0</v>
      </c>
      <c r="AW611" s="4">
        <v>0</v>
      </c>
      <c r="AX611" s="4">
        <v>0</v>
      </c>
      <c r="AY611" s="5">
        <v>0</v>
      </c>
      <c r="AZ611" s="5">
        <v>0</v>
      </c>
      <c r="BA611" s="5">
        <v>0</v>
      </c>
      <c r="BB611" s="2"/>
      <c r="BC611" t="s">
        <v>0</v>
      </c>
      <c r="BD611" s="5">
        <v>1</v>
      </c>
      <c r="BE611" t="s">
        <v>0</v>
      </c>
      <c r="BF611" t="s">
        <v>371</v>
      </c>
      <c r="BG611" t="s">
        <v>17</v>
      </c>
      <c r="BH611" t="s">
        <v>0</v>
      </c>
      <c r="BI611" t="s">
        <v>11</v>
      </c>
      <c r="BJ611" t="s">
        <v>0</v>
      </c>
      <c r="BK611" t="s">
        <v>0</v>
      </c>
      <c r="BL611" s="5">
        <v>0</v>
      </c>
      <c r="BM611" t="s">
        <v>0</v>
      </c>
      <c r="BN611" t="s">
        <v>0</v>
      </c>
      <c r="BO611" t="s">
        <v>0</v>
      </c>
      <c r="BP611" t="s">
        <v>17</v>
      </c>
      <c r="BQ611" t="s">
        <v>0</v>
      </c>
      <c r="BR611" t="s">
        <v>17</v>
      </c>
      <c r="BS611" t="s">
        <v>17</v>
      </c>
      <c r="BT611" t="s">
        <v>0</v>
      </c>
      <c r="BU611" t="s">
        <v>0</v>
      </c>
      <c r="BV611" t="s">
        <v>0</v>
      </c>
      <c r="BW611" t="s">
        <v>0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</row>
    <row r="612" spans="1:80" ht="13.95" customHeight="1" x14ac:dyDescent="0.25">
      <c r="A612" t="s">
        <v>377</v>
      </c>
      <c r="B612" s="2">
        <v>45883</v>
      </c>
      <c r="C612" s="2">
        <v>45883</v>
      </c>
      <c r="D612" s="2">
        <v>45914</v>
      </c>
      <c r="E612" t="s">
        <v>2</v>
      </c>
      <c r="F612" t="s">
        <v>3</v>
      </c>
      <c r="G612" t="s">
        <v>0</v>
      </c>
      <c r="H612" t="s">
        <v>4</v>
      </c>
      <c r="I612" t="s">
        <v>363</v>
      </c>
      <c r="J612" t="s">
        <v>6</v>
      </c>
      <c r="K612" t="s">
        <v>209</v>
      </c>
      <c r="L612" t="s">
        <v>354</v>
      </c>
      <c r="M612" t="s">
        <v>338</v>
      </c>
      <c r="N612" t="s">
        <v>10</v>
      </c>
      <c r="O612" t="s">
        <v>0</v>
      </c>
      <c r="P612" t="s">
        <v>11</v>
      </c>
      <c r="Q612" s="5">
        <v>20</v>
      </c>
      <c r="R612" s="4">
        <v>47000</v>
      </c>
      <c r="S612" s="5">
        <v>1</v>
      </c>
      <c r="T612" s="4">
        <v>940000</v>
      </c>
      <c r="U612" s="5">
        <v>0</v>
      </c>
      <c r="V612" s="4">
        <v>0</v>
      </c>
      <c r="W612" s="5">
        <v>0</v>
      </c>
      <c r="X612" s="4">
        <v>0</v>
      </c>
      <c r="Y612" s="4">
        <f t="shared" si="18"/>
        <v>940000</v>
      </c>
      <c r="Z612" s="6" t="s">
        <v>0</v>
      </c>
      <c r="AA612" t="s">
        <v>2</v>
      </c>
      <c r="AB612" t="s">
        <v>12</v>
      </c>
      <c r="AC612">
        <f>_xlfn.XLOOKUP(AB612,'[1]GST Codes'!$A:$A,'[1]GST Codes'!$C:$C,0,0)</f>
        <v>18</v>
      </c>
      <c r="AD612">
        <f t="shared" si="19"/>
        <v>1109200</v>
      </c>
      <c r="AE612" t="s">
        <v>13</v>
      </c>
      <c r="AF612" t="s">
        <v>0</v>
      </c>
      <c r="AG612" t="s">
        <v>14</v>
      </c>
      <c r="AH612" t="s">
        <v>15</v>
      </c>
      <c r="AI612" t="s">
        <v>16</v>
      </c>
      <c r="AJ612" t="s">
        <v>17</v>
      </c>
      <c r="AK612" t="s">
        <v>18</v>
      </c>
      <c r="AL612" t="s">
        <v>19</v>
      </c>
      <c r="AM612" t="s">
        <v>363</v>
      </c>
      <c r="AN612" t="s">
        <v>0</v>
      </c>
      <c r="AO612" t="s">
        <v>0</v>
      </c>
      <c r="AP612" t="s">
        <v>0</v>
      </c>
      <c r="AQ612" s="5">
        <v>20</v>
      </c>
      <c r="AR612" t="s">
        <v>11</v>
      </c>
      <c r="AS612" t="s">
        <v>0</v>
      </c>
      <c r="AT612" t="s">
        <v>17</v>
      </c>
      <c r="AU612" s="4">
        <v>0</v>
      </c>
      <c r="AV612" s="4">
        <v>0</v>
      </c>
      <c r="AW612" s="4">
        <v>0</v>
      </c>
      <c r="AX612" s="4">
        <v>0</v>
      </c>
      <c r="AY612" s="5">
        <v>0</v>
      </c>
      <c r="AZ612" s="5">
        <v>0</v>
      </c>
      <c r="BA612" s="5">
        <v>0</v>
      </c>
      <c r="BB612" s="2"/>
      <c r="BC612" t="s">
        <v>0</v>
      </c>
      <c r="BD612" s="5">
        <v>1</v>
      </c>
      <c r="BE612" t="s">
        <v>0</v>
      </c>
      <c r="BF612" t="s">
        <v>371</v>
      </c>
      <c r="BG612" t="s">
        <v>17</v>
      </c>
      <c r="BH612" t="s">
        <v>0</v>
      </c>
      <c r="BI612" t="s">
        <v>11</v>
      </c>
      <c r="BJ612" t="s">
        <v>0</v>
      </c>
      <c r="BK612" t="s">
        <v>0</v>
      </c>
      <c r="BL612" s="5">
        <v>0</v>
      </c>
      <c r="BM612" t="s">
        <v>0</v>
      </c>
      <c r="BN612" t="s">
        <v>0</v>
      </c>
      <c r="BO612" t="s">
        <v>0</v>
      </c>
      <c r="BP612" t="s">
        <v>17</v>
      </c>
      <c r="BQ612" t="s">
        <v>0</v>
      </c>
      <c r="BR612" t="s">
        <v>17</v>
      </c>
      <c r="BS612" t="s">
        <v>17</v>
      </c>
      <c r="BT612" t="s">
        <v>0</v>
      </c>
      <c r="BU612" t="s">
        <v>0</v>
      </c>
      <c r="BV612" t="s">
        <v>0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</row>
    <row r="613" spans="1:80" ht="13.95" customHeight="1" x14ac:dyDescent="0.25">
      <c r="A613" t="s">
        <v>377</v>
      </c>
      <c r="B613" s="2">
        <v>45883</v>
      </c>
      <c r="C613" s="2">
        <v>45883</v>
      </c>
      <c r="D613" s="2">
        <v>45914</v>
      </c>
      <c r="E613" t="s">
        <v>2</v>
      </c>
      <c r="F613" t="s">
        <v>3</v>
      </c>
      <c r="G613" t="s">
        <v>0</v>
      </c>
      <c r="H613" t="s">
        <v>4</v>
      </c>
      <c r="I613" t="s">
        <v>363</v>
      </c>
      <c r="J613" t="s">
        <v>6</v>
      </c>
      <c r="K613" t="s">
        <v>213</v>
      </c>
      <c r="L613" t="s">
        <v>354</v>
      </c>
      <c r="M613" t="s">
        <v>338</v>
      </c>
      <c r="N613" t="s">
        <v>10</v>
      </c>
      <c r="O613" t="s">
        <v>0</v>
      </c>
      <c r="P613" t="s">
        <v>11</v>
      </c>
      <c r="Q613" s="5">
        <v>20</v>
      </c>
      <c r="R613" s="4">
        <v>47000</v>
      </c>
      <c r="S613" s="5">
        <v>1</v>
      </c>
      <c r="T613" s="4">
        <v>940000</v>
      </c>
      <c r="U613" s="5">
        <v>0</v>
      </c>
      <c r="V613" s="4">
        <v>0</v>
      </c>
      <c r="W613" s="5">
        <v>0</v>
      </c>
      <c r="X613" s="4">
        <v>0</v>
      </c>
      <c r="Y613" s="4">
        <f t="shared" si="18"/>
        <v>940000</v>
      </c>
      <c r="Z613" s="6" t="s">
        <v>0</v>
      </c>
      <c r="AA613" t="s">
        <v>2</v>
      </c>
      <c r="AB613" t="s">
        <v>12</v>
      </c>
      <c r="AC613">
        <f>_xlfn.XLOOKUP(AB613,'[1]GST Codes'!$A:$A,'[1]GST Codes'!$C:$C,0,0)</f>
        <v>18</v>
      </c>
      <c r="AD613">
        <f t="shared" si="19"/>
        <v>1109200</v>
      </c>
      <c r="AE613" t="s">
        <v>13</v>
      </c>
      <c r="AF613" t="s">
        <v>0</v>
      </c>
      <c r="AG613" t="s">
        <v>14</v>
      </c>
      <c r="AH613" t="s">
        <v>15</v>
      </c>
      <c r="AI613" t="s">
        <v>16</v>
      </c>
      <c r="AJ613" t="s">
        <v>17</v>
      </c>
      <c r="AK613" t="s">
        <v>18</v>
      </c>
      <c r="AL613" t="s">
        <v>19</v>
      </c>
      <c r="AM613" t="s">
        <v>363</v>
      </c>
      <c r="AN613" t="s">
        <v>0</v>
      </c>
      <c r="AO613" t="s">
        <v>0</v>
      </c>
      <c r="AP613" t="s">
        <v>0</v>
      </c>
      <c r="AQ613" s="5">
        <v>20</v>
      </c>
      <c r="AR613" t="s">
        <v>11</v>
      </c>
      <c r="AS613" t="s">
        <v>0</v>
      </c>
      <c r="AT613" t="s">
        <v>17</v>
      </c>
      <c r="AU613" s="4">
        <v>0</v>
      </c>
      <c r="AV613" s="4">
        <v>0</v>
      </c>
      <c r="AW613" s="4">
        <v>0</v>
      </c>
      <c r="AX613" s="4">
        <v>0</v>
      </c>
      <c r="AY613" s="5">
        <v>0</v>
      </c>
      <c r="AZ613" s="5">
        <v>0</v>
      </c>
      <c r="BA613" s="5">
        <v>0</v>
      </c>
      <c r="BB613" s="2"/>
      <c r="BC613" t="s">
        <v>0</v>
      </c>
      <c r="BD613" s="5">
        <v>1</v>
      </c>
      <c r="BE613" t="s">
        <v>0</v>
      </c>
      <c r="BF613" t="s">
        <v>371</v>
      </c>
      <c r="BG613" t="s">
        <v>17</v>
      </c>
      <c r="BH613" t="s">
        <v>0</v>
      </c>
      <c r="BI613" t="s">
        <v>11</v>
      </c>
      <c r="BJ613" t="s">
        <v>0</v>
      </c>
      <c r="BK613" t="s">
        <v>0</v>
      </c>
      <c r="BL613" s="5">
        <v>0</v>
      </c>
      <c r="BM613" t="s">
        <v>0</v>
      </c>
      <c r="BN613" t="s">
        <v>0</v>
      </c>
      <c r="BO613" t="s">
        <v>0</v>
      </c>
      <c r="BP613" t="s">
        <v>17</v>
      </c>
      <c r="BQ613" t="s">
        <v>0</v>
      </c>
      <c r="BR613" t="s">
        <v>17</v>
      </c>
      <c r="BS613" t="s">
        <v>17</v>
      </c>
      <c r="BT613" t="s">
        <v>0</v>
      </c>
      <c r="BU613" t="s">
        <v>0</v>
      </c>
      <c r="BV613" t="s">
        <v>0</v>
      </c>
      <c r="BW613" t="s">
        <v>0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</row>
    <row r="614" spans="1:80" ht="13.95" customHeight="1" x14ac:dyDescent="0.25">
      <c r="A614" t="s">
        <v>377</v>
      </c>
      <c r="B614" s="2">
        <v>45883</v>
      </c>
      <c r="C614" s="2">
        <v>45883</v>
      </c>
      <c r="D614" s="2">
        <v>45914</v>
      </c>
      <c r="E614" t="s">
        <v>2</v>
      </c>
      <c r="F614" t="s">
        <v>3</v>
      </c>
      <c r="G614" t="s">
        <v>0</v>
      </c>
      <c r="H614" t="s">
        <v>4</v>
      </c>
      <c r="I614" t="s">
        <v>363</v>
      </c>
      <c r="J614" t="s">
        <v>6</v>
      </c>
      <c r="K614" t="s">
        <v>215</v>
      </c>
      <c r="L614" t="s">
        <v>354</v>
      </c>
      <c r="M614" t="s">
        <v>338</v>
      </c>
      <c r="N614" t="s">
        <v>10</v>
      </c>
      <c r="O614" t="s">
        <v>0</v>
      </c>
      <c r="P614" t="s">
        <v>11</v>
      </c>
      <c r="Q614" s="5">
        <v>10</v>
      </c>
      <c r="R614" s="4">
        <v>47000</v>
      </c>
      <c r="S614" s="5">
        <v>1</v>
      </c>
      <c r="T614" s="4">
        <v>470000</v>
      </c>
      <c r="U614" s="5">
        <v>0</v>
      </c>
      <c r="V614" s="4">
        <v>0</v>
      </c>
      <c r="W614" s="5">
        <v>0</v>
      </c>
      <c r="X614" s="4">
        <v>0</v>
      </c>
      <c r="Y614" s="4">
        <f t="shared" si="18"/>
        <v>470000</v>
      </c>
      <c r="Z614" s="6" t="s">
        <v>0</v>
      </c>
      <c r="AA614" t="s">
        <v>2</v>
      </c>
      <c r="AB614" t="s">
        <v>12</v>
      </c>
      <c r="AC614">
        <f>_xlfn.XLOOKUP(AB614,'[1]GST Codes'!$A:$A,'[1]GST Codes'!$C:$C,0,0)</f>
        <v>18</v>
      </c>
      <c r="AD614">
        <f t="shared" si="19"/>
        <v>554600</v>
      </c>
      <c r="AE614" t="s">
        <v>13</v>
      </c>
      <c r="AF614" t="s">
        <v>0</v>
      </c>
      <c r="AG614" t="s">
        <v>14</v>
      </c>
      <c r="AH614" t="s">
        <v>15</v>
      </c>
      <c r="AI614" t="s">
        <v>16</v>
      </c>
      <c r="AJ614" t="s">
        <v>17</v>
      </c>
      <c r="AK614" t="s">
        <v>18</v>
      </c>
      <c r="AL614" t="s">
        <v>19</v>
      </c>
      <c r="AM614" t="s">
        <v>363</v>
      </c>
      <c r="AN614" t="s">
        <v>0</v>
      </c>
      <c r="AO614" t="s">
        <v>0</v>
      </c>
      <c r="AP614" t="s">
        <v>0</v>
      </c>
      <c r="AQ614" s="5">
        <v>10</v>
      </c>
      <c r="AR614" t="s">
        <v>11</v>
      </c>
      <c r="AS614" t="s">
        <v>0</v>
      </c>
      <c r="AT614" t="s">
        <v>17</v>
      </c>
      <c r="AU614" s="4">
        <v>0</v>
      </c>
      <c r="AV614" s="4">
        <v>0</v>
      </c>
      <c r="AW614" s="4">
        <v>0</v>
      </c>
      <c r="AX614" s="4">
        <v>0</v>
      </c>
      <c r="AY614" s="5">
        <v>0</v>
      </c>
      <c r="AZ614" s="5">
        <v>0</v>
      </c>
      <c r="BA614" s="5">
        <v>0</v>
      </c>
      <c r="BB614" s="2"/>
      <c r="BC614" t="s">
        <v>0</v>
      </c>
      <c r="BD614" s="5">
        <v>1</v>
      </c>
      <c r="BE614" t="s">
        <v>0</v>
      </c>
      <c r="BF614" t="s">
        <v>371</v>
      </c>
      <c r="BG614" t="s">
        <v>17</v>
      </c>
      <c r="BH614" t="s">
        <v>0</v>
      </c>
      <c r="BI614" t="s">
        <v>11</v>
      </c>
      <c r="BJ614" t="s">
        <v>0</v>
      </c>
      <c r="BK614" t="s">
        <v>0</v>
      </c>
      <c r="BL614" s="5">
        <v>0</v>
      </c>
      <c r="BM614" t="s">
        <v>0</v>
      </c>
      <c r="BN614" t="s">
        <v>0</v>
      </c>
      <c r="BO614" t="s">
        <v>0</v>
      </c>
      <c r="BP614" t="s">
        <v>17</v>
      </c>
      <c r="BQ614" t="s">
        <v>0</v>
      </c>
      <c r="BR614" t="s">
        <v>17</v>
      </c>
      <c r="BS614" t="s">
        <v>17</v>
      </c>
      <c r="BT614" t="s">
        <v>0</v>
      </c>
      <c r="BU614" t="s">
        <v>0</v>
      </c>
      <c r="BV614" t="s">
        <v>0</v>
      </c>
      <c r="BW614" t="s">
        <v>0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</row>
    <row r="615" spans="1:80" ht="13.95" customHeight="1" x14ac:dyDescent="0.25">
      <c r="A615" t="s">
        <v>377</v>
      </c>
      <c r="B615" s="2">
        <v>45883</v>
      </c>
      <c r="C615" s="2">
        <v>45883</v>
      </c>
      <c r="D615" s="2">
        <v>45914</v>
      </c>
      <c r="E615" t="s">
        <v>2</v>
      </c>
      <c r="F615" t="s">
        <v>3</v>
      </c>
      <c r="G615" t="s">
        <v>0</v>
      </c>
      <c r="H615" t="s">
        <v>4</v>
      </c>
      <c r="I615" t="s">
        <v>363</v>
      </c>
      <c r="J615" t="s">
        <v>6</v>
      </c>
      <c r="K615" t="s">
        <v>216</v>
      </c>
      <c r="L615" t="s">
        <v>354</v>
      </c>
      <c r="M615" t="s">
        <v>338</v>
      </c>
      <c r="N615" t="s">
        <v>10</v>
      </c>
      <c r="O615" t="s">
        <v>0</v>
      </c>
      <c r="P615" t="s">
        <v>11</v>
      </c>
      <c r="Q615" s="5">
        <v>10</v>
      </c>
      <c r="R615" s="4">
        <v>47000</v>
      </c>
      <c r="S615" s="5">
        <v>1</v>
      </c>
      <c r="T615" s="4">
        <v>470000</v>
      </c>
      <c r="U615" s="5">
        <v>0</v>
      </c>
      <c r="V615" s="4">
        <v>0</v>
      </c>
      <c r="W615" s="5">
        <v>0</v>
      </c>
      <c r="X615" s="4">
        <v>0</v>
      </c>
      <c r="Y615" s="4">
        <f t="shared" si="18"/>
        <v>470000</v>
      </c>
      <c r="Z615" s="6" t="s">
        <v>0</v>
      </c>
      <c r="AA615" t="s">
        <v>2</v>
      </c>
      <c r="AB615" t="s">
        <v>12</v>
      </c>
      <c r="AC615">
        <f>_xlfn.XLOOKUP(AB615,'[1]GST Codes'!$A:$A,'[1]GST Codes'!$C:$C,0,0)</f>
        <v>18</v>
      </c>
      <c r="AD615">
        <f t="shared" si="19"/>
        <v>554600</v>
      </c>
      <c r="AE615" t="s">
        <v>13</v>
      </c>
      <c r="AF615" t="s">
        <v>0</v>
      </c>
      <c r="AG615" t="s">
        <v>14</v>
      </c>
      <c r="AH615" t="s">
        <v>15</v>
      </c>
      <c r="AI615" t="s">
        <v>16</v>
      </c>
      <c r="AJ615" t="s">
        <v>17</v>
      </c>
      <c r="AK615" t="s">
        <v>18</v>
      </c>
      <c r="AL615" t="s">
        <v>19</v>
      </c>
      <c r="AM615" t="s">
        <v>363</v>
      </c>
      <c r="AN615" t="s">
        <v>0</v>
      </c>
      <c r="AO615" t="s">
        <v>0</v>
      </c>
      <c r="AP615" t="s">
        <v>0</v>
      </c>
      <c r="AQ615" s="5">
        <v>10</v>
      </c>
      <c r="AR615" t="s">
        <v>11</v>
      </c>
      <c r="AS615" t="s">
        <v>0</v>
      </c>
      <c r="AT615" t="s">
        <v>17</v>
      </c>
      <c r="AU615" s="4">
        <v>0</v>
      </c>
      <c r="AV615" s="4">
        <v>0</v>
      </c>
      <c r="AW615" s="4">
        <v>0</v>
      </c>
      <c r="AX615" s="4">
        <v>0</v>
      </c>
      <c r="AY615" s="5">
        <v>0</v>
      </c>
      <c r="AZ615" s="5">
        <v>0</v>
      </c>
      <c r="BA615" s="5">
        <v>0</v>
      </c>
      <c r="BB615" s="2"/>
      <c r="BC615" t="s">
        <v>0</v>
      </c>
      <c r="BD615" s="5">
        <v>1</v>
      </c>
      <c r="BE615" t="s">
        <v>0</v>
      </c>
      <c r="BF615" t="s">
        <v>371</v>
      </c>
      <c r="BG615" t="s">
        <v>17</v>
      </c>
      <c r="BH615" t="s">
        <v>0</v>
      </c>
      <c r="BI615" t="s">
        <v>11</v>
      </c>
      <c r="BJ615" t="s">
        <v>0</v>
      </c>
      <c r="BK615" t="s">
        <v>0</v>
      </c>
      <c r="BL615" s="5">
        <v>0</v>
      </c>
      <c r="BM615" t="s">
        <v>0</v>
      </c>
      <c r="BN615" t="s">
        <v>0</v>
      </c>
      <c r="BO615" t="s">
        <v>0</v>
      </c>
      <c r="BP615" t="s">
        <v>17</v>
      </c>
      <c r="BQ615" t="s">
        <v>0</v>
      </c>
      <c r="BR615" t="s">
        <v>17</v>
      </c>
      <c r="BS615" t="s">
        <v>17</v>
      </c>
      <c r="BT615" t="s">
        <v>0</v>
      </c>
      <c r="BU615" t="s">
        <v>0</v>
      </c>
      <c r="BV615" t="s">
        <v>0</v>
      </c>
      <c r="BW615" t="s">
        <v>0</v>
      </c>
      <c r="BX615" t="s">
        <v>0</v>
      </c>
      <c r="BY615" t="s">
        <v>0</v>
      </c>
      <c r="BZ615" t="s">
        <v>0</v>
      </c>
      <c r="CA615" t="s">
        <v>0</v>
      </c>
      <c r="CB615" t="s">
        <v>0</v>
      </c>
    </row>
    <row r="616" spans="1:80" ht="13.95" customHeight="1" x14ac:dyDescent="0.25">
      <c r="A616" t="s">
        <v>377</v>
      </c>
      <c r="B616" s="2">
        <v>45883</v>
      </c>
      <c r="C616" s="2">
        <v>45883</v>
      </c>
      <c r="D616" s="2">
        <v>45914</v>
      </c>
      <c r="E616" t="s">
        <v>2</v>
      </c>
      <c r="F616" t="s">
        <v>3</v>
      </c>
      <c r="G616" t="s">
        <v>0</v>
      </c>
      <c r="H616" t="s">
        <v>4</v>
      </c>
      <c r="I616" t="s">
        <v>363</v>
      </c>
      <c r="J616" t="s">
        <v>6</v>
      </c>
      <c r="K616" t="s">
        <v>217</v>
      </c>
      <c r="L616" t="s">
        <v>329</v>
      </c>
      <c r="M616" t="s">
        <v>339</v>
      </c>
      <c r="N616" t="s">
        <v>10</v>
      </c>
      <c r="O616" t="s">
        <v>0</v>
      </c>
      <c r="P616" t="s">
        <v>11</v>
      </c>
      <c r="Q616" s="5">
        <v>20</v>
      </c>
      <c r="R616" s="4">
        <v>47000</v>
      </c>
      <c r="S616" s="5">
        <v>1</v>
      </c>
      <c r="T616" s="4">
        <v>940000</v>
      </c>
      <c r="U616" s="5">
        <v>0</v>
      </c>
      <c r="V616" s="4">
        <v>0</v>
      </c>
      <c r="W616" s="5">
        <v>0</v>
      </c>
      <c r="X616" s="4">
        <v>0</v>
      </c>
      <c r="Y616" s="4">
        <f t="shared" si="18"/>
        <v>940000</v>
      </c>
      <c r="Z616" s="6" t="s">
        <v>0</v>
      </c>
      <c r="AA616" t="s">
        <v>2</v>
      </c>
      <c r="AB616" t="s">
        <v>12</v>
      </c>
      <c r="AC616">
        <f>_xlfn.XLOOKUP(AB616,'[1]GST Codes'!$A:$A,'[1]GST Codes'!$C:$C,0,0)</f>
        <v>18</v>
      </c>
      <c r="AD616">
        <f t="shared" si="19"/>
        <v>1109200</v>
      </c>
      <c r="AE616" t="s">
        <v>13</v>
      </c>
      <c r="AF616" t="s">
        <v>0</v>
      </c>
      <c r="AG616" t="s">
        <v>14</v>
      </c>
      <c r="AH616" t="s">
        <v>15</v>
      </c>
      <c r="AI616" t="s">
        <v>16</v>
      </c>
      <c r="AJ616" t="s">
        <v>17</v>
      </c>
      <c r="AK616" t="s">
        <v>18</v>
      </c>
      <c r="AL616" t="s">
        <v>19</v>
      </c>
      <c r="AM616" t="s">
        <v>363</v>
      </c>
      <c r="AN616" t="s">
        <v>0</v>
      </c>
      <c r="AO616" t="s">
        <v>0</v>
      </c>
      <c r="AP616" t="s">
        <v>0</v>
      </c>
      <c r="AQ616" s="5">
        <v>20</v>
      </c>
      <c r="AR616" t="s">
        <v>11</v>
      </c>
      <c r="AS616" t="s">
        <v>0</v>
      </c>
      <c r="AT616" t="s">
        <v>17</v>
      </c>
      <c r="AU616" s="4">
        <v>0</v>
      </c>
      <c r="AV616" s="4">
        <v>0</v>
      </c>
      <c r="AW616" s="4">
        <v>0</v>
      </c>
      <c r="AX616" s="4">
        <v>0</v>
      </c>
      <c r="AY616" s="5">
        <v>0</v>
      </c>
      <c r="AZ616" s="5">
        <v>0</v>
      </c>
      <c r="BA616" s="5">
        <v>0</v>
      </c>
      <c r="BB616" s="2"/>
      <c r="BC616" t="s">
        <v>0</v>
      </c>
      <c r="BD616" s="5">
        <v>1</v>
      </c>
      <c r="BE616" t="s">
        <v>0</v>
      </c>
      <c r="BF616" t="s">
        <v>365</v>
      </c>
      <c r="BG616" t="s">
        <v>17</v>
      </c>
      <c r="BH616" t="s">
        <v>0</v>
      </c>
      <c r="BI616" t="s">
        <v>11</v>
      </c>
      <c r="BJ616" t="s">
        <v>0</v>
      </c>
      <c r="BK616" t="s">
        <v>0</v>
      </c>
      <c r="BL616" s="5">
        <v>0</v>
      </c>
      <c r="BM616" t="s">
        <v>0</v>
      </c>
      <c r="BN616" t="s">
        <v>0</v>
      </c>
      <c r="BO616" t="s">
        <v>0</v>
      </c>
      <c r="BP616" t="s">
        <v>17</v>
      </c>
      <c r="BQ616" t="s">
        <v>0</v>
      </c>
      <c r="BR616" t="s">
        <v>17</v>
      </c>
      <c r="BS616" t="s">
        <v>17</v>
      </c>
      <c r="BT616" t="s">
        <v>0</v>
      </c>
      <c r="BU616" t="s">
        <v>0</v>
      </c>
      <c r="BV616" t="s">
        <v>0</v>
      </c>
      <c r="BW616" t="s">
        <v>0</v>
      </c>
      <c r="BX616" t="s">
        <v>0</v>
      </c>
      <c r="BY616" t="s">
        <v>0</v>
      </c>
      <c r="BZ616" t="s">
        <v>0</v>
      </c>
      <c r="CA616" t="s">
        <v>0</v>
      </c>
      <c r="CB616" t="s">
        <v>0</v>
      </c>
    </row>
    <row r="617" spans="1:80" ht="13.95" customHeight="1" x14ac:dyDescent="0.25">
      <c r="A617" t="s">
        <v>377</v>
      </c>
      <c r="B617" s="2">
        <v>45883</v>
      </c>
      <c r="C617" s="2">
        <v>45883</v>
      </c>
      <c r="D617" s="2">
        <v>45914</v>
      </c>
      <c r="E617" t="s">
        <v>2</v>
      </c>
      <c r="F617" t="s">
        <v>3</v>
      </c>
      <c r="G617" t="s">
        <v>0</v>
      </c>
      <c r="H617" t="s">
        <v>4</v>
      </c>
      <c r="I617" t="s">
        <v>363</v>
      </c>
      <c r="J617" t="s">
        <v>6</v>
      </c>
      <c r="K617" t="s">
        <v>218</v>
      </c>
      <c r="L617" t="s">
        <v>329</v>
      </c>
      <c r="M617" t="s">
        <v>339</v>
      </c>
      <c r="N617" t="s">
        <v>10</v>
      </c>
      <c r="O617" t="s">
        <v>0</v>
      </c>
      <c r="P617" t="s">
        <v>11</v>
      </c>
      <c r="Q617" s="5">
        <v>20</v>
      </c>
      <c r="R617" s="4">
        <v>47000</v>
      </c>
      <c r="S617" s="5">
        <v>1</v>
      </c>
      <c r="T617" s="4">
        <v>940000</v>
      </c>
      <c r="U617" s="5">
        <v>0</v>
      </c>
      <c r="V617" s="4">
        <v>0</v>
      </c>
      <c r="W617" s="5">
        <v>0</v>
      </c>
      <c r="X617" s="4">
        <v>0</v>
      </c>
      <c r="Y617" s="4">
        <f t="shared" si="18"/>
        <v>940000</v>
      </c>
      <c r="Z617" s="6" t="s">
        <v>0</v>
      </c>
      <c r="AA617" t="s">
        <v>2</v>
      </c>
      <c r="AB617" t="s">
        <v>12</v>
      </c>
      <c r="AC617">
        <f>_xlfn.XLOOKUP(AB617,'[1]GST Codes'!$A:$A,'[1]GST Codes'!$C:$C,0,0)</f>
        <v>18</v>
      </c>
      <c r="AD617">
        <f t="shared" si="19"/>
        <v>1109200</v>
      </c>
      <c r="AE617" t="s">
        <v>13</v>
      </c>
      <c r="AF617" t="s">
        <v>0</v>
      </c>
      <c r="AG617" t="s">
        <v>14</v>
      </c>
      <c r="AH617" t="s">
        <v>15</v>
      </c>
      <c r="AI617" t="s">
        <v>16</v>
      </c>
      <c r="AJ617" t="s">
        <v>17</v>
      </c>
      <c r="AK617" t="s">
        <v>18</v>
      </c>
      <c r="AL617" t="s">
        <v>19</v>
      </c>
      <c r="AM617" t="s">
        <v>363</v>
      </c>
      <c r="AN617" t="s">
        <v>0</v>
      </c>
      <c r="AO617" t="s">
        <v>0</v>
      </c>
      <c r="AP617" t="s">
        <v>0</v>
      </c>
      <c r="AQ617" s="5">
        <v>20</v>
      </c>
      <c r="AR617" t="s">
        <v>11</v>
      </c>
      <c r="AS617" t="s">
        <v>0</v>
      </c>
      <c r="AT617" t="s">
        <v>17</v>
      </c>
      <c r="AU617" s="4">
        <v>0</v>
      </c>
      <c r="AV617" s="4">
        <v>0</v>
      </c>
      <c r="AW617" s="4">
        <v>0</v>
      </c>
      <c r="AX617" s="4">
        <v>0</v>
      </c>
      <c r="AY617" s="5">
        <v>0</v>
      </c>
      <c r="AZ617" s="5">
        <v>0</v>
      </c>
      <c r="BA617" s="5">
        <v>0</v>
      </c>
      <c r="BB617" s="2"/>
      <c r="BC617" t="s">
        <v>0</v>
      </c>
      <c r="BD617" s="5">
        <v>1</v>
      </c>
      <c r="BE617" t="s">
        <v>0</v>
      </c>
      <c r="BF617" t="s">
        <v>365</v>
      </c>
      <c r="BG617" t="s">
        <v>17</v>
      </c>
      <c r="BH617" t="s">
        <v>0</v>
      </c>
      <c r="BI617" t="s">
        <v>11</v>
      </c>
      <c r="BJ617" t="s">
        <v>0</v>
      </c>
      <c r="BK617" t="s">
        <v>0</v>
      </c>
      <c r="BL617" s="5">
        <v>0</v>
      </c>
      <c r="BM617" t="s">
        <v>0</v>
      </c>
      <c r="BN617" t="s">
        <v>0</v>
      </c>
      <c r="BO617" t="s">
        <v>0</v>
      </c>
      <c r="BP617" t="s">
        <v>17</v>
      </c>
      <c r="BQ617" t="s">
        <v>0</v>
      </c>
      <c r="BR617" t="s">
        <v>17</v>
      </c>
      <c r="BS617" t="s">
        <v>17</v>
      </c>
      <c r="BT617" t="s">
        <v>0</v>
      </c>
      <c r="BU617" t="s">
        <v>0</v>
      </c>
      <c r="BV617" t="s">
        <v>0</v>
      </c>
      <c r="BW617" t="s">
        <v>0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</row>
    <row r="618" spans="1:80" ht="13.95" customHeight="1" x14ac:dyDescent="0.25">
      <c r="A618" t="s">
        <v>377</v>
      </c>
      <c r="B618" s="2">
        <v>45883</v>
      </c>
      <c r="C618" s="2">
        <v>45883</v>
      </c>
      <c r="D618" s="2">
        <v>45914</v>
      </c>
      <c r="E618" t="s">
        <v>2</v>
      </c>
      <c r="F618" t="s">
        <v>3</v>
      </c>
      <c r="G618" t="s">
        <v>0</v>
      </c>
      <c r="H618" t="s">
        <v>4</v>
      </c>
      <c r="I618" t="s">
        <v>363</v>
      </c>
      <c r="J618" t="s">
        <v>6</v>
      </c>
      <c r="K618" t="s">
        <v>219</v>
      </c>
      <c r="L618" t="s">
        <v>329</v>
      </c>
      <c r="M618" t="s">
        <v>339</v>
      </c>
      <c r="N618" t="s">
        <v>10</v>
      </c>
      <c r="O618" t="s">
        <v>0</v>
      </c>
      <c r="P618" t="s">
        <v>11</v>
      </c>
      <c r="Q618" s="5">
        <v>20</v>
      </c>
      <c r="R618" s="4">
        <v>47000</v>
      </c>
      <c r="S618" s="5">
        <v>1</v>
      </c>
      <c r="T618" s="4">
        <v>940000</v>
      </c>
      <c r="U618" s="5">
        <v>0</v>
      </c>
      <c r="V618" s="4">
        <v>0</v>
      </c>
      <c r="W618" s="5">
        <v>0</v>
      </c>
      <c r="X618" s="4">
        <v>0</v>
      </c>
      <c r="Y618" s="4">
        <f t="shared" si="18"/>
        <v>940000</v>
      </c>
      <c r="Z618" s="6" t="s">
        <v>0</v>
      </c>
      <c r="AA618" t="s">
        <v>2</v>
      </c>
      <c r="AB618" t="s">
        <v>12</v>
      </c>
      <c r="AC618">
        <f>_xlfn.XLOOKUP(AB618,'[1]GST Codes'!$A:$A,'[1]GST Codes'!$C:$C,0,0)</f>
        <v>18</v>
      </c>
      <c r="AD618">
        <f t="shared" si="19"/>
        <v>1109200</v>
      </c>
      <c r="AE618" t="s">
        <v>13</v>
      </c>
      <c r="AF618" t="s">
        <v>0</v>
      </c>
      <c r="AG618" t="s">
        <v>14</v>
      </c>
      <c r="AH618" t="s">
        <v>15</v>
      </c>
      <c r="AI618" t="s">
        <v>16</v>
      </c>
      <c r="AJ618" t="s">
        <v>17</v>
      </c>
      <c r="AK618" t="s">
        <v>18</v>
      </c>
      <c r="AL618" t="s">
        <v>19</v>
      </c>
      <c r="AM618" t="s">
        <v>363</v>
      </c>
      <c r="AN618" t="s">
        <v>0</v>
      </c>
      <c r="AO618" t="s">
        <v>0</v>
      </c>
      <c r="AP618" t="s">
        <v>0</v>
      </c>
      <c r="AQ618" s="5">
        <v>20</v>
      </c>
      <c r="AR618" t="s">
        <v>11</v>
      </c>
      <c r="AS618" t="s">
        <v>0</v>
      </c>
      <c r="AT618" t="s">
        <v>17</v>
      </c>
      <c r="AU618" s="4">
        <v>0</v>
      </c>
      <c r="AV618" s="4">
        <v>0</v>
      </c>
      <c r="AW618" s="4">
        <v>0</v>
      </c>
      <c r="AX618" s="4">
        <v>0</v>
      </c>
      <c r="AY618" s="5">
        <v>0</v>
      </c>
      <c r="AZ618" s="5">
        <v>0</v>
      </c>
      <c r="BA618" s="5">
        <v>0</v>
      </c>
      <c r="BB618" s="2"/>
      <c r="BC618" t="s">
        <v>0</v>
      </c>
      <c r="BD618" s="5">
        <v>1</v>
      </c>
      <c r="BE618" t="s">
        <v>0</v>
      </c>
      <c r="BF618" t="s">
        <v>365</v>
      </c>
      <c r="BG618" t="s">
        <v>17</v>
      </c>
      <c r="BH618" t="s">
        <v>0</v>
      </c>
      <c r="BI618" t="s">
        <v>11</v>
      </c>
      <c r="BJ618" t="s">
        <v>0</v>
      </c>
      <c r="BK618" t="s">
        <v>0</v>
      </c>
      <c r="BL618" s="5">
        <v>0</v>
      </c>
      <c r="BM618" t="s">
        <v>0</v>
      </c>
      <c r="BN618" t="s">
        <v>0</v>
      </c>
      <c r="BO618" t="s">
        <v>0</v>
      </c>
      <c r="BP618" t="s">
        <v>17</v>
      </c>
      <c r="BQ618" t="s">
        <v>0</v>
      </c>
      <c r="BR618" t="s">
        <v>17</v>
      </c>
      <c r="BS618" t="s">
        <v>17</v>
      </c>
      <c r="BT618" t="s">
        <v>0</v>
      </c>
      <c r="BU618" t="s">
        <v>0</v>
      </c>
      <c r="BV618" t="s">
        <v>0</v>
      </c>
      <c r="BW618" t="s">
        <v>0</v>
      </c>
      <c r="BX618" t="s">
        <v>0</v>
      </c>
      <c r="BY618" t="s">
        <v>0</v>
      </c>
      <c r="BZ618" t="s">
        <v>0</v>
      </c>
      <c r="CA618" t="s">
        <v>0</v>
      </c>
      <c r="CB618" t="s">
        <v>0</v>
      </c>
    </row>
    <row r="619" spans="1:80" ht="13.95" customHeight="1" x14ac:dyDescent="0.25">
      <c r="A619" t="s">
        <v>377</v>
      </c>
      <c r="B619" s="2">
        <v>45883</v>
      </c>
      <c r="C619" s="2">
        <v>45883</v>
      </c>
      <c r="D619" s="2">
        <v>45914</v>
      </c>
      <c r="E619" t="s">
        <v>2</v>
      </c>
      <c r="F619" t="s">
        <v>3</v>
      </c>
      <c r="G619" t="s">
        <v>0</v>
      </c>
      <c r="H619" t="s">
        <v>4</v>
      </c>
      <c r="I619" t="s">
        <v>363</v>
      </c>
      <c r="J619" t="s">
        <v>6</v>
      </c>
      <c r="K619" t="s">
        <v>223</v>
      </c>
      <c r="L619" t="s">
        <v>329</v>
      </c>
      <c r="M619" t="s">
        <v>339</v>
      </c>
      <c r="N619" t="s">
        <v>10</v>
      </c>
      <c r="O619" t="s">
        <v>0</v>
      </c>
      <c r="P619" t="s">
        <v>11</v>
      </c>
      <c r="Q619" s="5">
        <v>20</v>
      </c>
      <c r="R619" s="4">
        <v>47000</v>
      </c>
      <c r="S619" s="5">
        <v>1</v>
      </c>
      <c r="T619" s="4">
        <v>940000</v>
      </c>
      <c r="U619" s="5">
        <v>0</v>
      </c>
      <c r="V619" s="4">
        <v>0</v>
      </c>
      <c r="W619" s="5">
        <v>0</v>
      </c>
      <c r="X619" s="4">
        <v>0</v>
      </c>
      <c r="Y619" s="4">
        <f t="shared" si="18"/>
        <v>940000</v>
      </c>
      <c r="Z619" s="6" t="s">
        <v>0</v>
      </c>
      <c r="AA619" t="s">
        <v>2</v>
      </c>
      <c r="AB619" t="s">
        <v>12</v>
      </c>
      <c r="AC619">
        <f>_xlfn.XLOOKUP(AB619,'[1]GST Codes'!$A:$A,'[1]GST Codes'!$C:$C,0,0)</f>
        <v>18</v>
      </c>
      <c r="AD619">
        <f t="shared" si="19"/>
        <v>1109200</v>
      </c>
      <c r="AE619" t="s">
        <v>13</v>
      </c>
      <c r="AF619" t="s">
        <v>0</v>
      </c>
      <c r="AG619" t="s">
        <v>14</v>
      </c>
      <c r="AH619" t="s">
        <v>15</v>
      </c>
      <c r="AI619" t="s">
        <v>16</v>
      </c>
      <c r="AJ619" t="s">
        <v>17</v>
      </c>
      <c r="AK619" t="s">
        <v>18</v>
      </c>
      <c r="AL619" t="s">
        <v>19</v>
      </c>
      <c r="AM619" t="s">
        <v>363</v>
      </c>
      <c r="AN619" t="s">
        <v>0</v>
      </c>
      <c r="AO619" t="s">
        <v>0</v>
      </c>
      <c r="AP619" t="s">
        <v>0</v>
      </c>
      <c r="AQ619" s="5">
        <v>20</v>
      </c>
      <c r="AR619" t="s">
        <v>11</v>
      </c>
      <c r="AS619" t="s">
        <v>0</v>
      </c>
      <c r="AT619" t="s">
        <v>17</v>
      </c>
      <c r="AU619" s="4">
        <v>0</v>
      </c>
      <c r="AV619" s="4">
        <v>0</v>
      </c>
      <c r="AW619" s="4">
        <v>0</v>
      </c>
      <c r="AX619" s="4">
        <v>0</v>
      </c>
      <c r="AY619" s="5">
        <v>0</v>
      </c>
      <c r="AZ619" s="5">
        <v>0</v>
      </c>
      <c r="BA619" s="5">
        <v>0</v>
      </c>
      <c r="BB619" s="2"/>
      <c r="BC619" t="s">
        <v>0</v>
      </c>
      <c r="BD619" s="5">
        <v>1</v>
      </c>
      <c r="BE619" t="s">
        <v>0</v>
      </c>
      <c r="BF619" t="s">
        <v>365</v>
      </c>
      <c r="BG619" t="s">
        <v>17</v>
      </c>
      <c r="BH619" t="s">
        <v>0</v>
      </c>
      <c r="BI619" t="s">
        <v>11</v>
      </c>
      <c r="BJ619" t="s">
        <v>0</v>
      </c>
      <c r="BK619" t="s">
        <v>0</v>
      </c>
      <c r="BL619" s="5">
        <v>0</v>
      </c>
      <c r="BM619" t="s">
        <v>0</v>
      </c>
      <c r="BN619" t="s">
        <v>0</v>
      </c>
      <c r="BO619" t="s">
        <v>0</v>
      </c>
      <c r="BP619" t="s">
        <v>17</v>
      </c>
      <c r="BQ619" t="s">
        <v>0</v>
      </c>
      <c r="BR619" t="s">
        <v>17</v>
      </c>
      <c r="BS619" t="s">
        <v>17</v>
      </c>
      <c r="BT619" t="s">
        <v>0</v>
      </c>
      <c r="BU619" t="s">
        <v>0</v>
      </c>
      <c r="BV619" t="s">
        <v>0</v>
      </c>
      <c r="BW619" t="s">
        <v>0</v>
      </c>
      <c r="BX619" t="s">
        <v>0</v>
      </c>
      <c r="BY619" t="s">
        <v>0</v>
      </c>
      <c r="BZ619" t="s">
        <v>0</v>
      </c>
      <c r="CA619" t="s">
        <v>0</v>
      </c>
      <c r="CB619" t="s">
        <v>0</v>
      </c>
    </row>
    <row r="620" spans="1:80" ht="13.95" customHeight="1" x14ac:dyDescent="0.25">
      <c r="A620" t="s">
        <v>377</v>
      </c>
      <c r="B620" s="2">
        <v>45883</v>
      </c>
      <c r="C620" s="2">
        <v>45883</v>
      </c>
      <c r="D620" s="2">
        <v>45914</v>
      </c>
      <c r="E620" t="s">
        <v>2</v>
      </c>
      <c r="F620" t="s">
        <v>3</v>
      </c>
      <c r="G620" t="s">
        <v>0</v>
      </c>
      <c r="H620" t="s">
        <v>4</v>
      </c>
      <c r="I620" t="s">
        <v>363</v>
      </c>
      <c r="J620" t="s">
        <v>6</v>
      </c>
      <c r="K620" t="s">
        <v>224</v>
      </c>
      <c r="L620" t="s">
        <v>329</v>
      </c>
      <c r="M620" t="s">
        <v>339</v>
      </c>
      <c r="N620" t="s">
        <v>10</v>
      </c>
      <c r="O620" t="s">
        <v>0</v>
      </c>
      <c r="P620" t="s">
        <v>11</v>
      </c>
      <c r="Q620" s="5">
        <v>10</v>
      </c>
      <c r="R620" s="4">
        <v>47000</v>
      </c>
      <c r="S620" s="5">
        <v>1</v>
      </c>
      <c r="T620" s="4">
        <v>470000</v>
      </c>
      <c r="U620" s="3">
        <v>2.3029999999999999</v>
      </c>
      <c r="V620" s="4">
        <v>108241</v>
      </c>
      <c r="W620" s="3">
        <v>2.3029999999999999</v>
      </c>
      <c r="X620" s="4">
        <v>108241</v>
      </c>
      <c r="Y620" s="4">
        <f t="shared" si="18"/>
        <v>361759</v>
      </c>
      <c r="Z620" s="6" t="s">
        <v>0</v>
      </c>
      <c r="AA620" t="s">
        <v>2</v>
      </c>
      <c r="AB620" t="s">
        <v>12</v>
      </c>
      <c r="AC620">
        <f>_xlfn.XLOOKUP(AB620,'[1]GST Codes'!$A:$A,'[1]GST Codes'!$C:$C,0,0)</f>
        <v>18</v>
      </c>
      <c r="AD620">
        <f t="shared" si="19"/>
        <v>426875.62</v>
      </c>
      <c r="AE620" t="s">
        <v>13</v>
      </c>
      <c r="AF620" t="s">
        <v>0</v>
      </c>
      <c r="AG620" t="s">
        <v>14</v>
      </c>
      <c r="AH620" t="s">
        <v>15</v>
      </c>
      <c r="AI620" t="s">
        <v>16</v>
      </c>
      <c r="AJ620" t="s">
        <v>17</v>
      </c>
      <c r="AK620" t="s">
        <v>18</v>
      </c>
      <c r="AL620" t="s">
        <v>19</v>
      </c>
      <c r="AM620" t="s">
        <v>363</v>
      </c>
      <c r="AN620" t="s">
        <v>0</v>
      </c>
      <c r="AO620" t="s">
        <v>0</v>
      </c>
      <c r="AP620" t="s">
        <v>0</v>
      </c>
      <c r="AQ620" s="5">
        <v>10</v>
      </c>
      <c r="AR620" t="s">
        <v>11</v>
      </c>
      <c r="AS620" t="s">
        <v>0</v>
      </c>
      <c r="AT620" t="s">
        <v>17</v>
      </c>
      <c r="AU620" s="4">
        <v>0</v>
      </c>
      <c r="AV620" s="4">
        <v>0</v>
      </c>
      <c r="AW620" s="4">
        <v>0</v>
      </c>
      <c r="AX620" s="4">
        <v>0</v>
      </c>
      <c r="AY620" s="5">
        <v>0</v>
      </c>
      <c r="AZ620" s="5">
        <v>0</v>
      </c>
      <c r="BA620" s="5">
        <v>0</v>
      </c>
      <c r="BB620" s="2"/>
      <c r="BC620" t="s">
        <v>0</v>
      </c>
      <c r="BD620" s="5">
        <v>1</v>
      </c>
      <c r="BE620" t="s">
        <v>0</v>
      </c>
      <c r="BF620" t="s">
        <v>365</v>
      </c>
      <c r="BG620" t="s">
        <v>17</v>
      </c>
      <c r="BH620" t="s">
        <v>0</v>
      </c>
      <c r="BI620" t="s">
        <v>11</v>
      </c>
      <c r="BJ620" t="s">
        <v>0</v>
      </c>
      <c r="BK620" t="s">
        <v>0</v>
      </c>
      <c r="BL620" s="5">
        <v>0</v>
      </c>
      <c r="BM620" t="s">
        <v>0</v>
      </c>
      <c r="BN620" t="s">
        <v>0</v>
      </c>
      <c r="BO620" t="s">
        <v>0</v>
      </c>
      <c r="BP620" t="s">
        <v>17</v>
      </c>
      <c r="BQ620" t="s">
        <v>0</v>
      </c>
      <c r="BR620" t="s">
        <v>17</v>
      </c>
      <c r="BS620" t="s">
        <v>17</v>
      </c>
      <c r="BT620" t="s">
        <v>0</v>
      </c>
      <c r="BU620" t="s">
        <v>0</v>
      </c>
      <c r="BV620" t="s">
        <v>0</v>
      </c>
      <c r="BW620" t="s">
        <v>0</v>
      </c>
      <c r="BX620" t="s">
        <v>0</v>
      </c>
      <c r="BY620" t="s">
        <v>0</v>
      </c>
      <c r="BZ620" t="s">
        <v>0</v>
      </c>
      <c r="CA620" t="s">
        <v>0</v>
      </c>
      <c r="CB620" t="s">
        <v>0</v>
      </c>
    </row>
    <row r="621" spans="1:80" x14ac:dyDescent="0.25">
      <c r="A621" t="s">
        <v>377</v>
      </c>
      <c r="B621" s="2">
        <v>45883</v>
      </c>
      <c r="C621" s="2">
        <v>45883</v>
      </c>
      <c r="D621" s="2">
        <v>45914</v>
      </c>
      <c r="E621" t="s">
        <v>2</v>
      </c>
      <c r="F621" t="s">
        <v>3</v>
      </c>
      <c r="G621" t="s">
        <v>0</v>
      </c>
      <c r="H621" t="s">
        <v>4</v>
      </c>
      <c r="I621" t="s">
        <v>363</v>
      </c>
      <c r="J621" t="s">
        <v>6</v>
      </c>
      <c r="K621" t="s">
        <v>225</v>
      </c>
      <c r="L621" t="s">
        <v>329</v>
      </c>
      <c r="M621" t="s">
        <v>339</v>
      </c>
      <c r="N621" t="s">
        <v>10</v>
      </c>
      <c r="O621" t="s">
        <v>0</v>
      </c>
      <c r="P621" t="s">
        <v>11</v>
      </c>
      <c r="Q621" s="5">
        <v>10</v>
      </c>
      <c r="R621" s="4">
        <v>47000</v>
      </c>
      <c r="S621" s="5">
        <v>1</v>
      </c>
      <c r="T621" s="4">
        <v>470000</v>
      </c>
      <c r="U621" s="5">
        <v>10</v>
      </c>
      <c r="V621" s="4">
        <v>470000</v>
      </c>
      <c r="W621" s="5">
        <v>10</v>
      </c>
      <c r="X621" s="4">
        <v>470000</v>
      </c>
      <c r="Y621" s="4">
        <f t="shared" si="18"/>
        <v>0</v>
      </c>
      <c r="Z621" t="s">
        <v>0</v>
      </c>
      <c r="AA621" t="s">
        <v>2</v>
      </c>
      <c r="AB621" t="s">
        <v>12</v>
      </c>
      <c r="AC621">
        <f>_xlfn.XLOOKUP(AB621,'[1]GST Codes'!$A:$A,'[1]GST Codes'!$C:$C,0,0)</f>
        <v>18</v>
      </c>
      <c r="AD621">
        <f t="shared" si="19"/>
        <v>0</v>
      </c>
      <c r="AE621" t="s">
        <v>13</v>
      </c>
      <c r="AF621" t="s">
        <v>0</v>
      </c>
      <c r="AG621" t="s">
        <v>14</v>
      </c>
      <c r="AH621" t="s">
        <v>15</v>
      </c>
      <c r="AI621" t="s">
        <v>16</v>
      </c>
      <c r="AJ621" t="s">
        <v>17</v>
      </c>
      <c r="AK621" t="s">
        <v>18</v>
      </c>
      <c r="AL621" t="s">
        <v>19</v>
      </c>
      <c r="AM621" t="s">
        <v>363</v>
      </c>
      <c r="AN621" t="s">
        <v>0</v>
      </c>
      <c r="AO621" t="s">
        <v>0</v>
      </c>
      <c r="AP621" t="s">
        <v>0</v>
      </c>
      <c r="AQ621" s="5">
        <v>10</v>
      </c>
      <c r="AR621" t="s">
        <v>11</v>
      </c>
      <c r="AS621" t="s">
        <v>0</v>
      </c>
      <c r="AT621" t="s">
        <v>17</v>
      </c>
      <c r="AU621" s="4">
        <v>0</v>
      </c>
      <c r="AV621" s="4">
        <v>0</v>
      </c>
      <c r="AW621" s="4">
        <v>0</v>
      </c>
      <c r="AX621" s="4">
        <v>0</v>
      </c>
      <c r="AY621" s="5">
        <v>0</v>
      </c>
      <c r="AZ621" s="5">
        <v>0</v>
      </c>
      <c r="BA621" s="5">
        <v>0</v>
      </c>
      <c r="BB621" s="2"/>
      <c r="BC621" t="s">
        <v>0</v>
      </c>
      <c r="BD621" s="5">
        <v>1</v>
      </c>
      <c r="BE621" t="s">
        <v>0</v>
      </c>
      <c r="BF621" t="s">
        <v>365</v>
      </c>
      <c r="BG621" t="s">
        <v>17</v>
      </c>
      <c r="BH621" t="s">
        <v>0</v>
      </c>
      <c r="BI621" t="s">
        <v>11</v>
      </c>
      <c r="BJ621" t="s">
        <v>0</v>
      </c>
      <c r="BK621" t="s">
        <v>0</v>
      </c>
      <c r="BL621" s="5">
        <v>0</v>
      </c>
      <c r="BM621" t="s">
        <v>0</v>
      </c>
      <c r="BN621" t="s">
        <v>0</v>
      </c>
      <c r="BO621" t="s">
        <v>0</v>
      </c>
      <c r="BP621" t="s">
        <v>17</v>
      </c>
      <c r="BQ621" t="s">
        <v>0</v>
      </c>
      <c r="BR621" t="s">
        <v>17</v>
      </c>
      <c r="BS621" t="s">
        <v>17</v>
      </c>
      <c r="BT621" t="s">
        <v>0</v>
      </c>
      <c r="BU621" t="s">
        <v>0</v>
      </c>
      <c r="BV621" t="s">
        <v>0</v>
      </c>
      <c r="BW621" t="s">
        <v>0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</row>
    <row r="622" spans="1:80" ht="13.95" customHeight="1" x14ac:dyDescent="0.25">
      <c r="A622" t="s">
        <v>378</v>
      </c>
      <c r="B622" s="2">
        <v>45939</v>
      </c>
      <c r="C622" s="2">
        <v>45939</v>
      </c>
      <c r="D622" s="2">
        <v>45969</v>
      </c>
      <c r="E622" t="s">
        <v>2</v>
      </c>
      <c r="F622" t="s">
        <v>3</v>
      </c>
      <c r="G622" t="s">
        <v>0</v>
      </c>
      <c r="H622" t="s">
        <v>4</v>
      </c>
      <c r="I622" t="s">
        <v>363</v>
      </c>
      <c r="J622" t="s">
        <v>6</v>
      </c>
      <c r="K622" t="s">
        <v>7</v>
      </c>
      <c r="L622" t="s">
        <v>74</v>
      </c>
      <c r="M622" t="s">
        <v>75</v>
      </c>
      <c r="N622" t="s">
        <v>10</v>
      </c>
      <c r="O622" t="s">
        <v>0</v>
      </c>
      <c r="P622" t="s">
        <v>11</v>
      </c>
      <c r="Q622" s="5">
        <v>5</v>
      </c>
      <c r="R622" s="4">
        <v>46500</v>
      </c>
      <c r="S622" s="5">
        <v>1</v>
      </c>
      <c r="T622" s="4">
        <v>232500</v>
      </c>
      <c r="U622" s="5">
        <v>0</v>
      </c>
      <c r="V622" s="4">
        <v>0</v>
      </c>
      <c r="W622" s="5">
        <v>0</v>
      </c>
      <c r="X622" s="4">
        <v>0</v>
      </c>
      <c r="Y622" s="4">
        <f t="shared" si="18"/>
        <v>232500</v>
      </c>
      <c r="Z622" s="6" t="s">
        <v>0</v>
      </c>
      <c r="AA622" t="s">
        <v>2</v>
      </c>
      <c r="AB622" t="s">
        <v>12</v>
      </c>
      <c r="AC622">
        <f>_xlfn.XLOOKUP(AB622,'[1]GST Codes'!$A:$A,'[1]GST Codes'!$C:$C,0,0)</f>
        <v>18</v>
      </c>
      <c r="AD622">
        <f t="shared" si="19"/>
        <v>274350</v>
      </c>
      <c r="AE622" t="s">
        <v>13</v>
      </c>
      <c r="AF622" t="s">
        <v>0</v>
      </c>
      <c r="AG622" t="s">
        <v>14</v>
      </c>
      <c r="AH622" t="s">
        <v>15</v>
      </c>
      <c r="AI622" t="s">
        <v>85</v>
      </c>
      <c r="AJ622" t="s">
        <v>17</v>
      </c>
      <c r="AK622" t="s">
        <v>18</v>
      </c>
      <c r="AL622" t="s">
        <v>19</v>
      </c>
      <c r="AM622" t="s">
        <v>363</v>
      </c>
      <c r="AN622" t="s">
        <v>0</v>
      </c>
      <c r="AO622" t="s">
        <v>0</v>
      </c>
      <c r="AP622" t="s">
        <v>0</v>
      </c>
      <c r="AQ622" s="5">
        <v>5</v>
      </c>
      <c r="AR622" t="s">
        <v>11</v>
      </c>
      <c r="AS622" t="s">
        <v>0</v>
      </c>
      <c r="AT622" t="s">
        <v>17</v>
      </c>
      <c r="AU622" s="4">
        <v>0</v>
      </c>
      <c r="AV622" s="4">
        <v>0</v>
      </c>
      <c r="AW622" s="4">
        <v>0</v>
      </c>
      <c r="AX622" s="4">
        <v>0</v>
      </c>
      <c r="AY622" s="5">
        <v>0</v>
      </c>
      <c r="AZ622" s="5">
        <v>0</v>
      </c>
      <c r="BA622" s="5">
        <v>0</v>
      </c>
      <c r="BB622" s="2"/>
      <c r="BC622" t="s">
        <v>0</v>
      </c>
      <c r="BD622" s="5">
        <v>1</v>
      </c>
      <c r="BE622" t="s">
        <v>0</v>
      </c>
      <c r="BF622" t="s">
        <v>367</v>
      </c>
      <c r="BG622" t="s">
        <v>17</v>
      </c>
      <c r="BH622" t="s">
        <v>0</v>
      </c>
      <c r="BI622" t="s">
        <v>11</v>
      </c>
      <c r="BJ622" t="s">
        <v>0</v>
      </c>
      <c r="BK622" t="s">
        <v>0</v>
      </c>
      <c r="BL622" s="5">
        <v>0</v>
      </c>
      <c r="BM622" t="s">
        <v>0</v>
      </c>
      <c r="BN622" t="s">
        <v>0</v>
      </c>
      <c r="BO622" t="s">
        <v>0</v>
      </c>
      <c r="BP622" t="s">
        <v>17</v>
      </c>
      <c r="BQ622" t="s">
        <v>0</v>
      </c>
      <c r="BR622" t="s">
        <v>17</v>
      </c>
      <c r="BS622" t="s">
        <v>17</v>
      </c>
      <c r="BT622" t="s">
        <v>0</v>
      </c>
      <c r="BU622" t="s">
        <v>0</v>
      </c>
      <c r="BV622" t="s">
        <v>0</v>
      </c>
      <c r="BW622" t="s">
        <v>0</v>
      </c>
      <c r="BX622" t="s">
        <v>0</v>
      </c>
      <c r="BY622" t="s">
        <v>0</v>
      </c>
      <c r="BZ622" t="s">
        <v>0</v>
      </c>
      <c r="CA622" t="s">
        <v>0</v>
      </c>
      <c r="CB622" t="s">
        <v>0</v>
      </c>
    </row>
    <row r="623" spans="1:80" ht="13.95" customHeight="1" x14ac:dyDescent="0.25">
      <c r="A623" t="s">
        <v>378</v>
      </c>
      <c r="B623" s="2">
        <v>45939</v>
      </c>
      <c r="C623" s="2">
        <v>45939</v>
      </c>
      <c r="D623" s="2">
        <v>45969</v>
      </c>
      <c r="E623" t="s">
        <v>2</v>
      </c>
      <c r="F623" t="s">
        <v>3</v>
      </c>
      <c r="G623" t="s">
        <v>0</v>
      </c>
      <c r="H623" t="s">
        <v>4</v>
      </c>
      <c r="I623" t="s">
        <v>363</v>
      </c>
      <c r="J623" t="s">
        <v>6</v>
      </c>
      <c r="K623" t="s">
        <v>22</v>
      </c>
      <c r="L623" t="s">
        <v>74</v>
      </c>
      <c r="M623" t="s">
        <v>75</v>
      </c>
      <c r="N623" t="s">
        <v>10</v>
      </c>
      <c r="O623" t="s">
        <v>0</v>
      </c>
      <c r="P623" t="s">
        <v>11</v>
      </c>
      <c r="Q623" s="5">
        <v>5</v>
      </c>
      <c r="R623" s="4">
        <v>46500</v>
      </c>
      <c r="S623" s="5">
        <v>1</v>
      </c>
      <c r="T623" s="4">
        <v>232500</v>
      </c>
      <c r="U623" s="5">
        <v>0</v>
      </c>
      <c r="V623" s="4">
        <v>0</v>
      </c>
      <c r="W623" s="5">
        <v>0</v>
      </c>
      <c r="X623" s="4">
        <v>0</v>
      </c>
      <c r="Y623" s="4">
        <f t="shared" si="18"/>
        <v>232500</v>
      </c>
      <c r="Z623" s="6" t="s">
        <v>0</v>
      </c>
      <c r="AA623" t="s">
        <v>2</v>
      </c>
      <c r="AB623" t="s">
        <v>12</v>
      </c>
      <c r="AC623">
        <f>_xlfn.XLOOKUP(AB623,'[1]GST Codes'!$A:$A,'[1]GST Codes'!$C:$C,0,0)</f>
        <v>18</v>
      </c>
      <c r="AD623">
        <f t="shared" si="19"/>
        <v>274350</v>
      </c>
      <c r="AE623" t="s">
        <v>13</v>
      </c>
      <c r="AF623" t="s">
        <v>0</v>
      </c>
      <c r="AG623" t="s">
        <v>14</v>
      </c>
      <c r="AH623" t="s">
        <v>15</v>
      </c>
      <c r="AI623" t="s">
        <v>85</v>
      </c>
      <c r="AJ623" t="s">
        <v>17</v>
      </c>
      <c r="AK623" t="s">
        <v>18</v>
      </c>
      <c r="AL623" t="s">
        <v>19</v>
      </c>
      <c r="AM623" t="s">
        <v>363</v>
      </c>
      <c r="AN623" t="s">
        <v>0</v>
      </c>
      <c r="AO623" t="s">
        <v>0</v>
      </c>
      <c r="AP623" t="s">
        <v>0</v>
      </c>
      <c r="AQ623" s="5">
        <v>5</v>
      </c>
      <c r="AR623" t="s">
        <v>11</v>
      </c>
      <c r="AS623" t="s">
        <v>0</v>
      </c>
      <c r="AT623" t="s">
        <v>17</v>
      </c>
      <c r="AU623" s="4">
        <v>0</v>
      </c>
      <c r="AV623" s="4">
        <v>0</v>
      </c>
      <c r="AW623" s="4">
        <v>0</v>
      </c>
      <c r="AX623" s="4">
        <v>0</v>
      </c>
      <c r="AY623" s="5">
        <v>0</v>
      </c>
      <c r="AZ623" s="5">
        <v>0</v>
      </c>
      <c r="BA623" s="5">
        <v>0</v>
      </c>
      <c r="BB623" s="2"/>
      <c r="BC623" t="s">
        <v>0</v>
      </c>
      <c r="BD623" s="5">
        <v>1</v>
      </c>
      <c r="BE623" t="s">
        <v>0</v>
      </c>
      <c r="BF623" t="s">
        <v>367</v>
      </c>
      <c r="BG623" t="s">
        <v>17</v>
      </c>
      <c r="BH623" t="s">
        <v>0</v>
      </c>
      <c r="BI623" t="s">
        <v>11</v>
      </c>
      <c r="BJ623" t="s">
        <v>0</v>
      </c>
      <c r="BK623" t="s">
        <v>0</v>
      </c>
      <c r="BL623" s="5">
        <v>0</v>
      </c>
      <c r="BM623" t="s">
        <v>0</v>
      </c>
      <c r="BN623" t="s">
        <v>0</v>
      </c>
      <c r="BO623" t="s">
        <v>0</v>
      </c>
      <c r="BP623" t="s">
        <v>17</v>
      </c>
      <c r="BQ623" t="s">
        <v>0</v>
      </c>
      <c r="BR623" t="s">
        <v>17</v>
      </c>
      <c r="BS623" t="s">
        <v>17</v>
      </c>
      <c r="BT623" t="s">
        <v>0</v>
      </c>
      <c r="BU623" t="s">
        <v>0</v>
      </c>
      <c r="BV623" t="s">
        <v>0</v>
      </c>
      <c r="BW623" t="s">
        <v>0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</row>
    <row r="624" spans="1:80" ht="13.95" customHeight="1" x14ac:dyDescent="0.25">
      <c r="A624" t="s">
        <v>378</v>
      </c>
      <c r="B624" s="2">
        <v>45939</v>
      </c>
      <c r="C624" s="2">
        <v>45939</v>
      </c>
      <c r="D624" s="2">
        <v>45969</v>
      </c>
      <c r="E624" t="s">
        <v>2</v>
      </c>
      <c r="F624" t="s">
        <v>3</v>
      </c>
      <c r="G624" t="s">
        <v>0</v>
      </c>
      <c r="H624" t="s">
        <v>4</v>
      </c>
      <c r="I624" t="s">
        <v>363</v>
      </c>
      <c r="J624" t="s">
        <v>6</v>
      </c>
      <c r="K624" t="s">
        <v>26</v>
      </c>
      <c r="L624" t="s">
        <v>74</v>
      </c>
      <c r="M624" t="s">
        <v>75</v>
      </c>
      <c r="N624" t="s">
        <v>10</v>
      </c>
      <c r="O624" t="s">
        <v>0</v>
      </c>
      <c r="P624" t="s">
        <v>11</v>
      </c>
      <c r="Q624" s="5">
        <v>5</v>
      </c>
      <c r="R624" s="4">
        <v>46500</v>
      </c>
      <c r="S624" s="5">
        <v>1</v>
      </c>
      <c r="T624" s="4">
        <v>232500</v>
      </c>
      <c r="U624" s="5">
        <v>0</v>
      </c>
      <c r="V624" s="4">
        <v>0</v>
      </c>
      <c r="W624" s="5">
        <v>0</v>
      </c>
      <c r="X624" s="4">
        <v>0</v>
      </c>
      <c r="Y624" s="4">
        <f t="shared" si="18"/>
        <v>232500</v>
      </c>
      <c r="Z624" s="6" t="s">
        <v>0</v>
      </c>
      <c r="AA624" t="s">
        <v>2</v>
      </c>
      <c r="AB624" t="s">
        <v>12</v>
      </c>
      <c r="AC624">
        <f>_xlfn.XLOOKUP(AB624,'[1]GST Codes'!$A:$A,'[1]GST Codes'!$C:$C,0,0)</f>
        <v>18</v>
      </c>
      <c r="AD624">
        <f t="shared" si="19"/>
        <v>274350</v>
      </c>
      <c r="AE624" t="s">
        <v>13</v>
      </c>
      <c r="AF624" t="s">
        <v>0</v>
      </c>
      <c r="AG624" t="s">
        <v>14</v>
      </c>
      <c r="AH624" t="s">
        <v>15</v>
      </c>
      <c r="AI624" t="s">
        <v>85</v>
      </c>
      <c r="AJ624" t="s">
        <v>17</v>
      </c>
      <c r="AK624" t="s">
        <v>18</v>
      </c>
      <c r="AL624" t="s">
        <v>19</v>
      </c>
      <c r="AM624" t="s">
        <v>363</v>
      </c>
      <c r="AN624" t="s">
        <v>0</v>
      </c>
      <c r="AO624" t="s">
        <v>0</v>
      </c>
      <c r="AP624" t="s">
        <v>0</v>
      </c>
      <c r="AQ624" s="5">
        <v>5</v>
      </c>
      <c r="AR624" t="s">
        <v>11</v>
      </c>
      <c r="AS624" t="s">
        <v>0</v>
      </c>
      <c r="AT624" t="s">
        <v>17</v>
      </c>
      <c r="AU624" s="4">
        <v>0</v>
      </c>
      <c r="AV624" s="4">
        <v>0</v>
      </c>
      <c r="AW624" s="4">
        <v>0</v>
      </c>
      <c r="AX624" s="4">
        <v>0</v>
      </c>
      <c r="AY624" s="5">
        <v>0</v>
      </c>
      <c r="AZ624" s="5">
        <v>0</v>
      </c>
      <c r="BA624" s="5">
        <v>0</v>
      </c>
      <c r="BB624" s="2"/>
      <c r="BC624" t="s">
        <v>0</v>
      </c>
      <c r="BD624" s="5">
        <v>1</v>
      </c>
      <c r="BE624" t="s">
        <v>0</v>
      </c>
      <c r="BF624" t="s">
        <v>367</v>
      </c>
      <c r="BG624" t="s">
        <v>17</v>
      </c>
      <c r="BH624" t="s">
        <v>0</v>
      </c>
      <c r="BI624" t="s">
        <v>11</v>
      </c>
      <c r="BJ624" t="s">
        <v>0</v>
      </c>
      <c r="BK624" t="s">
        <v>0</v>
      </c>
      <c r="BL624" s="5">
        <v>0</v>
      </c>
      <c r="BM624" t="s">
        <v>0</v>
      </c>
      <c r="BN624" t="s">
        <v>0</v>
      </c>
      <c r="BO624" t="s">
        <v>0</v>
      </c>
      <c r="BP624" t="s">
        <v>17</v>
      </c>
      <c r="BQ624" t="s">
        <v>0</v>
      </c>
      <c r="BR624" t="s">
        <v>17</v>
      </c>
      <c r="BS624" t="s">
        <v>17</v>
      </c>
      <c r="BT624" t="s">
        <v>0</v>
      </c>
      <c r="BU624" t="s">
        <v>0</v>
      </c>
      <c r="BV624" t="s">
        <v>0</v>
      </c>
      <c r="BW624" t="s">
        <v>0</v>
      </c>
      <c r="BX624" t="s">
        <v>0</v>
      </c>
      <c r="BY624" t="s">
        <v>0</v>
      </c>
      <c r="BZ624" t="s">
        <v>0</v>
      </c>
      <c r="CA624" t="s">
        <v>0</v>
      </c>
      <c r="CB624" t="s">
        <v>0</v>
      </c>
    </row>
    <row r="625" spans="1:80" ht="13.95" customHeight="1" x14ac:dyDescent="0.25">
      <c r="A625" t="s">
        <v>378</v>
      </c>
      <c r="B625" s="2">
        <v>45939</v>
      </c>
      <c r="C625" s="2">
        <v>45939</v>
      </c>
      <c r="D625" s="2">
        <v>45969</v>
      </c>
      <c r="E625" t="s">
        <v>2</v>
      </c>
      <c r="F625" t="s">
        <v>3</v>
      </c>
      <c r="G625" t="s">
        <v>0</v>
      </c>
      <c r="H625" t="s">
        <v>4</v>
      </c>
      <c r="I625" t="s">
        <v>363</v>
      </c>
      <c r="J625" t="s">
        <v>6</v>
      </c>
      <c r="K625" t="s">
        <v>30</v>
      </c>
      <c r="L625" t="s">
        <v>74</v>
      </c>
      <c r="M625" t="s">
        <v>75</v>
      </c>
      <c r="N625" t="s">
        <v>10</v>
      </c>
      <c r="O625" t="s">
        <v>0</v>
      </c>
      <c r="P625" t="s">
        <v>11</v>
      </c>
      <c r="Q625" s="5">
        <v>5</v>
      </c>
      <c r="R625" s="4">
        <v>46500</v>
      </c>
      <c r="S625" s="5">
        <v>1</v>
      </c>
      <c r="T625" s="4">
        <v>232500</v>
      </c>
      <c r="U625" s="5">
        <v>0</v>
      </c>
      <c r="V625" s="4">
        <v>0</v>
      </c>
      <c r="W625" s="5">
        <v>0</v>
      </c>
      <c r="X625" s="4">
        <v>0</v>
      </c>
      <c r="Y625" s="4">
        <f t="shared" si="18"/>
        <v>232500</v>
      </c>
      <c r="Z625" s="6" t="s">
        <v>0</v>
      </c>
      <c r="AA625" t="s">
        <v>2</v>
      </c>
      <c r="AB625" t="s">
        <v>12</v>
      </c>
      <c r="AC625">
        <f>_xlfn.XLOOKUP(AB625,'[1]GST Codes'!$A:$A,'[1]GST Codes'!$C:$C,0,0)</f>
        <v>18</v>
      </c>
      <c r="AD625">
        <f t="shared" si="19"/>
        <v>274350</v>
      </c>
      <c r="AE625" t="s">
        <v>13</v>
      </c>
      <c r="AF625" t="s">
        <v>0</v>
      </c>
      <c r="AG625" t="s">
        <v>14</v>
      </c>
      <c r="AH625" t="s">
        <v>15</v>
      </c>
      <c r="AI625" t="s">
        <v>85</v>
      </c>
      <c r="AJ625" t="s">
        <v>17</v>
      </c>
      <c r="AK625" t="s">
        <v>18</v>
      </c>
      <c r="AL625" t="s">
        <v>19</v>
      </c>
      <c r="AM625" t="s">
        <v>363</v>
      </c>
      <c r="AN625" t="s">
        <v>0</v>
      </c>
      <c r="AO625" t="s">
        <v>0</v>
      </c>
      <c r="AP625" t="s">
        <v>0</v>
      </c>
      <c r="AQ625" s="5">
        <v>5</v>
      </c>
      <c r="AR625" t="s">
        <v>11</v>
      </c>
      <c r="AS625" t="s">
        <v>0</v>
      </c>
      <c r="AT625" t="s">
        <v>17</v>
      </c>
      <c r="AU625" s="4">
        <v>0</v>
      </c>
      <c r="AV625" s="4">
        <v>0</v>
      </c>
      <c r="AW625" s="4">
        <v>0</v>
      </c>
      <c r="AX625" s="4">
        <v>0</v>
      </c>
      <c r="AY625" s="5">
        <v>0</v>
      </c>
      <c r="AZ625" s="5">
        <v>0</v>
      </c>
      <c r="BA625" s="5">
        <v>0</v>
      </c>
      <c r="BB625" s="2"/>
      <c r="BC625" t="s">
        <v>0</v>
      </c>
      <c r="BD625" s="5">
        <v>1</v>
      </c>
      <c r="BE625" t="s">
        <v>0</v>
      </c>
      <c r="BF625" t="s">
        <v>367</v>
      </c>
      <c r="BG625" t="s">
        <v>17</v>
      </c>
      <c r="BH625" t="s">
        <v>0</v>
      </c>
      <c r="BI625" t="s">
        <v>11</v>
      </c>
      <c r="BJ625" t="s">
        <v>0</v>
      </c>
      <c r="BK625" t="s">
        <v>0</v>
      </c>
      <c r="BL625" s="5">
        <v>0</v>
      </c>
      <c r="BM625" t="s">
        <v>0</v>
      </c>
      <c r="BN625" t="s">
        <v>0</v>
      </c>
      <c r="BO625" t="s">
        <v>0</v>
      </c>
      <c r="BP625" t="s">
        <v>17</v>
      </c>
      <c r="BQ625" t="s">
        <v>0</v>
      </c>
      <c r="BR625" t="s">
        <v>17</v>
      </c>
      <c r="BS625" t="s">
        <v>17</v>
      </c>
      <c r="BT625" t="s">
        <v>0</v>
      </c>
      <c r="BU625" t="s">
        <v>0</v>
      </c>
      <c r="BV625" t="s">
        <v>0</v>
      </c>
      <c r="BW625" t="s">
        <v>0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</row>
    <row r="626" spans="1:80" ht="13.95" customHeight="1" x14ac:dyDescent="0.25">
      <c r="A626" t="s">
        <v>378</v>
      </c>
      <c r="B626" s="2">
        <v>45939</v>
      </c>
      <c r="C626" s="2">
        <v>45939</v>
      </c>
      <c r="D626" s="2">
        <v>45969</v>
      </c>
      <c r="E626" t="s">
        <v>2</v>
      </c>
      <c r="F626" t="s">
        <v>3</v>
      </c>
      <c r="G626" t="s">
        <v>0</v>
      </c>
      <c r="H626" t="s">
        <v>4</v>
      </c>
      <c r="I626" t="s">
        <v>363</v>
      </c>
      <c r="J626" t="s">
        <v>6</v>
      </c>
      <c r="K626" t="s">
        <v>34</v>
      </c>
      <c r="L626" t="s">
        <v>74</v>
      </c>
      <c r="M626" t="s">
        <v>75</v>
      </c>
      <c r="N626" t="s">
        <v>10</v>
      </c>
      <c r="O626" t="s">
        <v>0</v>
      </c>
      <c r="P626" t="s">
        <v>11</v>
      </c>
      <c r="Q626" s="5">
        <v>5</v>
      </c>
      <c r="R626" s="4">
        <v>46500</v>
      </c>
      <c r="S626" s="5">
        <v>1</v>
      </c>
      <c r="T626" s="4">
        <v>232500</v>
      </c>
      <c r="U626" s="5">
        <v>0</v>
      </c>
      <c r="V626" s="4">
        <v>0</v>
      </c>
      <c r="W626" s="5">
        <v>0</v>
      </c>
      <c r="X626" s="4">
        <v>0</v>
      </c>
      <c r="Y626" s="4">
        <f t="shared" si="18"/>
        <v>232500</v>
      </c>
      <c r="Z626" s="6" t="s">
        <v>0</v>
      </c>
      <c r="AA626" t="s">
        <v>2</v>
      </c>
      <c r="AB626" t="s">
        <v>12</v>
      </c>
      <c r="AC626">
        <f>_xlfn.XLOOKUP(AB626,'[1]GST Codes'!$A:$A,'[1]GST Codes'!$C:$C,0,0)</f>
        <v>18</v>
      </c>
      <c r="AD626">
        <f t="shared" si="19"/>
        <v>274350</v>
      </c>
      <c r="AE626" t="s">
        <v>13</v>
      </c>
      <c r="AF626" t="s">
        <v>0</v>
      </c>
      <c r="AG626" t="s">
        <v>14</v>
      </c>
      <c r="AH626" t="s">
        <v>15</v>
      </c>
      <c r="AI626" t="s">
        <v>85</v>
      </c>
      <c r="AJ626" t="s">
        <v>17</v>
      </c>
      <c r="AK626" t="s">
        <v>18</v>
      </c>
      <c r="AL626" t="s">
        <v>19</v>
      </c>
      <c r="AM626" t="s">
        <v>363</v>
      </c>
      <c r="AN626" t="s">
        <v>0</v>
      </c>
      <c r="AO626" t="s">
        <v>0</v>
      </c>
      <c r="AP626" t="s">
        <v>0</v>
      </c>
      <c r="AQ626" s="5">
        <v>5</v>
      </c>
      <c r="AR626" t="s">
        <v>11</v>
      </c>
      <c r="AS626" t="s">
        <v>0</v>
      </c>
      <c r="AT626" t="s">
        <v>17</v>
      </c>
      <c r="AU626" s="4">
        <v>0</v>
      </c>
      <c r="AV626" s="4">
        <v>0</v>
      </c>
      <c r="AW626" s="4">
        <v>0</v>
      </c>
      <c r="AX626" s="4">
        <v>0</v>
      </c>
      <c r="AY626" s="5">
        <v>0</v>
      </c>
      <c r="AZ626" s="5">
        <v>0</v>
      </c>
      <c r="BA626" s="5">
        <v>0</v>
      </c>
      <c r="BB626" s="2"/>
      <c r="BC626" t="s">
        <v>0</v>
      </c>
      <c r="BD626" s="5">
        <v>1</v>
      </c>
      <c r="BE626" t="s">
        <v>0</v>
      </c>
      <c r="BF626" t="s">
        <v>367</v>
      </c>
      <c r="BG626" t="s">
        <v>17</v>
      </c>
      <c r="BH626" t="s">
        <v>0</v>
      </c>
      <c r="BI626" t="s">
        <v>11</v>
      </c>
      <c r="BJ626" t="s">
        <v>0</v>
      </c>
      <c r="BK626" t="s">
        <v>0</v>
      </c>
      <c r="BL626" s="5">
        <v>0</v>
      </c>
      <c r="BM626" t="s">
        <v>0</v>
      </c>
      <c r="BN626" t="s">
        <v>0</v>
      </c>
      <c r="BO626" t="s">
        <v>0</v>
      </c>
      <c r="BP626" t="s">
        <v>17</v>
      </c>
      <c r="BQ626" t="s">
        <v>0</v>
      </c>
      <c r="BR626" t="s">
        <v>17</v>
      </c>
      <c r="BS626" t="s">
        <v>17</v>
      </c>
      <c r="BT626" t="s">
        <v>0</v>
      </c>
      <c r="BU626" t="s">
        <v>0</v>
      </c>
      <c r="BV626" t="s">
        <v>0</v>
      </c>
      <c r="BW626" t="s">
        <v>0</v>
      </c>
      <c r="BX626" t="s">
        <v>0</v>
      </c>
      <c r="BY626" t="s">
        <v>0</v>
      </c>
      <c r="BZ626" t="s">
        <v>0</v>
      </c>
      <c r="CA626" t="s">
        <v>0</v>
      </c>
      <c r="CB626" t="s">
        <v>0</v>
      </c>
    </row>
    <row r="627" spans="1:80" ht="13.95" customHeight="1" x14ac:dyDescent="0.25">
      <c r="A627" t="s">
        <v>378</v>
      </c>
      <c r="B627" s="2">
        <v>45939</v>
      </c>
      <c r="C627" s="2">
        <v>45939</v>
      </c>
      <c r="D627" s="2">
        <v>45969</v>
      </c>
      <c r="E627" t="s">
        <v>2</v>
      </c>
      <c r="F627" t="s">
        <v>3</v>
      </c>
      <c r="G627" t="s">
        <v>0</v>
      </c>
      <c r="H627" t="s">
        <v>4</v>
      </c>
      <c r="I627" t="s">
        <v>363</v>
      </c>
      <c r="J627" t="s">
        <v>6</v>
      </c>
      <c r="K627" t="s">
        <v>38</v>
      </c>
      <c r="L627" t="s">
        <v>74</v>
      </c>
      <c r="M627" t="s">
        <v>75</v>
      </c>
      <c r="N627" t="s">
        <v>10</v>
      </c>
      <c r="O627" t="s">
        <v>0</v>
      </c>
      <c r="P627" t="s">
        <v>11</v>
      </c>
      <c r="Q627" s="5">
        <v>5</v>
      </c>
      <c r="R627" s="4">
        <v>46500</v>
      </c>
      <c r="S627" s="5">
        <v>1</v>
      </c>
      <c r="T627" s="4">
        <v>232500</v>
      </c>
      <c r="U627" s="3">
        <v>1.202</v>
      </c>
      <c r="V627" s="4">
        <v>55893</v>
      </c>
      <c r="W627" s="3">
        <v>1.202</v>
      </c>
      <c r="X627" s="4">
        <v>55893</v>
      </c>
      <c r="Y627" s="4">
        <f t="shared" si="18"/>
        <v>176607</v>
      </c>
      <c r="Z627" s="6" t="s">
        <v>0</v>
      </c>
      <c r="AA627" t="s">
        <v>2</v>
      </c>
      <c r="AB627" t="s">
        <v>12</v>
      </c>
      <c r="AC627">
        <f>_xlfn.XLOOKUP(AB627,'[1]GST Codes'!$A:$A,'[1]GST Codes'!$C:$C,0,0)</f>
        <v>18</v>
      </c>
      <c r="AD627">
        <f t="shared" si="19"/>
        <v>208396.26</v>
      </c>
      <c r="AE627" t="s">
        <v>13</v>
      </c>
      <c r="AF627" t="s">
        <v>0</v>
      </c>
      <c r="AG627" t="s">
        <v>14</v>
      </c>
      <c r="AH627" t="s">
        <v>15</v>
      </c>
      <c r="AI627" t="s">
        <v>85</v>
      </c>
      <c r="AJ627" t="s">
        <v>17</v>
      </c>
      <c r="AK627" t="s">
        <v>18</v>
      </c>
      <c r="AL627" t="s">
        <v>19</v>
      </c>
      <c r="AM627" t="s">
        <v>363</v>
      </c>
      <c r="AN627" t="s">
        <v>0</v>
      </c>
      <c r="AO627" t="s">
        <v>0</v>
      </c>
      <c r="AP627" t="s">
        <v>0</v>
      </c>
      <c r="AQ627" s="5">
        <v>5</v>
      </c>
      <c r="AR627" t="s">
        <v>11</v>
      </c>
      <c r="AS627" t="s">
        <v>0</v>
      </c>
      <c r="AT627" t="s">
        <v>17</v>
      </c>
      <c r="AU627" s="4">
        <v>0</v>
      </c>
      <c r="AV627" s="4">
        <v>0</v>
      </c>
      <c r="AW627" s="4">
        <v>0</v>
      </c>
      <c r="AX627" s="4">
        <v>0</v>
      </c>
      <c r="AY627" s="5">
        <v>0</v>
      </c>
      <c r="AZ627" s="5">
        <v>0</v>
      </c>
      <c r="BA627" s="5">
        <v>0</v>
      </c>
      <c r="BB627" s="2"/>
      <c r="BC627" t="s">
        <v>0</v>
      </c>
      <c r="BD627" s="5">
        <v>1</v>
      </c>
      <c r="BE627" t="s">
        <v>0</v>
      </c>
      <c r="BF627" t="s">
        <v>367</v>
      </c>
      <c r="BG627" t="s">
        <v>17</v>
      </c>
      <c r="BH627" t="s">
        <v>0</v>
      </c>
      <c r="BI627" t="s">
        <v>11</v>
      </c>
      <c r="BJ627" t="s">
        <v>0</v>
      </c>
      <c r="BK627" t="s">
        <v>0</v>
      </c>
      <c r="BL627" s="5">
        <v>0</v>
      </c>
      <c r="BM627" t="s">
        <v>0</v>
      </c>
      <c r="BN627" t="s">
        <v>0</v>
      </c>
      <c r="BO627" t="s">
        <v>0</v>
      </c>
      <c r="BP627" t="s">
        <v>17</v>
      </c>
      <c r="BQ627" t="s">
        <v>0</v>
      </c>
      <c r="BR627" t="s">
        <v>17</v>
      </c>
      <c r="BS627" t="s">
        <v>17</v>
      </c>
      <c r="BT627" t="s">
        <v>0</v>
      </c>
      <c r="BU627" t="s">
        <v>0</v>
      </c>
      <c r="BV627" t="s">
        <v>0</v>
      </c>
      <c r="BW627" t="s">
        <v>0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</row>
    <row r="628" spans="1:80" ht="13.95" customHeight="1" x14ac:dyDescent="0.25">
      <c r="A628" t="s">
        <v>378</v>
      </c>
      <c r="B628" s="2">
        <v>45939</v>
      </c>
      <c r="C628" s="2">
        <v>45939</v>
      </c>
      <c r="D628" s="2">
        <v>45969</v>
      </c>
      <c r="E628" t="s">
        <v>2</v>
      </c>
      <c r="F628" t="s">
        <v>3</v>
      </c>
      <c r="G628" t="s">
        <v>0</v>
      </c>
      <c r="H628" t="s">
        <v>4</v>
      </c>
      <c r="I628" t="s">
        <v>363</v>
      </c>
      <c r="J628" t="s">
        <v>6</v>
      </c>
      <c r="K628" t="s">
        <v>42</v>
      </c>
      <c r="L628" t="s">
        <v>39</v>
      </c>
      <c r="M628" t="s">
        <v>40</v>
      </c>
      <c r="N628" t="s">
        <v>10</v>
      </c>
      <c r="O628" t="s">
        <v>0</v>
      </c>
      <c r="P628" t="s">
        <v>11</v>
      </c>
      <c r="Q628" s="5">
        <v>20</v>
      </c>
      <c r="R628" s="4">
        <v>46500</v>
      </c>
      <c r="S628" s="5">
        <v>1</v>
      </c>
      <c r="T628" s="4">
        <v>930000</v>
      </c>
      <c r="U628" s="5">
        <v>0</v>
      </c>
      <c r="V628" s="4">
        <v>0</v>
      </c>
      <c r="W628" s="5">
        <v>0</v>
      </c>
      <c r="X628" s="4">
        <v>0</v>
      </c>
      <c r="Y628" s="4">
        <f t="shared" si="18"/>
        <v>930000</v>
      </c>
      <c r="Z628" s="6" t="s">
        <v>0</v>
      </c>
      <c r="AA628" t="s">
        <v>2</v>
      </c>
      <c r="AB628" t="s">
        <v>12</v>
      </c>
      <c r="AC628">
        <f>_xlfn.XLOOKUP(AB628,'[1]GST Codes'!$A:$A,'[1]GST Codes'!$C:$C,0,0)</f>
        <v>18</v>
      </c>
      <c r="AD628">
        <f t="shared" si="19"/>
        <v>1097400</v>
      </c>
      <c r="AE628" t="s">
        <v>13</v>
      </c>
      <c r="AF628" t="s">
        <v>0</v>
      </c>
      <c r="AG628" t="s">
        <v>14</v>
      </c>
      <c r="AH628" t="s">
        <v>15</v>
      </c>
      <c r="AI628" t="s">
        <v>85</v>
      </c>
      <c r="AJ628" t="s">
        <v>17</v>
      </c>
      <c r="AK628" t="s">
        <v>18</v>
      </c>
      <c r="AL628" t="s">
        <v>19</v>
      </c>
      <c r="AM628" t="s">
        <v>363</v>
      </c>
      <c r="AN628" t="s">
        <v>0</v>
      </c>
      <c r="AO628" t="s">
        <v>0</v>
      </c>
      <c r="AP628" t="s">
        <v>0</v>
      </c>
      <c r="AQ628" s="5">
        <v>20</v>
      </c>
      <c r="AR628" t="s">
        <v>11</v>
      </c>
      <c r="AS628" t="s">
        <v>0</v>
      </c>
      <c r="AT628" t="s">
        <v>17</v>
      </c>
      <c r="AU628" s="4">
        <v>0</v>
      </c>
      <c r="AV628" s="4">
        <v>0</v>
      </c>
      <c r="AW628" s="4">
        <v>0</v>
      </c>
      <c r="AX628" s="4">
        <v>0</v>
      </c>
      <c r="AY628" s="5">
        <v>0</v>
      </c>
      <c r="AZ628" s="5">
        <v>0</v>
      </c>
      <c r="BA628" s="5">
        <v>0</v>
      </c>
      <c r="BB628" s="2"/>
      <c r="BC628" t="s">
        <v>0</v>
      </c>
      <c r="BD628" s="5">
        <v>1</v>
      </c>
      <c r="BE628" t="s">
        <v>0</v>
      </c>
      <c r="BF628" t="s">
        <v>368</v>
      </c>
      <c r="BG628" t="s">
        <v>17</v>
      </c>
      <c r="BH628" t="s">
        <v>0</v>
      </c>
      <c r="BI628" t="s">
        <v>11</v>
      </c>
      <c r="BJ628" t="s">
        <v>0</v>
      </c>
      <c r="BK628" t="s">
        <v>0</v>
      </c>
      <c r="BL628" s="5">
        <v>0</v>
      </c>
      <c r="BM628" t="s">
        <v>0</v>
      </c>
      <c r="BN628" t="s">
        <v>0</v>
      </c>
      <c r="BO628" t="s">
        <v>0</v>
      </c>
      <c r="BP628" t="s">
        <v>17</v>
      </c>
      <c r="BQ628" t="s">
        <v>0</v>
      </c>
      <c r="BR628" t="s">
        <v>17</v>
      </c>
      <c r="BS628" t="s">
        <v>17</v>
      </c>
      <c r="BT628" t="s">
        <v>0</v>
      </c>
      <c r="BU628" t="s">
        <v>0</v>
      </c>
      <c r="BV628" t="s">
        <v>0</v>
      </c>
      <c r="BW628" t="s">
        <v>0</v>
      </c>
      <c r="BX628" t="s">
        <v>0</v>
      </c>
      <c r="BY628" t="s">
        <v>0</v>
      </c>
      <c r="BZ628" t="s">
        <v>0</v>
      </c>
      <c r="CA628" t="s">
        <v>0</v>
      </c>
      <c r="CB628" t="s">
        <v>0</v>
      </c>
    </row>
    <row r="629" spans="1:80" ht="13.95" customHeight="1" x14ac:dyDescent="0.25">
      <c r="A629" t="s">
        <v>378</v>
      </c>
      <c r="B629" s="2">
        <v>45939</v>
      </c>
      <c r="C629" s="2">
        <v>45939</v>
      </c>
      <c r="D629" s="2">
        <v>45969</v>
      </c>
      <c r="E629" t="s">
        <v>2</v>
      </c>
      <c r="F629" t="s">
        <v>3</v>
      </c>
      <c r="G629" t="s">
        <v>0</v>
      </c>
      <c r="H629" t="s">
        <v>4</v>
      </c>
      <c r="I629" t="s">
        <v>363</v>
      </c>
      <c r="J629" t="s">
        <v>6</v>
      </c>
      <c r="K629" t="s">
        <v>86</v>
      </c>
      <c r="L629" t="s">
        <v>39</v>
      </c>
      <c r="M629" t="s">
        <v>40</v>
      </c>
      <c r="N629" t="s">
        <v>10</v>
      </c>
      <c r="O629" t="s">
        <v>0</v>
      </c>
      <c r="P629" t="s">
        <v>11</v>
      </c>
      <c r="Q629" s="5">
        <v>20</v>
      </c>
      <c r="R629" s="4">
        <v>46500</v>
      </c>
      <c r="S629" s="5">
        <v>1</v>
      </c>
      <c r="T629" s="4">
        <v>930000</v>
      </c>
      <c r="U629" s="5">
        <v>0</v>
      </c>
      <c r="V629" s="4">
        <v>0</v>
      </c>
      <c r="W629" s="5">
        <v>0</v>
      </c>
      <c r="X629" s="4">
        <v>0</v>
      </c>
      <c r="Y629" s="4">
        <f t="shared" si="18"/>
        <v>930000</v>
      </c>
      <c r="Z629" s="6" t="s">
        <v>0</v>
      </c>
      <c r="AA629" t="s">
        <v>2</v>
      </c>
      <c r="AB629" t="s">
        <v>12</v>
      </c>
      <c r="AC629">
        <f>_xlfn.XLOOKUP(AB629,'[1]GST Codes'!$A:$A,'[1]GST Codes'!$C:$C,0,0)</f>
        <v>18</v>
      </c>
      <c r="AD629">
        <f t="shared" si="19"/>
        <v>1097400</v>
      </c>
      <c r="AE629" t="s">
        <v>13</v>
      </c>
      <c r="AF629" t="s">
        <v>0</v>
      </c>
      <c r="AG629" t="s">
        <v>14</v>
      </c>
      <c r="AH629" t="s">
        <v>15</v>
      </c>
      <c r="AI629" t="s">
        <v>85</v>
      </c>
      <c r="AJ629" t="s">
        <v>17</v>
      </c>
      <c r="AK629" t="s">
        <v>18</v>
      </c>
      <c r="AL629" t="s">
        <v>19</v>
      </c>
      <c r="AM629" t="s">
        <v>363</v>
      </c>
      <c r="AN629" t="s">
        <v>0</v>
      </c>
      <c r="AO629" t="s">
        <v>0</v>
      </c>
      <c r="AP629" t="s">
        <v>0</v>
      </c>
      <c r="AQ629" s="5">
        <v>20</v>
      </c>
      <c r="AR629" t="s">
        <v>11</v>
      </c>
      <c r="AS629" t="s">
        <v>0</v>
      </c>
      <c r="AT629" t="s">
        <v>17</v>
      </c>
      <c r="AU629" s="4">
        <v>0</v>
      </c>
      <c r="AV629" s="4">
        <v>0</v>
      </c>
      <c r="AW629" s="4">
        <v>0</v>
      </c>
      <c r="AX629" s="4">
        <v>0</v>
      </c>
      <c r="AY629" s="5">
        <v>0</v>
      </c>
      <c r="AZ629" s="5">
        <v>0</v>
      </c>
      <c r="BA629" s="5">
        <v>0</v>
      </c>
      <c r="BB629" s="2"/>
      <c r="BC629" t="s">
        <v>0</v>
      </c>
      <c r="BD629" s="5">
        <v>1</v>
      </c>
      <c r="BE629" t="s">
        <v>0</v>
      </c>
      <c r="BF629" t="s">
        <v>368</v>
      </c>
      <c r="BG629" t="s">
        <v>17</v>
      </c>
      <c r="BH629" t="s">
        <v>0</v>
      </c>
      <c r="BI629" t="s">
        <v>11</v>
      </c>
      <c r="BJ629" t="s">
        <v>0</v>
      </c>
      <c r="BK629" t="s">
        <v>0</v>
      </c>
      <c r="BL629" s="5">
        <v>0</v>
      </c>
      <c r="BM629" t="s">
        <v>0</v>
      </c>
      <c r="BN629" t="s">
        <v>0</v>
      </c>
      <c r="BO629" t="s">
        <v>0</v>
      </c>
      <c r="BP629" t="s">
        <v>17</v>
      </c>
      <c r="BQ629" t="s">
        <v>0</v>
      </c>
      <c r="BR629" t="s">
        <v>17</v>
      </c>
      <c r="BS629" t="s">
        <v>17</v>
      </c>
      <c r="BT629" t="s">
        <v>0</v>
      </c>
      <c r="BU629" t="s">
        <v>0</v>
      </c>
      <c r="BV629" t="s">
        <v>0</v>
      </c>
      <c r="BW629" t="s">
        <v>0</v>
      </c>
      <c r="BX629" t="s">
        <v>0</v>
      </c>
      <c r="BY629" t="s">
        <v>0</v>
      </c>
      <c r="BZ629" t="s">
        <v>0</v>
      </c>
      <c r="CA629" t="s">
        <v>0</v>
      </c>
      <c r="CB629" t="s">
        <v>0</v>
      </c>
    </row>
    <row r="630" spans="1:80" ht="13.95" customHeight="1" x14ac:dyDescent="0.25">
      <c r="A630" t="s">
        <v>378</v>
      </c>
      <c r="B630" s="2">
        <v>45939</v>
      </c>
      <c r="C630" s="2">
        <v>45939</v>
      </c>
      <c r="D630" s="2">
        <v>45969</v>
      </c>
      <c r="E630" t="s">
        <v>2</v>
      </c>
      <c r="F630" t="s">
        <v>3</v>
      </c>
      <c r="G630" t="s">
        <v>0</v>
      </c>
      <c r="H630" t="s">
        <v>4</v>
      </c>
      <c r="I630" t="s">
        <v>363</v>
      </c>
      <c r="J630" t="s">
        <v>6</v>
      </c>
      <c r="K630" t="s">
        <v>87</v>
      </c>
      <c r="L630" t="s">
        <v>39</v>
      </c>
      <c r="M630" t="s">
        <v>40</v>
      </c>
      <c r="N630" t="s">
        <v>10</v>
      </c>
      <c r="O630" t="s">
        <v>0</v>
      </c>
      <c r="P630" t="s">
        <v>11</v>
      </c>
      <c r="Q630" s="5">
        <v>20</v>
      </c>
      <c r="R630" s="4">
        <v>46500</v>
      </c>
      <c r="S630" s="5">
        <v>1</v>
      </c>
      <c r="T630" s="4">
        <v>930000</v>
      </c>
      <c r="U630" s="5">
        <v>0</v>
      </c>
      <c r="V630" s="4">
        <v>0</v>
      </c>
      <c r="W630" s="5">
        <v>0</v>
      </c>
      <c r="X630" s="4">
        <v>0</v>
      </c>
      <c r="Y630" s="4">
        <f t="shared" si="18"/>
        <v>930000</v>
      </c>
      <c r="Z630" s="6" t="s">
        <v>0</v>
      </c>
      <c r="AA630" t="s">
        <v>2</v>
      </c>
      <c r="AB630" t="s">
        <v>12</v>
      </c>
      <c r="AC630">
        <f>_xlfn.XLOOKUP(AB630,'[1]GST Codes'!$A:$A,'[1]GST Codes'!$C:$C,0,0)</f>
        <v>18</v>
      </c>
      <c r="AD630">
        <f t="shared" si="19"/>
        <v>1097400</v>
      </c>
      <c r="AE630" t="s">
        <v>13</v>
      </c>
      <c r="AF630" t="s">
        <v>0</v>
      </c>
      <c r="AG630" t="s">
        <v>14</v>
      </c>
      <c r="AH630" t="s">
        <v>15</v>
      </c>
      <c r="AI630" t="s">
        <v>85</v>
      </c>
      <c r="AJ630" t="s">
        <v>17</v>
      </c>
      <c r="AK630" t="s">
        <v>18</v>
      </c>
      <c r="AL630" t="s">
        <v>19</v>
      </c>
      <c r="AM630" t="s">
        <v>363</v>
      </c>
      <c r="AN630" t="s">
        <v>0</v>
      </c>
      <c r="AO630" t="s">
        <v>0</v>
      </c>
      <c r="AP630" t="s">
        <v>0</v>
      </c>
      <c r="AQ630" s="5">
        <v>20</v>
      </c>
      <c r="AR630" t="s">
        <v>11</v>
      </c>
      <c r="AS630" t="s">
        <v>0</v>
      </c>
      <c r="AT630" t="s">
        <v>17</v>
      </c>
      <c r="AU630" s="4">
        <v>0</v>
      </c>
      <c r="AV630" s="4">
        <v>0</v>
      </c>
      <c r="AW630" s="4">
        <v>0</v>
      </c>
      <c r="AX630" s="4">
        <v>0</v>
      </c>
      <c r="AY630" s="5">
        <v>0</v>
      </c>
      <c r="AZ630" s="5">
        <v>0</v>
      </c>
      <c r="BA630" s="5">
        <v>0</v>
      </c>
      <c r="BB630" s="2"/>
      <c r="BC630" t="s">
        <v>0</v>
      </c>
      <c r="BD630" s="5">
        <v>1</v>
      </c>
      <c r="BE630" t="s">
        <v>0</v>
      </c>
      <c r="BF630" t="s">
        <v>368</v>
      </c>
      <c r="BG630" t="s">
        <v>17</v>
      </c>
      <c r="BH630" t="s">
        <v>0</v>
      </c>
      <c r="BI630" t="s">
        <v>11</v>
      </c>
      <c r="BJ630" t="s">
        <v>0</v>
      </c>
      <c r="BK630" t="s">
        <v>0</v>
      </c>
      <c r="BL630" s="5">
        <v>0</v>
      </c>
      <c r="BM630" t="s">
        <v>0</v>
      </c>
      <c r="BN630" t="s">
        <v>0</v>
      </c>
      <c r="BO630" t="s">
        <v>0</v>
      </c>
      <c r="BP630" t="s">
        <v>17</v>
      </c>
      <c r="BQ630" t="s">
        <v>0</v>
      </c>
      <c r="BR630" t="s">
        <v>17</v>
      </c>
      <c r="BS630" t="s">
        <v>17</v>
      </c>
      <c r="BT630" t="s">
        <v>0</v>
      </c>
      <c r="BU630" t="s">
        <v>0</v>
      </c>
      <c r="BV630" t="s">
        <v>0</v>
      </c>
      <c r="BW630" t="s">
        <v>0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</row>
    <row r="631" spans="1:80" ht="13.95" customHeight="1" x14ac:dyDescent="0.25">
      <c r="A631" t="s">
        <v>378</v>
      </c>
      <c r="B631" s="2">
        <v>45939</v>
      </c>
      <c r="C631" s="2">
        <v>45939</v>
      </c>
      <c r="D631" s="2">
        <v>45969</v>
      </c>
      <c r="E631" t="s">
        <v>2</v>
      </c>
      <c r="F631" t="s">
        <v>3</v>
      </c>
      <c r="G631" t="s">
        <v>0</v>
      </c>
      <c r="H631" t="s">
        <v>4</v>
      </c>
      <c r="I631" t="s">
        <v>363</v>
      </c>
      <c r="J631" t="s">
        <v>6</v>
      </c>
      <c r="K631" t="s">
        <v>88</v>
      </c>
      <c r="L631" t="s">
        <v>39</v>
      </c>
      <c r="M631" t="s">
        <v>40</v>
      </c>
      <c r="N631" t="s">
        <v>10</v>
      </c>
      <c r="O631" t="s">
        <v>0</v>
      </c>
      <c r="P631" t="s">
        <v>11</v>
      </c>
      <c r="Q631" s="5">
        <v>20</v>
      </c>
      <c r="R631" s="4">
        <v>46500</v>
      </c>
      <c r="S631" s="5">
        <v>1</v>
      </c>
      <c r="T631" s="4">
        <v>930000</v>
      </c>
      <c r="U631" s="3">
        <v>12.787000000000001</v>
      </c>
      <c r="V631" s="4">
        <v>594595.5</v>
      </c>
      <c r="W631" s="3">
        <v>12.787000000000001</v>
      </c>
      <c r="X631" s="4">
        <v>594595.5</v>
      </c>
      <c r="Y631" s="4">
        <f t="shared" si="18"/>
        <v>335404.5</v>
      </c>
      <c r="Z631" s="6" t="s">
        <v>0</v>
      </c>
      <c r="AA631" t="s">
        <v>2</v>
      </c>
      <c r="AB631" t="s">
        <v>12</v>
      </c>
      <c r="AC631">
        <f>_xlfn.XLOOKUP(AB631,'[1]GST Codes'!$A:$A,'[1]GST Codes'!$C:$C,0,0)</f>
        <v>18</v>
      </c>
      <c r="AD631">
        <f t="shared" si="19"/>
        <v>395777.31</v>
      </c>
      <c r="AE631" t="s">
        <v>13</v>
      </c>
      <c r="AF631" t="s">
        <v>0</v>
      </c>
      <c r="AG631" t="s">
        <v>14</v>
      </c>
      <c r="AH631" t="s">
        <v>15</v>
      </c>
      <c r="AI631" t="s">
        <v>85</v>
      </c>
      <c r="AJ631" t="s">
        <v>17</v>
      </c>
      <c r="AK631" t="s">
        <v>18</v>
      </c>
      <c r="AL631" t="s">
        <v>19</v>
      </c>
      <c r="AM631" t="s">
        <v>363</v>
      </c>
      <c r="AN631" t="s">
        <v>0</v>
      </c>
      <c r="AO631" t="s">
        <v>0</v>
      </c>
      <c r="AP631" t="s">
        <v>0</v>
      </c>
      <c r="AQ631" s="5">
        <v>20</v>
      </c>
      <c r="AR631" t="s">
        <v>11</v>
      </c>
      <c r="AS631" t="s">
        <v>0</v>
      </c>
      <c r="AT631" t="s">
        <v>17</v>
      </c>
      <c r="AU631" s="4">
        <v>0</v>
      </c>
      <c r="AV631" s="4">
        <v>0</v>
      </c>
      <c r="AW631" s="4">
        <v>0</v>
      </c>
      <c r="AX631" s="4">
        <v>0</v>
      </c>
      <c r="AY631" s="5">
        <v>0</v>
      </c>
      <c r="AZ631" s="5">
        <v>0</v>
      </c>
      <c r="BA631" s="5">
        <v>0</v>
      </c>
      <c r="BB631" s="2"/>
      <c r="BC631" t="s">
        <v>0</v>
      </c>
      <c r="BD631" s="5">
        <v>1</v>
      </c>
      <c r="BE631" t="s">
        <v>0</v>
      </c>
      <c r="BF631" t="s">
        <v>368</v>
      </c>
      <c r="BG631" t="s">
        <v>17</v>
      </c>
      <c r="BH631" t="s">
        <v>0</v>
      </c>
      <c r="BI631" t="s">
        <v>11</v>
      </c>
      <c r="BJ631" t="s">
        <v>0</v>
      </c>
      <c r="BK631" t="s">
        <v>0</v>
      </c>
      <c r="BL631" s="5">
        <v>0</v>
      </c>
      <c r="BM631" t="s">
        <v>0</v>
      </c>
      <c r="BN631" t="s">
        <v>0</v>
      </c>
      <c r="BO631" t="s">
        <v>0</v>
      </c>
      <c r="BP631" t="s">
        <v>17</v>
      </c>
      <c r="BQ631" t="s">
        <v>0</v>
      </c>
      <c r="BR631" t="s">
        <v>17</v>
      </c>
      <c r="BS631" t="s">
        <v>17</v>
      </c>
      <c r="BT631" t="s">
        <v>0</v>
      </c>
      <c r="BU631" t="s">
        <v>0</v>
      </c>
      <c r="BV631" t="s">
        <v>0</v>
      </c>
      <c r="BW631" t="s">
        <v>0</v>
      </c>
      <c r="BX631" t="s">
        <v>0</v>
      </c>
      <c r="BY631" t="s">
        <v>0</v>
      </c>
      <c r="BZ631" t="s">
        <v>0</v>
      </c>
      <c r="CA631" t="s">
        <v>0</v>
      </c>
      <c r="CB631" t="s">
        <v>0</v>
      </c>
    </row>
    <row r="632" spans="1:80" ht="13.95" customHeight="1" x14ac:dyDescent="0.25">
      <c r="A632" t="s">
        <v>378</v>
      </c>
      <c r="B632" s="2">
        <v>45939</v>
      </c>
      <c r="C632" s="2">
        <v>45939</v>
      </c>
      <c r="D632" s="2">
        <v>45969</v>
      </c>
      <c r="E632" t="s">
        <v>2</v>
      </c>
      <c r="F632" t="s">
        <v>3</v>
      </c>
      <c r="G632" t="s">
        <v>0</v>
      </c>
      <c r="H632" t="s">
        <v>4</v>
      </c>
      <c r="I632" t="s">
        <v>363</v>
      </c>
      <c r="J632" t="s">
        <v>6</v>
      </c>
      <c r="K632" t="s">
        <v>89</v>
      </c>
      <c r="L632" t="s">
        <v>39</v>
      </c>
      <c r="M632" t="s">
        <v>40</v>
      </c>
      <c r="N632" t="s">
        <v>10</v>
      </c>
      <c r="O632" t="s">
        <v>0</v>
      </c>
      <c r="P632" t="s">
        <v>11</v>
      </c>
      <c r="Q632" s="5">
        <v>20</v>
      </c>
      <c r="R632" s="4">
        <v>46500</v>
      </c>
      <c r="S632" s="5">
        <v>1</v>
      </c>
      <c r="T632" s="4">
        <v>930000</v>
      </c>
      <c r="U632" s="5">
        <v>0</v>
      </c>
      <c r="V632" s="4">
        <v>0</v>
      </c>
      <c r="W632" s="5">
        <v>0</v>
      </c>
      <c r="X632" s="4">
        <v>0</v>
      </c>
      <c r="Y632" s="4">
        <f t="shared" si="18"/>
        <v>930000</v>
      </c>
      <c r="Z632" s="6" t="s">
        <v>0</v>
      </c>
      <c r="AA632" t="s">
        <v>2</v>
      </c>
      <c r="AB632" t="s">
        <v>12</v>
      </c>
      <c r="AC632">
        <f>_xlfn.XLOOKUP(AB632,'[1]GST Codes'!$A:$A,'[1]GST Codes'!$C:$C,0,0)</f>
        <v>18</v>
      </c>
      <c r="AD632">
        <f t="shared" si="19"/>
        <v>1097400</v>
      </c>
      <c r="AE632" t="s">
        <v>13</v>
      </c>
      <c r="AF632" t="s">
        <v>0</v>
      </c>
      <c r="AG632" t="s">
        <v>14</v>
      </c>
      <c r="AH632" t="s">
        <v>15</v>
      </c>
      <c r="AI632" t="s">
        <v>85</v>
      </c>
      <c r="AJ632" t="s">
        <v>17</v>
      </c>
      <c r="AK632" t="s">
        <v>18</v>
      </c>
      <c r="AL632" t="s">
        <v>19</v>
      </c>
      <c r="AM632" t="s">
        <v>363</v>
      </c>
      <c r="AN632" t="s">
        <v>0</v>
      </c>
      <c r="AO632" t="s">
        <v>0</v>
      </c>
      <c r="AP632" t="s">
        <v>0</v>
      </c>
      <c r="AQ632" s="5">
        <v>20</v>
      </c>
      <c r="AR632" t="s">
        <v>11</v>
      </c>
      <c r="AS632" t="s">
        <v>0</v>
      </c>
      <c r="AT632" t="s">
        <v>17</v>
      </c>
      <c r="AU632" s="4">
        <v>0</v>
      </c>
      <c r="AV632" s="4">
        <v>0</v>
      </c>
      <c r="AW632" s="4">
        <v>0</v>
      </c>
      <c r="AX632" s="4">
        <v>0</v>
      </c>
      <c r="AY632" s="5">
        <v>0</v>
      </c>
      <c r="AZ632" s="5">
        <v>0</v>
      </c>
      <c r="BA632" s="5">
        <v>0</v>
      </c>
      <c r="BB632" s="2"/>
      <c r="BC632" t="s">
        <v>0</v>
      </c>
      <c r="BD632" s="5">
        <v>1</v>
      </c>
      <c r="BE632" t="s">
        <v>0</v>
      </c>
      <c r="BF632" t="s">
        <v>368</v>
      </c>
      <c r="BG632" t="s">
        <v>17</v>
      </c>
      <c r="BH632" t="s">
        <v>0</v>
      </c>
      <c r="BI632" t="s">
        <v>11</v>
      </c>
      <c r="BJ632" t="s">
        <v>0</v>
      </c>
      <c r="BK632" t="s">
        <v>0</v>
      </c>
      <c r="BL632" s="5">
        <v>0</v>
      </c>
      <c r="BM632" t="s">
        <v>0</v>
      </c>
      <c r="BN632" t="s">
        <v>0</v>
      </c>
      <c r="BO632" t="s">
        <v>0</v>
      </c>
      <c r="BP632" t="s">
        <v>17</v>
      </c>
      <c r="BQ632" t="s">
        <v>0</v>
      </c>
      <c r="BR632" t="s">
        <v>17</v>
      </c>
      <c r="BS632" t="s">
        <v>17</v>
      </c>
      <c r="BT632" t="s">
        <v>0</v>
      </c>
      <c r="BU632" t="s">
        <v>0</v>
      </c>
      <c r="BV632" t="s">
        <v>0</v>
      </c>
      <c r="BW632" t="s">
        <v>0</v>
      </c>
      <c r="BX632" t="s">
        <v>0</v>
      </c>
      <c r="BY632" t="s">
        <v>0</v>
      </c>
      <c r="BZ632" t="s">
        <v>0</v>
      </c>
      <c r="CA632" t="s">
        <v>0</v>
      </c>
      <c r="CB632" t="s">
        <v>0</v>
      </c>
    </row>
    <row r="633" spans="1:80" ht="13.95" customHeight="1" x14ac:dyDescent="0.25">
      <c r="A633" t="s">
        <v>378</v>
      </c>
      <c r="B633" s="2">
        <v>45939</v>
      </c>
      <c r="C633" s="2">
        <v>45939</v>
      </c>
      <c r="D633" s="2">
        <v>45969</v>
      </c>
      <c r="E633" t="s">
        <v>2</v>
      </c>
      <c r="F633" t="s">
        <v>3</v>
      </c>
      <c r="G633" t="s">
        <v>0</v>
      </c>
      <c r="H633" t="s">
        <v>4</v>
      </c>
      <c r="I633" t="s">
        <v>363</v>
      </c>
      <c r="J633" t="s">
        <v>6</v>
      </c>
      <c r="K633" t="s">
        <v>90</v>
      </c>
      <c r="L633" t="s">
        <v>39</v>
      </c>
      <c r="M633" t="s">
        <v>40</v>
      </c>
      <c r="N633" t="s">
        <v>10</v>
      </c>
      <c r="O633" t="s">
        <v>0</v>
      </c>
      <c r="P633" t="s">
        <v>11</v>
      </c>
      <c r="Q633" s="5">
        <v>20</v>
      </c>
      <c r="R633" s="4">
        <v>46500</v>
      </c>
      <c r="S633" s="5">
        <v>1</v>
      </c>
      <c r="T633" s="4">
        <v>930000</v>
      </c>
      <c r="U633" s="5">
        <v>0</v>
      </c>
      <c r="V633" s="4">
        <v>0</v>
      </c>
      <c r="W633" s="5">
        <v>0</v>
      </c>
      <c r="X633" s="4">
        <v>0</v>
      </c>
      <c r="Y633" s="4">
        <f t="shared" si="18"/>
        <v>930000</v>
      </c>
      <c r="Z633" s="6" t="s">
        <v>0</v>
      </c>
      <c r="AA633" t="s">
        <v>2</v>
      </c>
      <c r="AB633" t="s">
        <v>12</v>
      </c>
      <c r="AC633">
        <f>_xlfn.XLOOKUP(AB633,'[1]GST Codes'!$A:$A,'[1]GST Codes'!$C:$C,0,0)</f>
        <v>18</v>
      </c>
      <c r="AD633">
        <f t="shared" si="19"/>
        <v>1097400</v>
      </c>
      <c r="AE633" t="s">
        <v>13</v>
      </c>
      <c r="AF633" t="s">
        <v>0</v>
      </c>
      <c r="AG633" t="s">
        <v>14</v>
      </c>
      <c r="AH633" t="s">
        <v>15</v>
      </c>
      <c r="AI633" t="s">
        <v>85</v>
      </c>
      <c r="AJ633" t="s">
        <v>17</v>
      </c>
      <c r="AK633" t="s">
        <v>18</v>
      </c>
      <c r="AL633" t="s">
        <v>19</v>
      </c>
      <c r="AM633" t="s">
        <v>363</v>
      </c>
      <c r="AN633" t="s">
        <v>0</v>
      </c>
      <c r="AO633" t="s">
        <v>0</v>
      </c>
      <c r="AP633" t="s">
        <v>0</v>
      </c>
      <c r="AQ633" s="5">
        <v>20</v>
      </c>
      <c r="AR633" t="s">
        <v>11</v>
      </c>
      <c r="AS633" t="s">
        <v>0</v>
      </c>
      <c r="AT633" t="s">
        <v>17</v>
      </c>
      <c r="AU633" s="4">
        <v>0</v>
      </c>
      <c r="AV633" s="4">
        <v>0</v>
      </c>
      <c r="AW633" s="4">
        <v>0</v>
      </c>
      <c r="AX633" s="4">
        <v>0</v>
      </c>
      <c r="AY633" s="5">
        <v>0</v>
      </c>
      <c r="AZ633" s="5">
        <v>0</v>
      </c>
      <c r="BA633" s="5">
        <v>0</v>
      </c>
      <c r="BB633" s="2"/>
      <c r="BC633" t="s">
        <v>0</v>
      </c>
      <c r="BD633" s="5">
        <v>1</v>
      </c>
      <c r="BE633" t="s">
        <v>0</v>
      </c>
      <c r="BF633" t="s">
        <v>368</v>
      </c>
      <c r="BG633" t="s">
        <v>17</v>
      </c>
      <c r="BH633" t="s">
        <v>0</v>
      </c>
      <c r="BI633" t="s">
        <v>11</v>
      </c>
      <c r="BJ633" t="s">
        <v>0</v>
      </c>
      <c r="BK633" t="s">
        <v>0</v>
      </c>
      <c r="BL633" s="5">
        <v>0</v>
      </c>
      <c r="BM633" t="s">
        <v>0</v>
      </c>
      <c r="BN633" t="s">
        <v>0</v>
      </c>
      <c r="BO633" t="s">
        <v>0</v>
      </c>
      <c r="BP633" t="s">
        <v>17</v>
      </c>
      <c r="BQ633" t="s">
        <v>0</v>
      </c>
      <c r="BR633" t="s">
        <v>17</v>
      </c>
      <c r="BS633" t="s">
        <v>17</v>
      </c>
      <c r="BT633" t="s">
        <v>0</v>
      </c>
      <c r="BU633" t="s">
        <v>0</v>
      </c>
      <c r="BV633" t="s">
        <v>0</v>
      </c>
      <c r="BW633" t="s">
        <v>0</v>
      </c>
      <c r="BX633" t="s">
        <v>0</v>
      </c>
      <c r="BY633" t="s">
        <v>0</v>
      </c>
      <c r="BZ633" t="s">
        <v>0</v>
      </c>
      <c r="CA633" t="s">
        <v>0</v>
      </c>
      <c r="CB633" t="s">
        <v>0</v>
      </c>
    </row>
    <row r="634" spans="1:80" ht="13.95" customHeight="1" x14ac:dyDescent="0.25">
      <c r="A634" t="s">
        <v>378</v>
      </c>
      <c r="B634" s="2">
        <v>45939</v>
      </c>
      <c r="C634" s="2">
        <v>45939</v>
      </c>
      <c r="D634" s="2">
        <v>45969</v>
      </c>
      <c r="E634" t="s">
        <v>2</v>
      </c>
      <c r="F634" t="s">
        <v>3</v>
      </c>
      <c r="G634" t="s">
        <v>0</v>
      </c>
      <c r="H634" t="s">
        <v>4</v>
      </c>
      <c r="I634" t="s">
        <v>363</v>
      </c>
      <c r="J634" t="s">
        <v>6</v>
      </c>
      <c r="K634" t="s">
        <v>177</v>
      </c>
      <c r="L634" t="s">
        <v>43</v>
      </c>
      <c r="M634" t="s">
        <v>44</v>
      </c>
      <c r="N634" t="s">
        <v>10</v>
      </c>
      <c r="O634" t="s">
        <v>0</v>
      </c>
      <c r="P634" t="s">
        <v>11</v>
      </c>
      <c r="Q634" s="5">
        <v>20</v>
      </c>
      <c r="R634" s="4">
        <v>46500</v>
      </c>
      <c r="S634" s="5">
        <v>1</v>
      </c>
      <c r="T634" s="4">
        <v>930000</v>
      </c>
      <c r="U634" s="5">
        <v>0</v>
      </c>
      <c r="V634" s="4">
        <v>0</v>
      </c>
      <c r="W634" s="5">
        <v>0</v>
      </c>
      <c r="X634" s="4">
        <v>0</v>
      </c>
      <c r="Y634" s="4">
        <f t="shared" si="18"/>
        <v>930000</v>
      </c>
      <c r="Z634" s="6" t="s">
        <v>0</v>
      </c>
      <c r="AA634" t="s">
        <v>2</v>
      </c>
      <c r="AB634" t="s">
        <v>12</v>
      </c>
      <c r="AC634">
        <f>_xlfn.XLOOKUP(AB634,'[1]GST Codes'!$A:$A,'[1]GST Codes'!$C:$C,0,0)</f>
        <v>18</v>
      </c>
      <c r="AD634">
        <f t="shared" si="19"/>
        <v>1097400</v>
      </c>
      <c r="AE634" t="s">
        <v>13</v>
      </c>
      <c r="AF634" t="s">
        <v>0</v>
      </c>
      <c r="AG634" t="s">
        <v>14</v>
      </c>
      <c r="AH634" t="s">
        <v>15</v>
      </c>
      <c r="AI634" t="s">
        <v>85</v>
      </c>
      <c r="AJ634" t="s">
        <v>17</v>
      </c>
      <c r="AK634" t="s">
        <v>18</v>
      </c>
      <c r="AL634" t="s">
        <v>19</v>
      </c>
      <c r="AM634" t="s">
        <v>363</v>
      </c>
      <c r="AN634" t="s">
        <v>0</v>
      </c>
      <c r="AO634" t="s">
        <v>0</v>
      </c>
      <c r="AP634" t="s">
        <v>0</v>
      </c>
      <c r="AQ634" s="5">
        <v>20</v>
      </c>
      <c r="AR634" t="s">
        <v>11</v>
      </c>
      <c r="AS634" t="s">
        <v>0</v>
      </c>
      <c r="AT634" t="s">
        <v>17</v>
      </c>
      <c r="AU634" s="4">
        <v>0</v>
      </c>
      <c r="AV634" s="4">
        <v>0</v>
      </c>
      <c r="AW634" s="4">
        <v>0</v>
      </c>
      <c r="AX634" s="4">
        <v>0</v>
      </c>
      <c r="AY634" s="5">
        <v>0</v>
      </c>
      <c r="AZ634" s="5">
        <v>0</v>
      </c>
      <c r="BA634" s="5">
        <v>0</v>
      </c>
      <c r="BB634" s="2"/>
      <c r="BC634" t="s">
        <v>0</v>
      </c>
      <c r="BD634" s="5">
        <v>1</v>
      </c>
      <c r="BE634" t="s">
        <v>0</v>
      </c>
      <c r="BF634" t="s">
        <v>364</v>
      </c>
      <c r="BG634" t="s">
        <v>17</v>
      </c>
      <c r="BH634" t="s">
        <v>0</v>
      </c>
      <c r="BI634" t="s">
        <v>11</v>
      </c>
      <c r="BJ634" t="s">
        <v>0</v>
      </c>
      <c r="BK634" t="s">
        <v>0</v>
      </c>
      <c r="BL634" s="5">
        <v>0</v>
      </c>
      <c r="BM634" t="s">
        <v>0</v>
      </c>
      <c r="BN634" t="s">
        <v>0</v>
      </c>
      <c r="BO634" t="s">
        <v>0</v>
      </c>
      <c r="BP634" t="s">
        <v>17</v>
      </c>
      <c r="BQ634" t="s">
        <v>0</v>
      </c>
      <c r="BR634" t="s">
        <v>17</v>
      </c>
      <c r="BS634" t="s">
        <v>17</v>
      </c>
      <c r="BT634" t="s">
        <v>0</v>
      </c>
      <c r="BU634" t="s">
        <v>0</v>
      </c>
      <c r="BV634" t="s">
        <v>0</v>
      </c>
      <c r="BW634" t="s">
        <v>0</v>
      </c>
      <c r="BX634" t="s">
        <v>0</v>
      </c>
      <c r="BY634" t="s">
        <v>0</v>
      </c>
      <c r="BZ634" t="s">
        <v>0</v>
      </c>
      <c r="CA634" t="s">
        <v>0</v>
      </c>
      <c r="CB634" t="s">
        <v>0</v>
      </c>
    </row>
    <row r="635" spans="1:80" ht="13.95" customHeight="1" x14ac:dyDescent="0.25">
      <c r="A635" t="s">
        <v>378</v>
      </c>
      <c r="B635" s="2">
        <v>45939</v>
      </c>
      <c r="C635" s="2">
        <v>45939</v>
      </c>
      <c r="D635" s="2">
        <v>45969</v>
      </c>
      <c r="E635" t="s">
        <v>2</v>
      </c>
      <c r="F635" t="s">
        <v>3</v>
      </c>
      <c r="G635" t="s">
        <v>0</v>
      </c>
      <c r="H635" t="s">
        <v>4</v>
      </c>
      <c r="I635" t="s">
        <v>363</v>
      </c>
      <c r="J635" t="s">
        <v>6</v>
      </c>
      <c r="K635" t="s">
        <v>181</v>
      </c>
      <c r="L635" t="s">
        <v>43</v>
      </c>
      <c r="M635" t="s">
        <v>44</v>
      </c>
      <c r="N635" t="s">
        <v>10</v>
      </c>
      <c r="O635" t="s">
        <v>0</v>
      </c>
      <c r="P635" t="s">
        <v>11</v>
      </c>
      <c r="Q635" s="5">
        <v>20</v>
      </c>
      <c r="R635" s="4">
        <v>46500</v>
      </c>
      <c r="S635" s="5">
        <v>1</v>
      </c>
      <c r="T635" s="4">
        <v>930000</v>
      </c>
      <c r="U635" s="5">
        <v>0</v>
      </c>
      <c r="V635" s="4">
        <v>0</v>
      </c>
      <c r="W635" s="5">
        <v>0</v>
      </c>
      <c r="X635" s="4">
        <v>0</v>
      </c>
      <c r="Y635" s="4">
        <f t="shared" si="18"/>
        <v>930000</v>
      </c>
      <c r="Z635" s="6" t="s">
        <v>0</v>
      </c>
      <c r="AA635" t="s">
        <v>2</v>
      </c>
      <c r="AB635" t="s">
        <v>12</v>
      </c>
      <c r="AC635">
        <f>_xlfn.XLOOKUP(AB635,'[1]GST Codes'!$A:$A,'[1]GST Codes'!$C:$C,0,0)</f>
        <v>18</v>
      </c>
      <c r="AD635">
        <f t="shared" si="19"/>
        <v>1097400</v>
      </c>
      <c r="AE635" t="s">
        <v>13</v>
      </c>
      <c r="AF635" t="s">
        <v>0</v>
      </c>
      <c r="AG635" t="s">
        <v>14</v>
      </c>
      <c r="AH635" t="s">
        <v>15</v>
      </c>
      <c r="AI635" t="s">
        <v>85</v>
      </c>
      <c r="AJ635" t="s">
        <v>17</v>
      </c>
      <c r="AK635" t="s">
        <v>18</v>
      </c>
      <c r="AL635" t="s">
        <v>19</v>
      </c>
      <c r="AM635" t="s">
        <v>363</v>
      </c>
      <c r="AN635" t="s">
        <v>0</v>
      </c>
      <c r="AO635" t="s">
        <v>0</v>
      </c>
      <c r="AP635" t="s">
        <v>0</v>
      </c>
      <c r="AQ635" s="5">
        <v>20</v>
      </c>
      <c r="AR635" t="s">
        <v>11</v>
      </c>
      <c r="AS635" t="s">
        <v>0</v>
      </c>
      <c r="AT635" t="s">
        <v>17</v>
      </c>
      <c r="AU635" s="4">
        <v>0</v>
      </c>
      <c r="AV635" s="4">
        <v>0</v>
      </c>
      <c r="AW635" s="4">
        <v>0</v>
      </c>
      <c r="AX635" s="4">
        <v>0</v>
      </c>
      <c r="AY635" s="5">
        <v>0</v>
      </c>
      <c r="AZ635" s="5">
        <v>0</v>
      </c>
      <c r="BA635" s="5">
        <v>0</v>
      </c>
      <c r="BB635" s="2"/>
      <c r="BC635" t="s">
        <v>0</v>
      </c>
      <c r="BD635" s="5">
        <v>1</v>
      </c>
      <c r="BE635" t="s">
        <v>0</v>
      </c>
      <c r="BF635" t="s">
        <v>364</v>
      </c>
      <c r="BG635" t="s">
        <v>17</v>
      </c>
      <c r="BH635" t="s">
        <v>0</v>
      </c>
      <c r="BI635" t="s">
        <v>11</v>
      </c>
      <c r="BJ635" t="s">
        <v>0</v>
      </c>
      <c r="BK635" t="s">
        <v>0</v>
      </c>
      <c r="BL635" s="5">
        <v>0</v>
      </c>
      <c r="BM635" t="s">
        <v>0</v>
      </c>
      <c r="BN635" t="s">
        <v>0</v>
      </c>
      <c r="BO635" t="s">
        <v>0</v>
      </c>
      <c r="BP635" t="s">
        <v>17</v>
      </c>
      <c r="BQ635" t="s">
        <v>0</v>
      </c>
      <c r="BR635" t="s">
        <v>17</v>
      </c>
      <c r="BS635" t="s">
        <v>17</v>
      </c>
      <c r="BT635" t="s">
        <v>0</v>
      </c>
      <c r="BU635" t="s">
        <v>0</v>
      </c>
      <c r="BV635" t="s">
        <v>0</v>
      </c>
      <c r="BW635" t="s">
        <v>0</v>
      </c>
      <c r="BX635" t="s">
        <v>0</v>
      </c>
      <c r="BY635" t="s">
        <v>0</v>
      </c>
      <c r="BZ635" t="s">
        <v>0</v>
      </c>
      <c r="CA635" t="s">
        <v>0</v>
      </c>
      <c r="CB635" t="s">
        <v>0</v>
      </c>
    </row>
    <row r="636" spans="1:80" ht="13.95" customHeight="1" x14ac:dyDescent="0.25">
      <c r="A636" t="s">
        <v>378</v>
      </c>
      <c r="B636" s="2">
        <v>45939</v>
      </c>
      <c r="C636" s="2">
        <v>45939</v>
      </c>
      <c r="D636" s="2">
        <v>45969</v>
      </c>
      <c r="E636" t="s">
        <v>2</v>
      </c>
      <c r="F636" t="s">
        <v>3</v>
      </c>
      <c r="G636" t="s">
        <v>0</v>
      </c>
      <c r="H636" t="s">
        <v>4</v>
      </c>
      <c r="I636" t="s">
        <v>363</v>
      </c>
      <c r="J636" t="s">
        <v>6</v>
      </c>
      <c r="K636" t="s">
        <v>185</v>
      </c>
      <c r="L636" t="s">
        <v>43</v>
      </c>
      <c r="M636" t="s">
        <v>44</v>
      </c>
      <c r="N636" t="s">
        <v>10</v>
      </c>
      <c r="O636" t="s">
        <v>0</v>
      </c>
      <c r="P636" t="s">
        <v>11</v>
      </c>
      <c r="Q636" s="5">
        <v>20</v>
      </c>
      <c r="R636" s="4">
        <v>46500</v>
      </c>
      <c r="S636" s="5">
        <v>1</v>
      </c>
      <c r="T636" s="4">
        <v>930000</v>
      </c>
      <c r="U636" s="5">
        <v>0</v>
      </c>
      <c r="V636" s="4">
        <v>0</v>
      </c>
      <c r="W636" s="5">
        <v>0</v>
      </c>
      <c r="X636" s="4">
        <v>0</v>
      </c>
      <c r="Y636" s="4">
        <f t="shared" si="18"/>
        <v>930000</v>
      </c>
      <c r="Z636" s="6" t="s">
        <v>0</v>
      </c>
      <c r="AA636" t="s">
        <v>2</v>
      </c>
      <c r="AB636" t="s">
        <v>12</v>
      </c>
      <c r="AC636">
        <f>_xlfn.XLOOKUP(AB636,'[1]GST Codes'!$A:$A,'[1]GST Codes'!$C:$C,0,0)</f>
        <v>18</v>
      </c>
      <c r="AD636">
        <f t="shared" si="19"/>
        <v>1097400</v>
      </c>
      <c r="AE636" t="s">
        <v>13</v>
      </c>
      <c r="AF636" t="s">
        <v>0</v>
      </c>
      <c r="AG636" t="s">
        <v>14</v>
      </c>
      <c r="AH636" t="s">
        <v>15</v>
      </c>
      <c r="AI636" t="s">
        <v>85</v>
      </c>
      <c r="AJ636" t="s">
        <v>17</v>
      </c>
      <c r="AK636" t="s">
        <v>18</v>
      </c>
      <c r="AL636" t="s">
        <v>19</v>
      </c>
      <c r="AM636" t="s">
        <v>363</v>
      </c>
      <c r="AN636" t="s">
        <v>0</v>
      </c>
      <c r="AO636" t="s">
        <v>0</v>
      </c>
      <c r="AP636" t="s">
        <v>0</v>
      </c>
      <c r="AQ636" s="5">
        <v>20</v>
      </c>
      <c r="AR636" t="s">
        <v>11</v>
      </c>
      <c r="AS636" t="s">
        <v>0</v>
      </c>
      <c r="AT636" t="s">
        <v>17</v>
      </c>
      <c r="AU636" s="4">
        <v>0</v>
      </c>
      <c r="AV636" s="4">
        <v>0</v>
      </c>
      <c r="AW636" s="4">
        <v>0</v>
      </c>
      <c r="AX636" s="4">
        <v>0</v>
      </c>
      <c r="AY636" s="5">
        <v>0</v>
      </c>
      <c r="AZ636" s="5">
        <v>0</v>
      </c>
      <c r="BA636" s="5">
        <v>0</v>
      </c>
      <c r="BB636" s="2"/>
      <c r="BC636" t="s">
        <v>0</v>
      </c>
      <c r="BD636" s="5">
        <v>1</v>
      </c>
      <c r="BE636" t="s">
        <v>0</v>
      </c>
      <c r="BF636" t="s">
        <v>364</v>
      </c>
      <c r="BG636" t="s">
        <v>17</v>
      </c>
      <c r="BH636" t="s">
        <v>0</v>
      </c>
      <c r="BI636" t="s">
        <v>11</v>
      </c>
      <c r="BJ636" t="s">
        <v>0</v>
      </c>
      <c r="BK636" t="s">
        <v>0</v>
      </c>
      <c r="BL636" s="5">
        <v>0</v>
      </c>
      <c r="BM636" t="s">
        <v>0</v>
      </c>
      <c r="BN636" t="s">
        <v>0</v>
      </c>
      <c r="BO636" t="s">
        <v>0</v>
      </c>
      <c r="BP636" t="s">
        <v>17</v>
      </c>
      <c r="BQ636" t="s">
        <v>0</v>
      </c>
      <c r="BR636" t="s">
        <v>17</v>
      </c>
      <c r="BS636" t="s">
        <v>17</v>
      </c>
      <c r="BT636" t="s">
        <v>0</v>
      </c>
      <c r="BU636" t="s">
        <v>0</v>
      </c>
      <c r="BV636" t="s">
        <v>0</v>
      </c>
      <c r="BW636" t="s">
        <v>0</v>
      </c>
      <c r="BX636" t="s">
        <v>0</v>
      </c>
      <c r="BY636" t="s">
        <v>0</v>
      </c>
      <c r="BZ636" t="s">
        <v>0</v>
      </c>
      <c r="CA636" t="s">
        <v>0</v>
      </c>
      <c r="CB636" t="s">
        <v>0</v>
      </c>
    </row>
    <row r="637" spans="1:80" ht="13.95" customHeight="1" x14ac:dyDescent="0.25">
      <c r="A637" t="s">
        <v>378</v>
      </c>
      <c r="B637" s="2">
        <v>45939</v>
      </c>
      <c r="C637" s="2">
        <v>45939</v>
      </c>
      <c r="D637" s="2">
        <v>45969</v>
      </c>
      <c r="E637" t="s">
        <v>2</v>
      </c>
      <c r="F637" t="s">
        <v>3</v>
      </c>
      <c r="G637" t="s">
        <v>0</v>
      </c>
      <c r="H637" t="s">
        <v>4</v>
      </c>
      <c r="I637" t="s">
        <v>363</v>
      </c>
      <c r="J637" t="s">
        <v>6</v>
      </c>
      <c r="K637" t="s">
        <v>189</v>
      </c>
      <c r="L637" t="s">
        <v>43</v>
      </c>
      <c r="M637" t="s">
        <v>44</v>
      </c>
      <c r="N637" t="s">
        <v>10</v>
      </c>
      <c r="O637" t="s">
        <v>0</v>
      </c>
      <c r="P637" t="s">
        <v>11</v>
      </c>
      <c r="Q637" s="5">
        <v>20</v>
      </c>
      <c r="R637" s="4">
        <v>46500</v>
      </c>
      <c r="S637" s="5">
        <v>1</v>
      </c>
      <c r="T637" s="4">
        <v>930000</v>
      </c>
      <c r="U637" s="5">
        <v>0</v>
      </c>
      <c r="V637" s="4">
        <v>0</v>
      </c>
      <c r="W637" s="5">
        <v>0</v>
      </c>
      <c r="X637" s="4">
        <v>0</v>
      </c>
      <c r="Y637" s="4">
        <f t="shared" si="18"/>
        <v>930000</v>
      </c>
      <c r="Z637" s="6" t="s">
        <v>0</v>
      </c>
      <c r="AA637" t="s">
        <v>2</v>
      </c>
      <c r="AB637" t="s">
        <v>12</v>
      </c>
      <c r="AC637">
        <f>_xlfn.XLOOKUP(AB637,'[1]GST Codes'!$A:$A,'[1]GST Codes'!$C:$C,0,0)</f>
        <v>18</v>
      </c>
      <c r="AD637">
        <f t="shared" si="19"/>
        <v>1097400</v>
      </c>
      <c r="AE637" t="s">
        <v>13</v>
      </c>
      <c r="AF637" t="s">
        <v>0</v>
      </c>
      <c r="AG637" t="s">
        <v>14</v>
      </c>
      <c r="AH637" t="s">
        <v>15</v>
      </c>
      <c r="AI637" t="s">
        <v>85</v>
      </c>
      <c r="AJ637" t="s">
        <v>17</v>
      </c>
      <c r="AK637" t="s">
        <v>18</v>
      </c>
      <c r="AL637" t="s">
        <v>19</v>
      </c>
      <c r="AM637" t="s">
        <v>363</v>
      </c>
      <c r="AN637" t="s">
        <v>0</v>
      </c>
      <c r="AO637" t="s">
        <v>0</v>
      </c>
      <c r="AP637" t="s">
        <v>0</v>
      </c>
      <c r="AQ637" s="5">
        <v>20</v>
      </c>
      <c r="AR637" t="s">
        <v>11</v>
      </c>
      <c r="AS637" t="s">
        <v>0</v>
      </c>
      <c r="AT637" t="s">
        <v>17</v>
      </c>
      <c r="AU637" s="4">
        <v>0</v>
      </c>
      <c r="AV637" s="4">
        <v>0</v>
      </c>
      <c r="AW637" s="4">
        <v>0</v>
      </c>
      <c r="AX637" s="4">
        <v>0</v>
      </c>
      <c r="AY637" s="5">
        <v>0</v>
      </c>
      <c r="AZ637" s="5">
        <v>0</v>
      </c>
      <c r="BA637" s="5">
        <v>0</v>
      </c>
      <c r="BB637" s="2"/>
      <c r="BC637" t="s">
        <v>0</v>
      </c>
      <c r="BD637" s="5">
        <v>1</v>
      </c>
      <c r="BE637" t="s">
        <v>0</v>
      </c>
      <c r="BF637" t="s">
        <v>364</v>
      </c>
      <c r="BG637" t="s">
        <v>17</v>
      </c>
      <c r="BH637" t="s">
        <v>0</v>
      </c>
      <c r="BI637" t="s">
        <v>11</v>
      </c>
      <c r="BJ637" t="s">
        <v>0</v>
      </c>
      <c r="BK637" t="s">
        <v>0</v>
      </c>
      <c r="BL637" s="5">
        <v>0</v>
      </c>
      <c r="BM637" t="s">
        <v>0</v>
      </c>
      <c r="BN637" t="s">
        <v>0</v>
      </c>
      <c r="BO637" t="s">
        <v>0</v>
      </c>
      <c r="BP637" t="s">
        <v>17</v>
      </c>
      <c r="BQ637" t="s">
        <v>0</v>
      </c>
      <c r="BR637" t="s">
        <v>17</v>
      </c>
      <c r="BS637" t="s">
        <v>17</v>
      </c>
      <c r="BT637" t="s">
        <v>0</v>
      </c>
      <c r="BU637" t="s">
        <v>0</v>
      </c>
      <c r="BV637" t="s">
        <v>0</v>
      </c>
      <c r="BW637" t="s">
        <v>0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</row>
    <row r="638" spans="1:80" ht="13.95" customHeight="1" x14ac:dyDescent="0.25">
      <c r="A638" t="s">
        <v>378</v>
      </c>
      <c r="B638" s="2">
        <v>45939</v>
      </c>
      <c r="C638" s="2">
        <v>45939</v>
      </c>
      <c r="D638" s="2">
        <v>45969</v>
      </c>
      <c r="E638" t="s">
        <v>2</v>
      </c>
      <c r="F638" t="s">
        <v>3</v>
      </c>
      <c r="G638" t="s">
        <v>0</v>
      </c>
      <c r="H638" t="s">
        <v>4</v>
      </c>
      <c r="I638" t="s">
        <v>363</v>
      </c>
      <c r="J638" t="s">
        <v>6</v>
      </c>
      <c r="K638" t="s">
        <v>193</v>
      </c>
      <c r="L638" t="s">
        <v>43</v>
      </c>
      <c r="M638" t="s">
        <v>44</v>
      </c>
      <c r="N638" t="s">
        <v>10</v>
      </c>
      <c r="O638" t="s">
        <v>0</v>
      </c>
      <c r="P638" t="s">
        <v>11</v>
      </c>
      <c r="Q638" s="5">
        <v>20</v>
      </c>
      <c r="R638" s="4">
        <v>46500</v>
      </c>
      <c r="S638" s="5">
        <v>1</v>
      </c>
      <c r="T638" s="4">
        <v>930000</v>
      </c>
      <c r="U638" s="5">
        <v>0</v>
      </c>
      <c r="V638" s="4">
        <v>0</v>
      </c>
      <c r="W638" s="5">
        <v>0</v>
      </c>
      <c r="X638" s="4">
        <v>0</v>
      </c>
      <c r="Y638" s="4">
        <f t="shared" si="18"/>
        <v>930000</v>
      </c>
      <c r="Z638" s="6" t="s">
        <v>0</v>
      </c>
      <c r="AA638" t="s">
        <v>2</v>
      </c>
      <c r="AB638" t="s">
        <v>12</v>
      </c>
      <c r="AC638">
        <f>_xlfn.XLOOKUP(AB638,'[1]GST Codes'!$A:$A,'[1]GST Codes'!$C:$C,0,0)</f>
        <v>18</v>
      </c>
      <c r="AD638">
        <f t="shared" si="19"/>
        <v>1097400</v>
      </c>
      <c r="AE638" t="s">
        <v>13</v>
      </c>
      <c r="AF638" t="s">
        <v>0</v>
      </c>
      <c r="AG638" t="s">
        <v>14</v>
      </c>
      <c r="AH638" t="s">
        <v>15</v>
      </c>
      <c r="AI638" t="s">
        <v>85</v>
      </c>
      <c r="AJ638" t="s">
        <v>17</v>
      </c>
      <c r="AK638" t="s">
        <v>18</v>
      </c>
      <c r="AL638" t="s">
        <v>19</v>
      </c>
      <c r="AM638" t="s">
        <v>363</v>
      </c>
      <c r="AN638" t="s">
        <v>0</v>
      </c>
      <c r="AO638" t="s">
        <v>0</v>
      </c>
      <c r="AP638" t="s">
        <v>0</v>
      </c>
      <c r="AQ638" s="5">
        <v>20</v>
      </c>
      <c r="AR638" t="s">
        <v>11</v>
      </c>
      <c r="AS638" t="s">
        <v>0</v>
      </c>
      <c r="AT638" t="s">
        <v>17</v>
      </c>
      <c r="AU638" s="4">
        <v>0</v>
      </c>
      <c r="AV638" s="4">
        <v>0</v>
      </c>
      <c r="AW638" s="4">
        <v>0</v>
      </c>
      <c r="AX638" s="4">
        <v>0</v>
      </c>
      <c r="AY638" s="5">
        <v>0</v>
      </c>
      <c r="AZ638" s="5">
        <v>0</v>
      </c>
      <c r="BA638" s="5">
        <v>0</v>
      </c>
      <c r="BB638" s="2"/>
      <c r="BC638" t="s">
        <v>0</v>
      </c>
      <c r="BD638" s="5">
        <v>1</v>
      </c>
      <c r="BE638" t="s">
        <v>0</v>
      </c>
      <c r="BF638" t="s">
        <v>364</v>
      </c>
      <c r="BG638" t="s">
        <v>17</v>
      </c>
      <c r="BH638" t="s">
        <v>0</v>
      </c>
      <c r="BI638" t="s">
        <v>11</v>
      </c>
      <c r="BJ638" t="s">
        <v>0</v>
      </c>
      <c r="BK638" t="s">
        <v>0</v>
      </c>
      <c r="BL638" s="5">
        <v>0</v>
      </c>
      <c r="BM638" t="s">
        <v>0</v>
      </c>
      <c r="BN638" t="s">
        <v>0</v>
      </c>
      <c r="BO638" t="s">
        <v>0</v>
      </c>
      <c r="BP638" t="s">
        <v>17</v>
      </c>
      <c r="BQ638" t="s">
        <v>0</v>
      </c>
      <c r="BR638" t="s">
        <v>17</v>
      </c>
      <c r="BS638" t="s">
        <v>17</v>
      </c>
      <c r="BT638" t="s">
        <v>0</v>
      </c>
      <c r="BU638" t="s">
        <v>0</v>
      </c>
      <c r="BV638" t="s">
        <v>0</v>
      </c>
      <c r="BW638" t="s">
        <v>0</v>
      </c>
      <c r="BX638" t="s">
        <v>0</v>
      </c>
      <c r="BY638" t="s">
        <v>0</v>
      </c>
      <c r="BZ638" t="s">
        <v>0</v>
      </c>
      <c r="CA638" t="s">
        <v>0</v>
      </c>
      <c r="CB638" t="s">
        <v>0</v>
      </c>
    </row>
    <row r="639" spans="1:80" ht="13.95" customHeight="1" x14ac:dyDescent="0.25">
      <c r="A639" t="s">
        <v>378</v>
      </c>
      <c r="B639" s="2">
        <v>45939</v>
      </c>
      <c r="C639" s="2">
        <v>45939</v>
      </c>
      <c r="D639" s="2">
        <v>45969</v>
      </c>
      <c r="E639" t="s">
        <v>2</v>
      </c>
      <c r="F639" t="s">
        <v>3</v>
      </c>
      <c r="G639" t="s">
        <v>0</v>
      </c>
      <c r="H639" t="s">
        <v>4</v>
      </c>
      <c r="I639" t="s">
        <v>363</v>
      </c>
      <c r="J639" t="s">
        <v>6</v>
      </c>
      <c r="K639" t="s">
        <v>197</v>
      </c>
      <c r="L639" t="s">
        <v>43</v>
      </c>
      <c r="M639" t="s">
        <v>44</v>
      </c>
      <c r="N639" t="s">
        <v>10</v>
      </c>
      <c r="O639" t="s">
        <v>0</v>
      </c>
      <c r="P639" t="s">
        <v>11</v>
      </c>
      <c r="Q639" s="5">
        <v>20</v>
      </c>
      <c r="R639" s="4">
        <v>46500</v>
      </c>
      <c r="S639" s="5">
        <v>1</v>
      </c>
      <c r="T639" s="4">
        <v>930000</v>
      </c>
      <c r="U639" s="5">
        <v>0</v>
      </c>
      <c r="V639" s="4">
        <v>0</v>
      </c>
      <c r="W639" s="5">
        <v>0</v>
      </c>
      <c r="X639" s="4">
        <v>0</v>
      </c>
      <c r="Y639" s="4">
        <f t="shared" si="18"/>
        <v>930000</v>
      </c>
      <c r="Z639" s="6" t="s">
        <v>0</v>
      </c>
      <c r="AA639" t="s">
        <v>2</v>
      </c>
      <c r="AB639" t="s">
        <v>12</v>
      </c>
      <c r="AC639">
        <f>_xlfn.XLOOKUP(AB639,'[1]GST Codes'!$A:$A,'[1]GST Codes'!$C:$C,0,0)</f>
        <v>18</v>
      </c>
      <c r="AD639">
        <f t="shared" si="19"/>
        <v>1097400</v>
      </c>
      <c r="AE639" t="s">
        <v>13</v>
      </c>
      <c r="AF639" t="s">
        <v>0</v>
      </c>
      <c r="AG639" t="s">
        <v>14</v>
      </c>
      <c r="AH639" t="s">
        <v>15</v>
      </c>
      <c r="AI639" t="s">
        <v>85</v>
      </c>
      <c r="AJ639" t="s">
        <v>17</v>
      </c>
      <c r="AK639" t="s">
        <v>18</v>
      </c>
      <c r="AL639" t="s">
        <v>19</v>
      </c>
      <c r="AM639" t="s">
        <v>363</v>
      </c>
      <c r="AN639" t="s">
        <v>0</v>
      </c>
      <c r="AO639" t="s">
        <v>0</v>
      </c>
      <c r="AP639" t="s">
        <v>0</v>
      </c>
      <c r="AQ639" s="5">
        <v>20</v>
      </c>
      <c r="AR639" t="s">
        <v>11</v>
      </c>
      <c r="AS639" t="s">
        <v>0</v>
      </c>
      <c r="AT639" t="s">
        <v>17</v>
      </c>
      <c r="AU639" s="4">
        <v>0</v>
      </c>
      <c r="AV639" s="4">
        <v>0</v>
      </c>
      <c r="AW639" s="4">
        <v>0</v>
      </c>
      <c r="AX639" s="4">
        <v>0</v>
      </c>
      <c r="AY639" s="5">
        <v>0</v>
      </c>
      <c r="AZ639" s="5">
        <v>0</v>
      </c>
      <c r="BA639" s="5">
        <v>0</v>
      </c>
      <c r="BB639" s="2"/>
      <c r="BC639" t="s">
        <v>0</v>
      </c>
      <c r="BD639" s="5">
        <v>1</v>
      </c>
      <c r="BE639" t="s">
        <v>0</v>
      </c>
      <c r="BF639" t="s">
        <v>364</v>
      </c>
      <c r="BG639" t="s">
        <v>17</v>
      </c>
      <c r="BH639" t="s">
        <v>0</v>
      </c>
      <c r="BI639" t="s">
        <v>11</v>
      </c>
      <c r="BJ639" t="s">
        <v>0</v>
      </c>
      <c r="BK639" t="s">
        <v>0</v>
      </c>
      <c r="BL639" s="5">
        <v>0</v>
      </c>
      <c r="BM639" t="s">
        <v>0</v>
      </c>
      <c r="BN639" t="s">
        <v>0</v>
      </c>
      <c r="BO639" t="s">
        <v>0</v>
      </c>
      <c r="BP639" t="s">
        <v>17</v>
      </c>
      <c r="BQ639" t="s">
        <v>0</v>
      </c>
      <c r="BR639" t="s">
        <v>17</v>
      </c>
      <c r="BS639" t="s">
        <v>17</v>
      </c>
      <c r="BT639" t="s">
        <v>0</v>
      </c>
      <c r="BU639" t="s">
        <v>0</v>
      </c>
      <c r="BV639" t="s">
        <v>0</v>
      </c>
      <c r="BW639" t="s">
        <v>0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</row>
    <row r="640" spans="1:80" ht="13.95" customHeight="1" x14ac:dyDescent="0.25">
      <c r="A640" t="s">
        <v>378</v>
      </c>
      <c r="B640" s="2">
        <v>45939</v>
      </c>
      <c r="C640" s="2">
        <v>45939</v>
      </c>
      <c r="D640" s="2">
        <v>45969</v>
      </c>
      <c r="E640" t="s">
        <v>2</v>
      </c>
      <c r="F640" t="s">
        <v>3</v>
      </c>
      <c r="G640" t="s">
        <v>0</v>
      </c>
      <c r="H640" t="s">
        <v>4</v>
      </c>
      <c r="I640" t="s">
        <v>363</v>
      </c>
      <c r="J640" t="s">
        <v>6</v>
      </c>
      <c r="K640" t="s">
        <v>201</v>
      </c>
      <c r="L640" t="s">
        <v>354</v>
      </c>
      <c r="M640" t="s">
        <v>338</v>
      </c>
      <c r="N640" t="s">
        <v>10</v>
      </c>
      <c r="O640" t="s">
        <v>0</v>
      </c>
      <c r="P640" t="s">
        <v>11</v>
      </c>
      <c r="Q640" s="5">
        <v>16</v>
      </c>
      <c r="R640" s="4">
        <v>46500</v>
      </c>
      <c r="S640" s="5">
        <v>1</v>
      </c>
      <c r="T640" s="4">
        <v>744000</v>
      </c>
      <c r="U640" s="5">
        <v>0</v>
      </c>
      <c r="V640" s="4">
        <v>0</v>
      </c>
      <c r="W640" s="5">
        <v>0</v>
      </c>
      <c r="X640" s="4">
        <v>0</v>
      </c>
      <c r="Y640" s="4">
        <f t="shared" si="18"/>
        <v>744000</v>
      </c>
      <c r="Z640" s="6" t="s">
        <v>0</v>
      </c>
      <c r="AA640" t="s">
        <v>2</v>
      </c>
      <c r="AB640" t="s">
        <v>12</v>
      </c>
      <c r="AC640">
        <f>_xlfn.XLOOKUP(AB640,'[1]GST Codes'!$A:$A,'[1]GST Codes'!$C:$C,0,0)</f>
        <v>18</v>
      </c>
      <c r="AD640">
        <f t="shared" si="19"/>
        <v>877920</v>
      </c>
      <c r="AE640" t="s">
        <v>13</v>
      </c>
      <c r="AF640" t="s">
        <v>0</v>
      </c>
      <c r="AG640" t="s">
        <v>14</v>
      </c>
      <c r="AH640" t="s">
        <v>15</v>
      </c>
      <c r="AI640" t="s">
        <v>85</v>
      </c>
      <c r="AJ640" t="s">
        <v>17</v>
      </c>
      <c r="AK640" t="s">
        <v>18</v>
      </c>
      <c r="AL640" t="s">
        <v>19</v>
      </c>
      <c r="AM640" t="s">
        <v>363</v>
      </c>
      <c r="AN640" t="s">
        <v>0</v>
      </c>
      <c r="AO640" t="s">
        <v>0</v>
      </c>
      <c r="AP640" t="s">
        <v>0</v>
      </c>
      <c r="AQ640" s="5">
        <v>16</v>
      </c>
      <c r="AR640" t="s">
        <v>11</v>
      </c>
      <c r="AS640" t="s">
        <v>0</v>
      </c>
      <c r="AT640" t="s">
        <v>17</v>
      </c>
      <c r="AU640" s="4">
        <v>0</v>
      </c>
      <c r="AV640" s="4">
        <v>0</v>
      </c>
      <c r="AW640" s="4">
        <v>0</v>
      </c>
      <c r="AX640" s="4">
        <v>0</v>
      </c>
      <c r="AY640" s="5">
        <v>0</v>
      </c>
      <c r="AZ640" s="5">
        <v>0</v>
      </c>
      <c r="BA640" s="5">
        <v>0</v>
      </c>
      <c r="BB640" s="2"/>
      <c r="BC640" t="s">
        <v>0</v>
      </c>
      <c r="BD640" s="5">
        <v>1</v>
      </c>
      <c r="BE640" t="s">
        <v>0</v>
      </c>
      <c r="BF640" t="s">
        <v>371</v>
      </c>
      <c r="BG640" t="s">
        <v>17</v>
      </c>
      <c r="BH640" t="s">
        <v>0</v>
      </c>
      <c r="BI640" t="s">
        <v>11</v>
      </c>
      <c r="BJ640" t="s">
        <v>0</v>
      </c>
      <c r="BK640" t="s">
        <v>0</v>
      </c>
      <c r="BL640" s="5">
        <v>0</v>
      </c>
      <c r="BM640" t="s">
        <v>0</v>
      </c>
      <c r="BN640" t="s">
        <v>0</v>
      </c>
      <c r="BO640" t="s">
        <v>0</v>
      </c>
      <c r="BP640" t="s">
        <v>17</v>
      </c>
      <c r="BQ640" t="s">
        <v>0</v>
      </c>
      <c r="BR640" t="s">
        <v>17</v>
      </c>
      <c r="BS640" t="s">
        <v>17</v>
      </c>
      <c r="BT640" t="s">
        <v>0</v>
      </c>
      <c r="BU640" t="s">
        <v>0</v>
      </c>
      <c r="BV640" t="s">
        <v>0</v>
      </c>
      <c r="BW640" t="s">
        <v>0</v>
      </c>
      <c r="BX640" t="s">
        <v>0</v>
      </c>
      <c r="BY640" t="s">
        <v>0</v>
      </c>
      <c r="BZ640" t="s">
        <v>0</v>
      </c>
      <c r="CA640" t="s">
        <v>0</v>
      </c>
      <c r="CB640" t="s">
        <v>0</v>
      </c>
    </row>
    <row r="641" spans="1:80" ht="13.95" customHeight="1" x14ac:dyDescent="0.25">
      <c r="A641" t="s">
        <v>378</v>
      </c>
      <c r="B641" s="2">
        <v>45939</v>
      </c>
      <c r="C641" s="2">
        <v>45939</v>
      </c>
      <c r="D641" s="2">
        <v>45969</v>
      </c>
      <c r="E641" t="s">
        <v>2</v>
      </c>
      <c r="F641" t="s">
        <v>3</v>
      </c>
      <c r="G641" t="s">
        <v>0</v>
      </c>
      <c r="H641" t="s">
        <v>4</v>
      </c>
      <c r="I641" t="s">
        <v>363</v>
      </c>
      <c r="J641" t="s">
        <v>6</v>
      </c>
      <c r="K641" t="s">
        <v>205</v>
      </c>
      <c r="L641" t="s">
        <v>354</v>
      </c>
      <c r="M641" t="s">
        <v>338</v>
      </c>
      <c r="N641" t="s">
        <v>10</v>
      </c>
      <c r="O641" t="s">
        <v>0</v>
      </c>
      <c r="P641" t="s">
        <v>11</v>
      </c>
      <c r="Q641" s="5">
        <v>16</v>
      </c>
      <c r="R641" s="4">
        <v>46500</v>
      </c>
      <c r="S641" s="5">
        <v>1</v>
      </c>
      <c r="T641" s="4">
        <v>744000</v>
      </c>
      <c r="U641" s="5">
        <v>0</v>
      </c>
      <c r="V641" s="4">
        <v>0</v>
      </c>
      <c r="W641" s="5">
        <v>0</v>
      </c>
      <c r="X641" s="4">
        <v>0</v>
      </c>
      <c r="Y641" s="4">
        <f t="shared" si="18"/>
        <v>744000</v>
      </c>
      <c r="Z641" s="6" t="s">
        <v>0</v>
      </c>
      <c r="AA641" t="s">
        <v>2</v>
      </c>
      <c r="AB641" t="s">
        <v>12</v>
      </c>
      <c r="AC641">
        <f>_xlfn.XLOOKUP(AB641,'[1]GST Codes'!$A:$A,'[1]GST Codes'!$C:$C,0,0)</f>
        <v>18</v>
      </c>
      <c r="AD641">
        <f t="shared" si="19"/>
        <v>877920</v>
      </c>
      <c r="AE641" t="s">
        <v>13</v>
      </c>
      <c r="AF641" t="s">
        <v>0</v>
      </c>
      <c r="AG641" t="s">
        <v>14</v>
      </c>
      <c r="AH641" t="s">
        <v>15</v>
      </c>
      <c r="AI641" t="s">
        <v>85</v>
      </c>
      <c r="AJ641" t="s">
        <v>17</v>
      </c>
      <c r="AK641" t="s">
        <v>18</v>
      </c>
      <c r="AL641" t="s">
        <v>19</v>
      </c>
      <c r="AM641" t="s">
        <v>363</v>
      </c>
      <c r="AN641" t="s">
        <v>0</v>
      </c>
      <c r="AO641" t="s">
        <v>0</v>
      </c>
      <c r="AP641" t="s">
        <v>0</v>
      </c>
      <c r="AQ641" s="5">
        <v>16</v>
      </c>
      <c r="AR641" t="s">
        <v>11</v>
      </c>
      <c r="AS641" t="s">
        <v>0</v>
      </c>
      <c r="AT641" t="s">
        <v>17</v>
      </c>
      <c r="AU641" s="4">
        <v>0</v>
      </c>
      <c r="AV641" s="4">
        <v>0</v>
      </c>
      <c r="AW641" s="4">
        <v>0</v>
      </c>
      <c r="AX641" s="4">
        <v>0</v>
      </c>
      <c r="AY641" s="5">
        <v>0</v>
      </c>
      <c r="AZ641" s="5">
        <v>0</v>
      </c>
      <c r="BA641" s="5">
        <v>0</v>
      </c>
      <c r="BB641" s="2"/>
      <c r="BC641" t="s">
        <v>0</v>
      </c>
      <c r="BD641" s="5">
        <v>1</v>
      </c>
      <c r="BE641" t="s">
        <v>0</v>
      </c>
      <c r="BF641" t="s">
        <v>371</v>
      </c>
      <c r="BG641" t="s">
        <v>17</v>
      </c>
      <c r="BH641" t="s">
        <v>0</v>
      </c>
      <c r="BI641" t="s">
        <v>11</v>
      </c>
      <c r="BJ641" t="s">
        <v>0</v>
      </c>
      <c r="BK641" t="s">
        <v>0</v>
      </c>
      <c r="BL641" s="5">
        <v>0</v>
      </c>
      <c r="BM641" t="s">
        <v>0</v>
      </c>
      <c r="BN641" t="s">
        <v>0</v>
      </c>
      <c r="BO641" t="s">
        <v>0</v>
      </c>
      <c r="BP641" t="s">
        <v>17</v>
      </c>
      <c r="BQ641" t="s">
        <v>0</v>
      </c>
      <c r="BR641" t="s">
        <v>17</v>
      </c>
      <c r="BS641" t="s">
        <v>17</v>
      </c>
      <c r="BT641" t="s">
        <v>0</v>
      </c>
      <c r="BU641" t="s">
        <v>0</v>
      </c>
      <c r="BV641" t="s">
        <v>0</v>
      </c>
      <c r="BW641" t="s">
        <v>0</v>
      </c>
      <c r="BX641" t="s">
        <v>0</v>
      </c>
      <c r="BY641" t="s">
        <v>0</v>
      </c>
      <c r="BZ641" t="s">
        <v>0</v>
      </c>
      <c r="CA641" t="s">
        <v>0</v>
      </c>
      <c r="CB641" t="s">
        <v>0</v>
      </c>
    </row>
    <row r="642" spans="1:80" ht="13.95" customHeight="1" x14ac:dyDescent="0.25">
      <c r="A642" t="s">
        <v>378</v>
      </c>
      <c r="B642" s="2">
        <v>45939</v>
      </c>
      <c r="C642" s="2">
        <v>45939</v>
      </c>
      <c r="D642" s="2">
        <v>45969</v>
      </c>
      <c r="E642" t="s">
        <v>2</v>
      </c>
      <c r="F642" t="s">
        <v>3</v>
      </c>
      <c r="G642" t="s">
        <v>0</v>
      </c>
      <c r="H642" t="s">
        <v>4</v>
      </c>
      <c r="I642" t="s">
        <v>363</v>
      </c>
      <c r="J642" t="s">
        <v>6</v>
      </c>
      <c r="K642" t="s">
        <v>209</v>
      </c>
      <c r="L642" t="s">
        <v>354</v>
      </c>
      <c r="M642" t="s">
        <v>338</v>
      </c>
      <c r="N642" t="s">
        <v>10</v>
      </c>
      <c r="O642" t="s">
        <v>0</v>
      </c>
      <c r="P642" t="s">
        <v>11</v>
      </c>
      <c r="Q642" s="5">
        <v>17</v>
      </c>
      <c r="R642" s="4">
        <v>46500</v>
      </c>
      <c r="S642" s="5">
        <v>1</v>
      </c>
      <c r="T642" s="4">
        <v>790500</v>
      </c>
      <c r="U642" s="5">
        <v>0</v>
      </c>
      <c r="V642" s="4">
        <v>0</v>
      </c>
      <c r="W642" s="5">
        <v>0</v>
      </c>
      <c r="X642" s="4">
        <v>0</v>
      </c>
      <c r="Y642" s="4">
        <f t="shared" si="18"/>
        <v>790500</v>
      </c>
      <c r="Z642" s="6" t="s">
        <v>0</v>
      </c>
      <c r="AA642" t="s">
        <v>2</v>
      </c>
      <c r="AB642" t="s">
        <v>12</v>
      </c>
      <c r="AC642">
        <f>_xlfn.XLOOKUP(AB642,'[1]GST Codes'!$A:$A,'[1]GST Codes'!$C:$C,0,0)</f>
        <v>18</v>
      </c>
      <c r="AD642">
        <f t="shared" si="19"/>
        <v>932790</v>
      </c>
      <c r="AE642" t="s">
        <v>13</v>
      </c>
      <c r="AF642" t="s">
        <v>0</v>
      </c>
      <c r="AG642" t="s">
        <v>14</v>
      </c>
      <c r="AH642" t="s">
        <v>15</v>
      </c>
      <c r="AI642" t="s">
        <v>85</v>
      </c>
      <c r="AJ642" t="s">
        <v>17</v>
      </c>
      <c r="AK642" t="s">
        <v>18</v>
      </c>
      <c r="AL642" t="s">
        <v>19</v>
      </c>
      <c r="AM642" t="s">
        <v>363</v>
      </c>
      <c r="AN642" t="s">
        <v>0</v>
      </c>
      <c r="AO642" t="s">
        <v>0</v>
      </c>
      <c r="AP642" t="s">
        <v>0</v>
      </c>
      <c r="AQ642" s="5">
        <v>17</v>
      </c>
      <c r="AR642" t="s">
        <v>11</v>
      </c>
      <c r="AS642" t="s">
        <v>0</v>
      </c>
      <c r="AT642" t="s">
        <v>17</v>
      </c>
      <c r="AU642" s="4">
        <v>0</v>
      </c>
      <c r="AV642" s="4">
        <v>0</v>
      </c>
      <c r="AW642" s="4">
        <v>0</v>
      </c>
      <c r="AX642" s="4">
        <v>0</v>
      </c>
      <c r="AY642" s="5">
        <v>0</v>
      </c>
      <c r="AZ642" s="5">
        <v>0</v>
      </c>
      <c r="BA642" s="5">
        <v>0</v>
      </c>
      <c r="BB642" s="2"/>
      <c r="BC642" t="s">
        <v>0</v>
      </c>
      <c r="BD642" s="5">
        <v>1</v>
      </c>
      <c r="BE642" t="s">
        <v>0</v>
      </c>
      <c r="BF642" t="s">
        <v>371</v>
      </c>
      <c r="BG642" t="s">
        <v>17</v>
      </c>
      <c r="BH642" t="s">
        <v>0</v>
      </c>
      <c r="BI642" t="s">
        <v>11</v>
      </c>
      <c r="BJ642" t="s">
        <v>0</v>
      </c>
      <c r="BK642" t="s">
        <v>0</v>
      </c>
      <c r="BL642" s="5">
        <v>0</v>
      </c>
      <c r="BM642" t="s">
        <v>0</v>
      </c>
      <c r="BN642" t="s">
        <v>0</v>
      </c>
      <c r="BO642" t="s">
        <v>0</v>
      </c>
      <c r="BP642" t="s">
        <v>17</v>
      </c>
      <c r="BQ642" t="s">
        <v>0</v>
      </c>
      <c r="BR642" t="s">
        <v>17</v>
      </c>
      <c r="BS642" t="s">
        <v>17</v>
      </c>
      <c r="BT642" t="s">
        <v>0</v>
      </c>
      <c r="BU642" t="s">
        <v>0</v>
      </c>
      <c r="BV642" t="s">
        <v>0</v>
      </c>
      <c r="BW642" t="s">
        <v>0</v>
      </c>
      <c r="BX642" t="s">
        <v>0</v>
      </c>
      <c r="BY642" t="s">
        <v>0</v>
      </c>
      <c r="BZ642" t="s">
        <v>0</v>
      </c>
      <c r="CA642" t="s">
        <v>0</v>
      </c>
      <c r="CB642" t="s">
        <v>0</v>
      </c>
    </row>
    <row r="643" spans="1:80" ht="13.95" customHeight="1" x14ac:dyDescent="0.25">
      <c r="A643" t="s">
        <v>378</v>
      </c>
      <c r="B643" s="2">
        <v>45939</v>
      </c>
      <c r="C643" s="2">
        <v>45939</v>
      </c>
      <c r="D643" s="2">
        <v>45969</v>
      </c>
      <c r="E643" t="s">
        <v>2</v>
      </c>
      <c r="F643" t="s">
        <v>3</v>
      </c>
      <c r="G643" t="s">
        <v>0</v>
      </c>
      <c r="H643" t="s">
        <v>4</v>
      </c>
      <c r="I643" t="s">
        <v>363</v>
      </c>
      <c r="J643" t="s">
        <v>6</v>
      </c>
      <c r="K643" t="s">
        <v>213</v>
      </c>
      <c r="L643" t="s">
        <v>354</v>
      </c>
      <c r="M643" t="s">
        <v>338</v>
      </c>
      <c r="N643" t="s">
        <v>10</v>
      </c>
      <c r="O643" t="s">
        <v>0</v>
      </c>
      <c r="P643" t="s">
        <v>11</v>
      </c>
      <c r="Q643" s="5">
        <v>17</v>
      </c>
      <c r="R643" s="4">
        <v>46500</v>
      </c>
      <c r="S643" s="5">
        <v>1</v>
      </c>
      <c r="T643" s="4">
        <v>790500</v>
      </c>
      <c r="U643" s="5">
        <v>0</v>
      </c>
      <c r="V643" s="4">
        <v>0</v>
      </c>
      <c r="W643" s="5">
        <v>0</v>
      </c>
      <c r="X643" s="4">
        <v>0</v>
      </c>
      <c r="Y643" s="4">
        <f t="shared" ref="Y643:Y706" si="20">T643-V643</f>
        <v>790500</v>
      </c>
      <c r="Z643" s="6" t="s">
        <v>0</v>
      </c>
      <c r="AA643" t="s">
        <v>2</v>
      </c>
      <c r="AB643" t="s">
        <v>12</v>
      </c>
      <c r="AC643">
        <f>_xlfn.XLOOKUP(AB643,'[1]GST Codes'!$A:$A,'[1]GST Codes'!$C:$C,0,0)</f>
        <v>18</v>
      </c>
      <c r="AD643">
        <f t="shared" ref="AD643:AD706" si="21">Y643+(Y643*AC643/100)</f>
        <v>932790</v>
      </c>
      <c r="AE643" t="s">
        <v>13</v>
      </c>
      <c r="AF643" t="s">
        <v>0</v>
      </c>
      <c r="AG643" t="s">
        <v>14</v>
      </c>
      <c r="AH643" t="s">
        <v>15</v>
      </c>
      <c r="AI643" t="s">
        <v>85</v>
      </c>
      <c r="AJ643" t="s">
        <v>17</v>
      </c>
      <c r="AK643" t="s">
        <v>18</v>
      </c>
      <c r="AL643" t="s">
        <v>19</v>
      </c>
      <c r="AM643" t="s">
        <v>363</v>
      </c>
      <c r="AN643" t="s">
        <v>0</v>
      </c>
      <c r="AO643" t="s">
        <v>0</v>
      </c>
      <c r="AP643" t="s">
        <v>0</v>
      </c>
      <c r="AQ643" s="5">
        <v>17</v>
      </c>
      <c r="AR643" t="s">
        <v>11</v>
      </c>
      <c r="AS643" t="s">
        <v>0</v>
      </c>
      <c r="AT643" t="s">
        <v>17</v>
      </c>
      <c r="AU643" s="4">
        <v>0</v>
      </c>
      <c r="AV643" s="4">
        <v>0</v>
      </c>
      <c r="AW643" s="4">
        <v>0</v>
      </c>
      <c r="AX643" s="4">
        <v>0</v>
      </c>
      <c r="AY643" s="5">
        <v>0</v>
      </c>
      <c r="AZ643" s="5">
        <v>0</v>
      </c>
      <c r="BA643" s="5">
        <v>0</v>
      </c>
      <c r="BB643" s="2"/>
      <c r="BC643" t="s">
        <v>0</v>
      </c>
      <c r="BD643" s="5">
        <v>1</v>
      </c>
      <c r="BE643" t="s">
        <v>0</v>
      </c>
      <c r="BF643" t="s">
        <v>371</v>
      </c>
      <c r="BG643" t="s">
        <v>17</v>
      </c>
      <c r="BH643" t="s">
        <v>0</v>
      </c>
      <c r="BI643" t="s">
        <v>11</v>
      </c>
      <c r="BJ643" t="s">
        <v>0</v>
      </c>
      <c r="BK643" t="s">
        <v>0</v>
      </c>
      <c r="BL643" s="5">
        <v>0</v>
      </c>
      <c r="BM643" t="s">
        <v>0</v>
      </c>
      <c r="BN643" t="s">
        <v>0</v>
      </c>
      <c r="BO643" t="s">
        <v>0</v>
      </c>
      <c r="BP643" t="s">
        <v>17</v>
      </c>
      <c r="BQ643" t="s">
        <v>0</v>
      </c>
      <c r="BR643" t="s">
        <v>17</v>
      </c>
      <c r="BS643" t="s">
        <v>17</v>
      </c>
      <c r="BT643" t="s">
        <v>0</v>
      </c>
      <c r="BU643" t="s">
        <v>0</v>
      </c>
      <c r="BV643" t="s">
        <v>0</v>
      </c>
      <c r="BW643" t="s">
        <v>0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</row>
    <row r="644" spans="1:80" ht="13.95" customHeight="1" x14ac:dyDescent="0.25">
      <c r="A644" t="s">
        <v>378</v>
      </c>
      <c r="B644" s="2">
        <v>45939</v>
      </c>
      <c r="C644" s="2">
        <v>45939</v>
      </c>
      <c r="D644" s="2">
        <v>45969</v>
      </c>
      <c r="E644" t="s">
        <v>2</v>
      </c>
      <c r="F644" t="s">
        <v>3</v>
      </c>
      <c r="G644" t="s">
        <v>0</v>
      </c>
      <c r="H644" t="s">
        <v>4</v>
      </c>
      <c r="I644" t="s">
        <v>363</v>
      </c>
      <c r="J644" t="s">
        <v>6</v>
      </c>
      <c r="K644" t="s">
        <v>215</v>
      </c>
      <c r="L644" t="s">
        <v>354</v>
      </c>
      <c r="M644" t="s">
        <v>338</v>
      </c>
      <c r="N644" t="s">
        <v>10</v>
      </c>
      <c r="O644" t="s">
        <v>0</v>
      </c>
      <c r="P644" t="s">
        <v>11</v>
      </c>
      <c r="Q644" s="5">
        <v>17</v>
      </c>
      <c r="R644" s="4">
        <v>46500</v>
      </c>
      <c r="S644" s="5">
        <v>1</v>
      </c>
      <c r="T644" s="4">
        <v>790500</v>
      </c>
      <c r="U644" s="5">
        <v>0</v>
      </c>
      <c r="V644" s="4">
        <v>0</v>
      </c>
      <c r="W644" s="5">
        <v>0</v>
      </c>
      <c r="X644" s="4">
        <v>0</v>
      </c>
      <c r="Y644" s="4">
        <f t="shared" si="20"/>
        <v>790500</v>
      </c>
      <c r="Z644" s="6" t="s">
        <v>0</v>
      </c>
      <c r="AA644" t="s">
        <v>2</v>
      </c>
      <c r="AB644" t="s">
        <v>12</v>
      </c>
      <c r="AC644">
        <f>_xlfn.XLOOKUP(AB644,'[1]GST Codes'!$A:$A,'[1]GST Codes'!$C:$C,0,0)</f>
        <v>18</v>
      </c>
      <c r="AD644">
        <f t="shared" si="21"/>
        <v>932790</v>
      </c>
      <c r="AE644" t="s">
        <v>13</v>
      </c>
      <c r="AF644" t="s">
        <v>0</v>
      </c>
      <c r="AG644" t="s">
        <v>14</v>
      </c>
      <c r="AH644" t="s">
        <v>15</v>
      </c>
      <c r="AI644" t="s">
        <v>85</v>
      </c>
      <c r="AJ644" t="s">
        <v>17</v>
      </c>
      <c r="AK644" t="s">
        <v>18</v>
      </c>
      <c r="AL644" t="s">
        <v>19</v>
      </c>
      <c r="AM644" t="s">
        <v>363</v>
      </c>
      <c r="AN644" t="s">
        <v>0</v>
      </c>
      <c r="AO644" t="s">
        <v>0</v>
      </c>
      <c r="AP644" t="s">
        <v>0</v>
      </c>
      <c r="AQ644" s="5">
        <v>17</v>
      </c>
      <c r="AR644" t="s">
        <v>11</v>
      </c>
      <c r="AS644" t="s">
        <v>0</v>
      </c>
      <c r="AT644" t="s">
        <v>17</v>
      </c>
      <c r="AU644" s="4">
        <v>0</v>
      </c>
      <c r="AV644" s="4">
        <v>0</v>
      </c>
      <c r="AW644" s="4">
        <v>0</v>
      </c>
      <c r="AX644" s="4">
        <v>0</v>
      </c>
      <c r="AY644" s="5">
        <v>0</v>
      </c>
      <c r="AZ644" s="5">
        <v>0</v>
      </c>
      <c r="BA644" s="5">
        <v>0</v>
      </c>
      <c r="BB644" s="2"/>
      <c r="BC644" t="s">
        <v>0</v>
      </c>
      <c r="BD644" s="5">
        <v>1</v>
      </c>
      <c r="BE644" t="s">
        <v>0</v>
      </c>
      <c r="BF644" t="s">
        <v>371</v>
      </c>
      <c r="BG644" t="s">
        <v>17</v>
      </c>
      <c r="BH644" t="s">
        <v>0</v>
      </c>
      <c r="BI644" t="s">
        <v>11</v>
      </c>
      <c r="BJ644" t="s">
        <v>0</v>
      </c>
      <c r="BK644" t="s">
        <v>0</v>
      </c>
      <c r="BL644" s="5">
        <v>0</v>
      </c>
      <c r="BM644" t="s">
        <v>0</v>
      </c>
      <c r="BN644" t="s">
        <v>0</v>
      </c>
      <c r="BO644" t="s">
        <v>0</v>
      </c>
      <c r="BP644" t="s">
        <v>17</v>
      </c>
      <c r="BQ644" t="s">
        <v>0</v>
      </c>
      <c r="BR644" t="s">
        <v>17</v>
      </c>
      <c r="BS644" t="s">
        <v>17</v>
      </c>
      <c r="BT644" t="s">
        <v>0</v>
      </c>
      <c r="BU644" t="s">
        <v>0</v>
      </c>
      <c r="BV644" t="s">
        <v>0</v>
      </c>
      <c r="BW644" t="s">
        <v>0</v>
      </c>
      <c r="BX644" t="s">
        <v>0</v>
      </c>
      <c r="BY644" t="s">
        <v>0</v>
      </c>
      <c r="BZ644" t="s">
        <v>0</v>
      </c>
      <c r="CA644" t="s">
        <v>0</v>
      </c>
      <c r="CB644" t="s">
        <v>0</v>
      </c>
    </row>
    <row r="645" spans="1:80" ht="13.95" customHeight="1" x14ac:dyDescent="0.25">
      <c r="A645" t="s">
        <v>378</v>
      </c>
      <c r="B645" s="2">
        <v>45939</v>
      </c>
      <c r="C645" s="2">
        <v>45939</v>
      </c>
      <c r="D645" s="2">
        <v>45969</v>
      </c>
      <c r="E645" t="s">
        <v>2</v>
      </c>
      <c r="F645" t="s">
        <v>3</v>
      </c>
      <c r="G645" t="s">
        <v>0</v>
      </c>
      <c r="H645" t="s">
        <v>4</v>
      </c>
      <c r="I645" t="s">
        <v>363</v>
      </c>
      <c r="J645" t="s">
        <v>6</v>
      </c>
      <c r="K645" t="s">
        <v>216</v>
      </c>
      <c r="L645" t="s">
        <v>354</v>
      </c>
      <c r="M645" t="s">
        <v>338</v>
      </c>
      <c r="N645" t="s">
        <v>10</v>
      </c>
      <c r="O645" t="s">
        <v>0</v>
      </c>
      <c r="P645" t="s">
        <v>11</v>
      </c>
      <c r="Q645" s="5">
        <v>17</v>
      </c>
      <c r="R645" s="4">
        <v>46500</v>
      </c>
      <c r="S645" s="5">
        <v>1</v>
      </c>
      <c r="T645" s="4">
        <v>790500</v>
      </c>
      <c r="U645" s="5">
        <v>0</v>
      </c>
      <c r="V645" s="4">
        <v>0</v>
      </c>
      <c r="W645" s="5">
        <v>0</v>
      </c>
      <c r="X645" s="4">
        <v>0</v>
      </c>
      <c r="Y645" s="4">
        <f t="shared" si="20"/>
        <v>790500</v>
      </c>
      <c r="Z645" s="6" t="s">
        <v>0</v>
      </c>
      <c r="AA645" t="s">
        <v>2</v>
      </c>
      <c r="AB645" t="s">
        <v>12</v>
      </c>
      <c r="AC645">
        <f>_xlfn.XLOOKUP(AB645,'[1]GST Codes'!$A:$A,'[1]GST Codes'!$C:$C,0,0)</f>
        <v>18</v>
      </c>
      <c r="AD645">
        <f t="shared" si="21"/>
        <v>932790</v>
      </c>
      <c r="AE645" t="s">
        <v>13</v>
      </c>
      <c r="AF645" t="s">
        <v>0</v>
      </c>
      <c r="AG645" t="s">
        <v>14</v>
      </c>
      <c r="AH645" t="s">
        <v>15</v>
      </c>
      <c r="AI645" t="s">
        <v>85</v>
      </c>
      <c r="AJ645" t="s">
        <v>17</v>
      </c>
      <c r="AK645" t="s">
        <v>18</v>
      </c>
      <c r="AL645" t="s">
        <v>19</v>
      </c>
      <c r="AM645" t="s">
        <v>363</v>
      </c>
      <c r="AN645" t="s">
        <v>0</v>
      </c>
      <c r="AO645" t="s">
        <v>0</v>
      </c>
      <c r="AP645" t="s">
        <v>0</v>
      </c>
      <c r="AQ645" s="5">
        <v>17</v>
      </c>
      <c r="AR645" t="s">
        <v>11</v>
      </c>
      <c r="AS645" t="s">
        <v>0</v>
      </c>
      <c r="AT645" t="s">
        <v>17</v>
      </c>
      <c r="AU645" s="4">
        <v>0</v>
      </c>
      <c r="AV645" s="4">
        <v>0</v>
      </c>
      <c r="AW645" s="4">
        <v>0</v>
      </c>
      <c r="AX645" s="4">
        <v>0</v>
      </c>
      <c r="AY645" s="5">
        <v>0</v>
      </c>
      <c r="AZ645" s="5">
        <v>0</v>
      </c>
      <c r="BA645" s="5">
        <v>0</v>
      </c>
      <c r="BB645" s="2"/>
      <c r="BC645" t="s">
        <v>0</v>
      </c>
      <c r="BD645" s="5">
        <v>1</v>
      </c>
      <c r="BE645" t="s">
        <v>0</v>
      </c>
      <c r="BF645" t="s">
        <v>371</v>
      </c>
      <c r="BG645" t="s">
        <v>17</v>
      </c>
      <c r="BH645" t="s">
        <v>0</v>
      </c>
      <c r="BI645" t="s">
        <v>11</v>
      </c>
      <c r="BJ645" t="s">
        <v>0</v>
      </c>
      <c r="BK645" t="s">
        <v>0</v>
      </c>
      <c r="BL645" s="5">
        <v>0</v>
      </c>
      <c r="BM645" t="s">
        <v>0</v>
      </c>
      <c r="BN645" t="s">
        <v>0</v>
      </c>
      <c r="BO645" t="s">
        <v>0</v>
      </c>
      <c r="BP645" t="s">
        <v>17</v>
      </c>
      <c r="BQ645" t="s">
        <v>0</v>
      </c>
      <c r="BR645" t="s">
        <v>17</v>
      </c>
      <c r="BS645" t="s">
        <v>17</v>
      </c>
      <c r="BT645" t="s">
        <v>0</v>
      </c>
      <c r="BU645" t="s">
        <v>0</v>
      </c>
      <c r="BV645" t="s">
        <v>0</v>
      </c>
      <c r="BW645" t="s">
        <v>0</v>
      </c>
      <c r="BX645" t="s">
        <v>0</v>
      </c>
      <c r="BY645" t="s">
        <v>0</v>
      </c>
      <c r="BZ645" t="s">
        <v>0</v>
      </c>
      <c r="CA645" t="s">
        <v>0</v>
      </c>
      <c r="CB645" t="s">
        <v>0</v>
      </c>
    </row>
    <row r="646" spans="1:80" ht="13.95" customHeight="1" x14ac:dyDescent="0.25">
      <c r="A646" t="s">
        <v>378</v>
      </c>
      <c r="B646" s="2">
        <v>45939</v>
      </c>
      <c r="C646" s="2">
        <v>45939</v>
      </c>
      <c r="D646" s="2">
        <v>45969</v>
      </c>
      <c r="E646" t="s">
        <v>2</v>
      </c>
      <c r="F646" t="s">
        <v>3</v>
      </c>
      <c r="G646" t="s">
        <v>0</v>
      </c>
      <c r="H646" t="s">
        <v>4</v>
      </c>
      <c r="I646" t="s">
        <v>363</v>
      </c>
      <c r="J646" t="s">
        <v>6</v>
      </c>
      <c r="K646" t="s">
        <v>217</v>
      </c>
      <c r="L646" t="s">
        <v>329</v>
      </c>
      <c r="M646" t="s">
        <v>339</v>
      </c>
      <c r="N646" t="s">
        <v>10</v>
      </c>
      <c r="O646" t="s">
        <v>0</v>
      </c>
      <c r="P646" t="s">
        <v>11</v>
      </c>
      <c r="Q646" s="5">
        <v>16</v>
      </c>
      <c r="R646" s="4">
        <v>46500</v>
      </c>
      <c r="S646" s="5">
        <v>1</v>
      </c>
      <c r="T646" s="4">
        <v>744000</v>
      </c>
      <c r="U646" s="3">
        <v>1.9019999999999999</v>
      </c>
      <c r="V646" s="4">
        <v>88443</v>
      </c>
      <c r="W646" s="3">
        <v>1.9019999999999999</v>
      </c>
      <c r="X646" s="4">
        <v>88443</v>
      </c>
      <c r="Y646" s="4">
        <f t="shared" si="20"/>
        <v>655557</v>
      </c>
      <c r="Z646" s="6" t="s">
        <v>0</v>
      </c>
      <c r="AA646" t="s">
        <v>2</v>
      </c>
      <c r="AB646" t="s">
        <v>12</v>
      </c>
      <c r="AC646">
        <f>_xlfn.XLOOKUP(AB646,'[1]GST Codes'!$A:$A,'[1]GST Codes'!$C:$C,0,0)</f>
        <v>18</v>
      </c>
      <c r="AD646">
        <f t="shared" si="21"/>
        <v>773557.26</v>
      </c>
      <c r="AE646" t="s">
        <v>13</v>
      </c>
      <c r="AF646" t="s">
        <v>0</v>
      </c>
      <c r="AG646" t="s">
        <v>14</v>
      </c>
      <c r="AH646" t="s">
        <v>15</v>
      </c>
      <c r="AI646" t="s">
        <v>85</v>
      </c>
      <c r="AJ646" t="s">
        <v>17</v>
      </c>
      <c r="AK646" t="s">
        <v>18</v>
      </c>
      <c r="AL646" t="s">
        <v>19</v>
      </c>
      <c r="AM646" t="s">
        <v>363</v>
      </c>
      <c r="AN646" t="s">
        <v>0</v>
      </c>
      <c r="AO646" t="s">
        <v>0</v>
      </c>
      <c r="AP646" t="s">
        <v>0</v>
      </c>
      <c r="AQ646" s="5">
        <v>16</v>
      </c>
      <c r="AR646" t="s">
        <v>11</v>
      </c>
      <c r="AS646" t="s">
        <v>0</v>
      </c>
      <c r="AT646" t="s">
        <v>17</v>
      </c>
      <c r="AU646" s="4">
        <v>0</v>
      </c>
      <c r="AV646" s="4">
        <v>0</v>
      </c>
      <c r="AW646" s="4">
        <v>0</v>
      </c>
      <c r="AX646" s="4">
        <v>0</v>
      </c>
      <c r="AY646" s="5">
        <v>0</v>
      </c>
      <c r="AZ646" s="5">
        <v>0</v>
      </c>
      <c r="BA646" s="5">
        <v>0</v>
      </c>
      <c r="BB646" s="2"/>
      <c r="BC646" t="s">
        <v>0</v>
      </c>
      <c r="BD646" s="5">
        <v>1</v>
      </c>
      <c r="BE646" t="s">
        <v>0</v>
      </c>
      <c r="BF646" t="s">
        <v>365</v>
      </c>
      <c r="BG646" t="s">
        <v>17</v>
      </c>
      <c r="BH646" t="s">
        <v>0</v>
      </c>
      <c r="BI646" t="s">
        <v>11</v>
      </c>
      <c r="BJ646" t="s">
        <v>0</v>
      </c>
      <c r="BK646" t="s">
        <v>0</v>
      </c>
      <c r="BL646" s="5">
        <v>0</v>
      </c>
      <c r="BM646" t="s">
        <v>0</v>
      </c>
      <c r="BN646" t="s">
        <v>0</v>
      </c>
      <c r="BO646" t="s">
        <v>0</v>
      </c>
      <c r="BP646" t="s">
        <v>17</v>
      </c>
      <c r="BQ646" t="s">
        <v>0</v>
      </c>
      <c r="BR646" t="s">
        <v>17</v>
      </c>
      <c r="BS646" t="s">
        <v>17</v>
      </c>
      <c r="BT646" t="s">
        <v>0</v>
      </c>
      <c r="BU646" t="s">
        <v>0</v>
      </c>
      <c r="BV646" t="s">
        <v>0</v>
      </c>
      <c r="BW646" t="s">
        <v>0</v>
      </c>
      <c r="BX646" t="s">
        <v>0</v>
      </c>
      <c r="BY646" t="s">
        <v>0</v>
      </c>
      <c r="BZ646" t="s">
        <v>0</v>
      </c>
      <c r="CA646" t="s">
        <v>0</v>
      </c>
      <c r="CB646" t="s">
        <v>0</v>
      </c>
    </row>
    <row r="647" spans="1:80" ht="13.95" customHeight="1" x14ac:dyDescent="0.25">
      <c r="A647" t="s">
        <v>378</v>
      </c>
      <c r="B647" s="2">
        <v>45939</v>
      </c>
      <c r="C647" s="2">
        <v>45939</v>
      </c>
      <c r="D647" s="2">
        <v>45969</v>
      </c>
      <c r="E647" t="s">
        <v>2</v>
      </c>
      <c r="F647" t="s">
        <v>3</v>
      </c>
      <c r="G647" t="s">
        <v>0</v>
      </c>
      <c r="H647" t="s">
        <v>4</v>
      </c>
      <c r="I647" t="s">
        <v>363</v>
      </c>
      <c r="J647" t="s">
        <v>6</v>
      </c>
      <c r="K647" t="s">
        <v>218</v>
      </c>
      <c r="L647" t="s">
        <v>329</v>
      </c>
      <c r="M647" t="s">
        <v>339</v>
      </c>
      <c r="N647" t="s">
        <v>10</v>
      </c>
      <c r="O647" t="s">
        <v>0</v>
      </c>
      <c r="P647" t="s">
        <v>11</v>
      </c>
      <c r="Q647" s="5">
        <v>16</v>
      </c>
      <c r="R647" s="4">
        <v>46500</v>
      </c>
      <c r="S647" s="5">
        <v>1</v>
      </c>
      <c r="T647" s="4">
        <v>744000</v>
      </c>
      <c r="U647" s="5">
        <v>0</v>
      </c>
      <c r="V647" s="4">
        <v>0</v>
      </c>
      <c r="W647" s="5">
        <v>0</v>
      </c>
      <c r="X647" s="4">
        <v>0</v>
      </c>
      <c r="Y647" s="4">
        <f t="shared" si="20"/>
        <v>744000</v>
      </c>
      <c r="Z647" s="6" t="s">
        <v>0</v>
      </c>
      <c r="AA647" t="s">
        <v>2</v>
      </c>
      <c r="AB647" t="s">
        <v>12</v>
      </c>
      <c r="AC647">
        <f>_xlfn.XLOOKUP(AB647,'[1]GST Codes'!$A:$A,'[1]GST Codes'!$C:$C,0,0)</f>
        <v>18</v>
      </c>
      <c r="AD647">
        <f t="shared" si="21"/>
        <v>877920</v>
      </c>
      <c r="AE647" t="s">
        <v>13</v>
      </c>
      <c r="AF647" t="s">
        <v>0</v>
      </c>
      <c r="AG647" t="s">
        <v>14</v>
      </c>
      <c r="AH647" t="s">
        <v>15</v>
      </c>
      <c r="AI647" t="s">
        <v>85</v>
      </c>
      <c r="AJ647" t="s">
        <v>17</v>
      </c>
      <c r="AK647" t="s">
        <v>18</v>
      </c>
      <c r="AL647" t="s">
        <v>19</v>
      </c>
      <c r="AM647" t="s">
        <v>363</v>
      </c>
      <c r="AN647" t="s">
        <v>0</v>
      </c>
      <c r="AO647" t="s">
        <v>0</v>
      </c>
      <c r="AP647" t="s">
        <v>0</v>
      </c>
      <c r="AQ647" s="5">
        <v>16</v>
      </c>
      <c r="AR647" t="s">
        <v>11</v>
      </c>
      <c r="AS647" t="s">
        <v>0</v>
      </c>
      <c r="AT647" t="s">
        <v>17</v>
      </c>
      <c r="AU647" s="4">
        <v>0</v>
      </c>
      <c r="AV647" s="4">
        <v>0</v>
      </c>
      <c r="AW647" s="4">
        <v>0</v>
      </c>
      <c r="AX647" s="4">
        <v>0</v>
      </c>
      <c r="AY647" s="5">
        <v>0</v>
      </c>
      <c r="AZ647" s="5">
        <v>0</v>
      </c>
      <c r="BA647" s="5">
        <v>0</v>
      </c>
      <c r="BB647" s="2"/>
      <c r="BC647" t="s">
        <v>0</v>
      </c>
      <c r="BD647" s="5">
        <v>1</v>
      </c>
      <c r="BE647" t="s">
        <v>0</v>
      </c>
      <c r="BF647" t="s">
        <v>365</v>
      </c>
      <c r="BG647" t="s">
        <v>17</v>
      </c>
      <c r="BH647" t="s">
        <v>0</v>
      </c>
      <c r="BI647" t="s">
        <v>11</v>
      </c>
      <c r="BJ647" t="s">
        <v>0</v>
      </c>
      <c r="BK647" t="s">
        <v>0</v>
      </c>
      <c r="BL647" s="5">
        <v>0</v>
      </c>
      <c r="BM647" t="s">
        <v>0</v>
      </c>
      <c r="BN647" t="s">
        <v>0</v>
      </c>
      <c r="BO647" t="s">
        <v>0</v>
      </c>
      <c r="BP647" t="s">
        <v>17</v>
      </c>
      <c r="BQ647" t="s">
        <v>0</v>
      </c>
      <c r="BR647" t="s">
        <v>17</v>
      </c>
      <c r="BS647" t="s">
        <v>17</v>
      </c>
      <c r="BT647" t="s">
        <v>0</v>
      </c>
      <c r="BU647" t="s">
        <v>0</v>
      </c>
      <c r="BV647" t="s">
        <v>0</v>
      </c>
      <c r="BW647" t="s">
        <v>0</v>
      </c>
      <c r="BX647" t="s">
        <v>0</v>
      </c>
      <c r="BY647" t="s">
        <v>0</v>
      </c>
      <c r="BZ647" t="s">
        <v>0</v>
      </c>
      <c r="CA647" t="s">
        <v>0</v>
      </c>
      <c r="CB647" t="s">
        <v>0</v>
      </c>
    </row>
    <row r="648" spans="1:80" ht="13.95" customHeight="1" x14ac:dyDescent="0.25">
      <c r="A648" t="s">
        <v>378</v>
      </c>
      <c r="B648" s="2">
        <v>45939</v>
      </c>
      <c r="C648" s="2">
        <v>45939</v>
      </c>
      <c r="D648" s="2">
        <v>45969</v>
      </c>
      <c r="E648" t="s">
        <v>2</v>
      </c>
      <c r="F648" t="s">
        <v>3</v>
      </c>
      <c r="G648" t="s">
        <v>0</v>
      </c>
      <c r="H648" t="s">
        <v>4</v>
      </c>
      <c r="I648" t="s">
        <v>363</v>
      </c>
      <c r="J648" t="s">
        <v>6</v>
      </c>
      <c r="K648" t="s">
        <v>219</v>
      </c>
      <c r="L648" t="s">
        <v>329</v>
      </c>
      <c r="M648" t="s">
        <v>339</v>
      </c>
      <c r="N648" t="s">
        <v>10</v>
      </c>
      <c r="O648" t="s">
        <v>0</v>
      </c>
      <c r="P648" t="s">
        <v>11</v>
      </c>
      <c r="Q648" s="5">
        <v>17</v>
      </c>
      <c r="R648" s="4">
        <v>46500</v>
      </c>
      <c r="S648" s="5">
        <v>1</v>
      </c>
      <c r="T648" s="4">
        <v>790500</v>
      </c>
      <c r="U648" s="5">
        <v>0</v>
      </c>
      <c r="V648" s="4">
        <v>0</v>
      </c>
      <c r="W648" s="5">
        <v>0</v>
      </c>
      <c r="X648" s="4">
        <v>0</v>
      </c>
      <c r="Y648" s="4">
        <f t="shared" si="20"/>
        <v>790500</v>
      </c>
      <c r="Z648" s="6" t="s">
        <v>0</v>
      </c>
      <c r="AA648" t="s">
        <v>2</v>
      </c>
      <c r="AB648" t="s">
        <v>12</v>
      </c>
      <c r="AC648">
        <f>_xlfn.XLOOKUP(AB648,'[1]GST Codes'!$A:$A,'[1]GST Codes'!$C:$C,0,0)</f>
        <v>18</v>
      </c>
      <c r="AD648">
        <f t="shared" si="21"/>
        <v>932790</v>
      </c>
      <c r="AE648" t="s">
        <v>13</v>
      </c>
      <c r="AF648" t="s">
        <v>0</v>
      </c>
      <c r="AG648" t="s">
        <v>14</v>
      </c>
      <c r="AH648" t="s">
        <v>15</v>
      </c>
      <c r="AI648" t="s">
        <v>85</v>
      </c>
      <c r="AJ648" t="s">
        <v>17</v>
      </c>
      <c r="AK648" t="s">
        <v>18</v>
      </c>
      <c r="AL648" t="s">
        <v>19</v>
      </c>
      <c r="AM648" t="s">
        <v>363</v>
      </c>
      <c r="AN648" t="s">
        <v>0</v>
      </c>
      <c r="AO648" t="s">
        <v>0</v>
      </c>
      <c r="AP648" t="s">
        <v>0</v>
      </c>
      <c r="AQ648" s="5">
        <v>17</v>
      </c>
      <c r="AR648" t="s">
        <v>11</v>
      </c>
      <c r="AS648" t="s">
        <v>0</v>
      </c>
      <c r="AT648" t="s">
        <v>17</v>
      </c>
      <c r="AU648" s="4">
        <v>0</v>
      </c>
      <c r="AV648" s="4">
        <v>0</v>
      </c>
      <c r="AW648" s="4">
        <v>0</v>
      </c>
      <c r="AX648" s="4">
        <v>0</v>
      </c>
      <c r="AY648" s="5">
        <v>0</v>
      </c>
      <c r="AZ648" s="5">
        <v>0</v>
      </c>
      <c r="BA648" s="5">
        <v>0</v>
      </c>
      <c r="BB648" s="2"/>
      <c r="BC648" t="s">
        <v>0</v>
      </c>
      <c r="BD648" s="5">
        <v>1</v>
      </c>
      <c r="BE648" t="s">
        <v>0</v>
      </c>
      <c r="BF648" t="s">
        <v>365</v>
      </c>
      <c r="BG648" t="s">
        <v>17</v>
      </c>
      <c r="BH648" t="s">
        <v>0</v>
      </c>
      <c r="BI648" t="s">
        <v>11</v>
      </c>
      <c r="BJ648" t="s">
        <v>0</v>
      </c>
      <c r="BK648" t="s">
        <v>0</v>
      </c>
      <c r="BL648" s="5">
        <v>0</v>
      </c>
      <c r="BM648" t="s">
        <v>0</v>
      </c>
      <c r="BN648" t="s">
        <v>0</v>
      </c>
      <c r="BO648" t="s">
        <v>0</v>
      </c>
      <c r="BP648" t="s">
        <v>17</v>
      </c>
      <c r="BQ648" t="s">
        <v>0</v>
      </c>
      <c r="BR648" t="s">
        <v>17</v>
      </c>
      <c r="BS648" t="s">
        <v>17</v>
      </c>
      <c r="BT648" t="s">
        <v>0</v>
      </c>
      <c r="BU648" t="s">
        <v>0</v>
      </c>
      <c r="BV648" t="s">
        <v>0</v>
      </c>
      <c r="BW648" t="s">
        <v>0</v>
      </c>
      <c r="BX648" t="s">
        <v>0</v>
      </c>
      <c r="BY648" t="s">
        <v>0</v>
      </c>
      <c r="BZ648" t="s">
        <v>0</v>
      </c>
      <c r="CA648" t="s">
        <v>0</v>
      </c>
      <c r="CB648" t="s">
        <v>0</v>
      </c>
    </row>
    <row r="649" spans="1:80" ht="13.95" customHeight="1" x14ac:dyDescent="0.25">
      <c r="A649" t="s">
        <v>378</v>
      </c>
      <c r="B649" s="2">
        <v>45939</v>
      </c>
      <c r="C649" s="2">
        <v>45939</v>
      </c>
      <c r="D649" s="2">
        <v>45969</v>
      </c>
      <c r="E649" t="s">
        <v>2</v>
      </c>
      <c r="F649" t="s">
        <v>3</v>
      </c>
      <c r="G649" t="s">
        <v>0</v>
      </c>
      <c r="H649" t="s">
        <v>4</v>
      </c>
      <c r="I649" t="s">
        <v>363</v>
      </c>
      <c r="J649" t="s">
        <v>6</v>
      </c>
      <c r="K649" t="s">
        <v>223</v>
      </c>
      <c r="L649" t="s">
        <v>329</v>
      </c>
      <c r="M649" t="s">
        <v>339</v>
      </c>
      <c r="N649" t="s">
        <v>10</v>
      </c>
      <c r="O649" t="s">
        <v>0</v>
      </c>
      <c r="P649" t="s">
        <v>11</v>
      </c>
      <c r="Q649" s="5">
        <v>17</v>
      </c>
      <c r="R649" s="4">
        <v>46500</v>
      </c>
      <c r="S649" s="5">
        <v>1</v>
      </c>
      <c r="T649" s="4">
        <v>790500</v>
      </c>
      <c r="U649" s="5">
        <v>0</v>
      </c>
      <c r="V649" s="4">
        <v>0</v>
      </c>
      <c r="W649" s="5">
        <v>0</v>
      </c>
      <c r="X649" s="4">
        <v>0</v>
      </c>
      <c r="Y649" s="4">
        <f t="shared" si="20"/>
        <v>790500</v>
      </c>
      <c r="Z649" s="6" t="s">
        <v>0</v>
      </c>
      <c r="AA649" t="s">
        <v>2</v>
      </c>
      <c r="AB649" t="s">
        <v>12</v>
      </c>
      <c r="AC649">
        <f>_xlfn.XLOOKUP(AB649,'[1]GST Codes'!$A:$A,'[1]GST Codes'!$C:$C,0,0)</f>
        <v>18</v>
      </c>
      <c r="AD649">
        <f t="shared" si="21"/>
        <v>932790</v>
      </c>
      <c r="AE649" t="s">
        <v>13</v>
      </c>
      <c r="AF649" t="s">
        <v>0</v>
      </c>
      <c r="AG649" t="s">
        <v>14</v>
      </c>
      <c r="AH649" t="s">
        <v>15</v>
      </c>
      <c r="AI649" t="s">
        <v>85</v>
      </c>
      <c r="AJ649" t="s">
        <v>17</v>
      </c>
      <c r="AK649" t="s">
        <v>18</v>
      </c>
      <c r="AL649" t="s">
        <v>19</v>
      </c>
      <c r="AM649" t="s">
        <v>363</v>
      </c>
      <c r="AN649" t="s">
        <v>0</v>
      </c>
      <c r="AO649" t="s">
        <v>0</v>
      </c>
      <c r="AP649" t="s">
        <v>0</v>
      </c>
      <c r="AQ649" s="5">
        <v>17</v>
      </c>
      <c r="AR649" t="s">
        <v>11</v>
      </c>
      <c r="AS649" t="s">
        <v>0</v>
      </c>
      <c r="AT649" t="s">
        <v>17</v>
      </c>
      <c r="AU649" s="4">
        <v>0</v>
      </c>
      <c r="AV649" s="4">
        <v>0</v>
      </c>
      <c r="AW649" s="4">
        <v>0</v>
      </c>
      <c r="AX649" s="4">
        <v>0</v>
      </c>
      <c r="AY649" s="5">
        <v>0</v>
      </c>
      <c r="AZ649" s="5">
        <v>0</v>
      </c>
      <c r="BA649" s="5">
        <v>0</v>
      </c>
      <c r="BB649" s="2"/>
      <c r="BC649" t="s">
        <v>0</v>
      </c>
      <c r="BD649" s="5">
        <v>1</v>
      </c>
      <c r="BE649" t="s">
        <v>0</v>
      </c>
      <c r="BF649" t="s">
        <v>365</v>
      </c>
      <c r="BG649" t="s">
        <v>17</v>
      </c>
      <c r="BH649" t="s">
        <v>0</v>
      </c>
      <c r="BI649" t="s">
        <v>11</v>
      </c>
      <c r="BJ649" t="s">
        <v>0</v>
      </c>
      <c r="BK649" t="s">
        <v>0</v>
      </c>
      <c r="BL649" s="5">
        <v>0</v>
      </c>
      <c r="BM649" t="s">
        <v>0</v>
      </c>
      <c r="BN649" t="s">
        <v>0</v>
      </c>
      <c r="BO649" t="s">
        <v>0</v>
      </c>
      <c r="BP649" t="s">
        <v>17</v>
      </c>
      <c r="BQ649" t="s">
        <v>0</v>
      </c>
      <c r="BR649" t="s">
        <v>17</v>
      </c>
      <c r="BS649" t="s">
        <v>17</v>
      </c>
      <c r="BT649" t="s">
        <v>0</v>
      </c>
      <c r="BU649" t="s">
        <v>0</v>
      </c>
      <c r="BV649" t="s">
        <v>0</v>
      </c>
      <c r="BW649" t="s">
        <v>0</v>
      </c>
      <c r="BX649" t="s">
        <v>0</v>
      </c>
      <c r="BY649" t="s">
        <v>0</v>
      </c>
      <c r="BZ649" t="s">
        <v>0</v>
      </c>
      <c r="CA649" t="s">
        <v>0</v>
      </c>
      <c r="CB649" t="s">
        <v>0</v>
      </c>
    </row>
    <row r="650" spans="1:80" ht="13.95" customHeight="1" x14ac:dyDescent="0.25">
      <c r="A650" t="s">
        <v>378</v>
      </c>
      <c r="B650" s="2">
        <v>45939</v>
      </c>
      <c r="C650" s="2">
        <v>45939</v>
      </c>
      <c r="D650" s="2">
        <v>45969</v>
      </c>
      <c r="E650" t="s">
        <v>2</v>
      </c>
      <c r="F650" t="s">
        <v>3</v>
      </c>
      <c r="G650" t="s">
        <v>0</v>
      </c>
      <c r="H650" t="s">
        <v>4</v>
      </c>
      <c r="I650" t="s">
        <v>363</v>
      </c>
      <c r="J650" t="s">
        <v>6</v>
      </c>
      <c r="K650" t="s">
        <v>224</v>
      </c>
      <c r="L650" t="s">
        <v>329</v>
      </c>
      <c r="M650" t="s">
        <v>339</v>
      </c>
      <c r="N650" t="s">
        <v>10</v>
      </c>
      <c r="O650" t="s">
        <v>0</v>
      </c>
      <c r="P650" t="s">
        <v>11</v>
      </c>
      <c r="Q650" s="5">
        <v>17</v>
      </c>
      <c r="R650" s="4">
        <v>46500</v>
      </c>
      <c r="S650" s="5">
        <v>1</v>
      </c>
      <c r="T650" s="4">
        <v>790500</v>
      </c>
      <c r="U650" s="5">
        <v>0</v>
      </c>
      <c r="V650" s="4">
        <v>0</v>
      </c>
      <c r="W650" s="5">
        <v>0</v>
      </c>
      <c r="X650" s="4">
        <v>0</v>
      </c>
      <c r="Y650" s="4">
        <f t="shared" si="20"/>
        <v>790500</v>
      </c>
      <c r="Z650" s="6" t="s">
        <v>0</v>
      </c>
      <c r="AA650" t="s">
        <v>2</v>
      </c>
      <c r="AB650" t="s">
        <v>12</v>
      </c>
      <c r="AC650">
        <f>_xlfn.XLOOKUP(AB650,'[1]GST Codes'!$A:$A,'[1]GST Codes'!$C:$C,0,0)</f>
        <v>18</v>
      </c>
      <c r="AD650">
        <f t="shared" si="21"/>
        <v>932790</v>
      </c>
      <c r="AE650" t="s">
        <v>13</v>
      </c>
      <c r="AF650" t="s">
        <v>0</v>
      </c>
      <c r="AG650" t="s">
        <v>14</v>
      </c>
      <c r="AH650" t="s">
        <v>15</v>
      </c>
      <c r="AI650" t="s">
        <v>85</v>
      </c>
      <c r="AJ650" t="s">
        <v>17</v>
      </c>
      <c r="AK650" t="s">
        <v>18</v>
      </c>
      <c r="AL650" t="s">
        <v>19</v>
      </c>
      <c r="AM650" t="s">
        <v>363</v>
      </c>
      <c r="AN650" t="s">
        <v>0</v>
      </c>
      <c r="AO650" t="s">
        <v>0</v>
      </c>
      <c r="AP650" t="s">
        <v>0</v>
      </c>
      <c r="AQ650" s="5">
        <v>17</v>
      </c>
      <c r="AR650" t="s">
        <v>11</v>
      </c>
      <c r="AS650" t="s">
        <v>0</v>
      </c>
      <c r="AT650" t="s">
        <v>17</v>
      </c>
      <c r="AU650" s="4">
        <v>0</v>
      </c>
      <c r="AV650" s="4">
        <v>0</v>
      </c>
      <c r="AW650" s="4">
        <v>0</v>
      </c>
      <c r="AX650" s="4">
        <v>0</v>
      </c>
      <c r="AY650" s="5">
        <v>0</v>
      </c>
      <c r="AZ650" s="5">
        <v>0</v>
      </c>
      <c r="BA650" s="5">
        <v>0</v>
      </c>
      <c r="BB650" s="2"/>
      <c r="BC650" t="s">
        <v>0</v>
      </c>
      <c r="BD650" s="5">
        <v>1</v>
      </c>
      <c r="BE650" t="s">
        <v>0</v>
      </c>
      <c r="BF650" t="s">
        <v>365</v>
      </c>
      <c r="BG650" t="s">
        <v>17</v>
      </c>
      <c r="BH650" t="s">
        <v>0</v>
      </c>
      <c r="BI650" t="s">
        <v>11</v>
      </c>
      <c r="BJ650" t="s">
        <v>0</v>
      </c>
      <c r="BK650" t="s">
        <v>0</v>
      </c>
      <c r="BL650" s="5">
        <v>0</v>
      </c>
      <c r="BM650" t="s">
        <v>0</v>
      </c>
      <c r="BN650" t="s">
        <v>0</v>
      </c>
      <c r="BO650" t="s">
        <v>0</v>
      </c>
      <c r="BP650" t="s">
        <v>17</v>
      </c>
      <c r="BQ650" t="s">
        <v>0</v>
      </c>
      <c r="BR650" t="s">
        <v>17</v>
      </c>
      <c r="BS650" t="s">
        <v>17</v>
      </c>
      <c r="BT650" t="s">
        <v>0</v>
      </c>
      <c r="BU650" t="s">
        <v>0</v>
      </c>
      <c r="BV650" t="s">
        <v>0</v>
      </c>
      <c r="BW650" t="s">
        <v>0</v>
      </c>
      <c r="BX650" t="s">
        <v>0</v>
      </c>
      <c r="BY650" t="s">
        <v>0</v>
      </c>
      <c r="BZ650" t="s">
        <v>0</v>
      </c>
      <c r="CA650" t="s">
        <v>0</v>
      </c>
      <c r="CB650" t="s">
        <v>0</v>
      </c>
    </row>
    <row r="651" spans="1:80" ht="13.95" customHeight="1" x14ac:dyDescent="0.25">
      <c r="A651" t="s">
        <v>378</v>
      </c>
      <c r="B651" s="2">
        <v>45939</v>
      </c>
      <c r="C651" s="2">
        <v>45939</v>
      </c>
      <c r="D651" s="2">
        <v>45969</v>
      </c>
      <c r="E651" t="s">
        <v>2</v>
      </c>
      <c r="F651" t="s">
        <v>3</v>
      </c>
      <c r="G651" t="s">
        <v>0</v>
      </c>
      <c r="H651" t="s">
        <v>4</v>
      </c>
      <c r="I651" t="s">
        <v>363</v>
      </c>
      <c r="J651" t="s">
        <v>6</v>
      </c>
      <c r="K651" t="s">
        <v>225</v>
      </c>
      <c r="L651" t="s">
        <v>329</v>
      </c>
      <c r="M651" t="s">
        <v>339</v>
      </c>
      <c r="N651" t="s">
        <v>10</v>
      </c>
      <c r="O651" t="s">
        <v>0</v>
      </c>
      <c r="P651" t="s">
        <v>11</v>
      </c>
      <c r="Q651" s="5">
        <v>17</v>
      </c>
      <c r="R651" s="4">
        <v>46500</v>
      </c>
      <c r="S651" s="5">
        <v>1</v>
      </c>
      <c r="T651" s="4">
        <v>790500</v>
      </c>
      <c r="U651" s="5">
        <v>0</v>
      </c>
      <c r="V651" s="4">
        <v>0</v>
      </c>
      <c r="W651" s="5">
        <v>0</v>
      </c>
      <c r="X651" s="4">
        <v>0</v>
      </c>
      <c r="Y651" s="4">
        <f t="shared" si="20"/>
        <v>790500</v>
      </c>
      <c r="Z651" s="6" t="s">
        <v>0</v>
      </c>
      <c r="AA651" t="s">
        <v>2</v>
      </c>
      <c r="AB651" t="s">
        <v>12</v>
      </c>
      <c r="AC651">
        <f>_xlfn.XLOOKUP(AB651,'[1]GST Codes'!$A:$A,'[1]GST Codes'!$C:$C,0,0)</f>
        <v>18</v>
      </c>
      <c r="AD651">
        <f t="shared" si="21"/>
        <v>932790</v>
      </c>
      <c r="AE651" t="s">
        <v>13</v>
      </c>
      <c r="AF651" t="s">
        <v>0</v>
      </c>
      <c r="AG651" t="s">
        <v>14</v>
      </c>
      <c r="AH651" t="s">
        <v>15</v>
      </c>
      <c r="AI651" t="s">
        <v>85</v>
      </c>
      <c r="AJ651" t="s">
        <v>17</v>
      </c>
      <c r="AK651" t="s">
        <v>18</v>
      </c>
      <c r="AL651" t="s">
        <v>19</v>
      </c>
      <c r="AM651" t="s">
        <v>363</v>
      </c>
      <c r="AN651" t="s">
        <v>0</v>
      </c>
      <c r="AO651" t="s">
        <v>0</v>
      </c>
      <c r="AP651" t="s">
        <v>0</v>
      </c>
      <c r="AQ651" s="5">
        <v>17</v>
      </c>
      <c r="AR651" t="s">
        <v>11</v>
      </c>
      <c r="AS651" t="s">
        <v>0</v>
      </c>
      <c r="AT651" t="s">
        <v>17</v>
      </c>
      <c r="AU651" s="4">
        <v>0</v>
      </c>
      <c r="AV651" s="4">
        <v>0</v>
      </c>
      <c r="AW651" s="4">
        <v>0</v>
      </c>
      <c r="AX651" s="4">
        <v>0</v>
      </c>
      <c r="AY651" s="5">
        <v>0</v>
      </c>
      <c r="AZ651" s="5">
        <v>0</v>
      </c>
      <c r="BA651" s="5">
        <v>0</v>
      </c>
      <c r="BB651" s="2"/>
      <c r="BC651" t="s">
        <v>0</v>
      </c>
      <c r="BD651" s="5">
        <v>1</v>
      </c>
      <c r="BE651" t="s">
        <v>0</v>
      </c>
      <c r="BF651" t="s">
        <v>365</v>
      </c>
      <c r="BG651" t="s">
        <v>17</v>
      </c>
      <c r="BH651" t="s">
        <v>0</v>
      </c>
      <c r="BI651" t="s">
        <v>11</v>
      </c>
      <c r="BJ651" t="s">
        <v>0</v>
      </c>
      <c r="BK651" t="s">
        <v>0</v>
      </c>
      <c r="BL651" s="5">
        <v>0</v>
      </c>
      <c r="BM651" t="s">
        <v>0</v>
      </c>
      <c r="BN651" t="s">
        <v>0</v>
      </c>
      <c r="BO651" t="s">
        <v>0</v>
      </c>
      <c r="BP651" t="s">
        <v>17</v>
      </c>
      <c r="BQ651" t="s">
        <v>0</v>
      </c>
      <c r="BR651" t="s">
        <v>17</v>
      </c>
      <c r="BS651" t="s">
        <v>17</v>
      </c>
      <c r="BT651" t="s">
        <v>0</v>
      </c>
      <c r="BU651" t="s">
        <v>0</v>
      </c>
      <c r="BV651" t="s">
        <v>0</v>
      </c>
      <c r="BW651" t="s">
        <v>0</v>
      </c>
      <c r="BX651" t="s">
        <v>0</v>
      </c>
      <c r="BY651" t="s">
        <v>0</v>
      </c>
      <c r="BZ651" t="s">
        <v>0</v>
      </c>
      <c r="CA651" t="s">
        <v>0</v>
      </c>
      <c r="CB651" t="s">
        <v>0</v>
      </c>
    </row>
    <row r="652" spans="1:80" ht="13.95" customHeight="1" x14ac:dyDescent="0.25">
      <c r="A652" t="s">
        <v>379</v>
      </c>
      <c r="B652" s="2">
        <v>45968</v>
      </c>
      <c r="C652" s="2">
        <v>45968</v>
      </c>
      <c r="D652" s="2">
        <v>45998</v>
      </c>
      <c r="E652" t="s">
        <v>2</v>
      </c>
      <c r="F652" t="s">
        <v>3</v>
      </c>
      <c r="G652" t="s">
        <v>0</v>
      </c>
      <c r="H652" t="s">
        <v>4</v>
      </c>
      <c r="I652" t="s">
        <v>363</v>
      </c>
      <c r="J652" t="s">
        <v>6</v>
      </c>
      <c r="K652" t="s">
        <v>7</v>
      </c>
      <c r="L652" t="s">
        <v>74</v>
      </c>
      <c r="M652" t="s">
        <v>75</v>
      </c>
      <c r="N652" t="s">
        <v>10</v>
      </c>
      <c r="O652" t="s">
        <v>0</v>
      </c>
      <c r="P652" t="s">
        <v>11</v>
      </c>
      <c r="Q652" s="5">
        <v>34</v>
      </c>
      <c r="R652" s="4">
        <v>46100</v>
      </c>
      <c r="S652" s="5">
        <v>1</v>
      </c>
      <c r="T652" s="4">
        <v>1567400</v>
      </c>
      <c r="U652" s="5">
        <v>0</v>
      </c>
      <c r="V652" s="4">
        <v>0</v>
      </c>
      <c r="W652" s="5">
        <v>0</v>
      </c>
      <c r="X652" s="4">
        <v>0</v>
      </c>
      <c r="Y652" s="4">
        <f t="shared" si="20"/>
        <v>1567400</v>
      </c>
      <c r="Z652" s="6" t="s">
        <v>0</v>
      </c>
      <c r="AA652" t="s">
        <v>2</v>
      </c>
      <c r="AB652" t="s">
        <v>12</v>
      </c>
      <c r="AC652">
        <f>_xlfn.XLOOKUP(AB652,'[1]GST Codes'!$A:$A,'[1]GST Codes'!$C:$C,0,0)</f>
        <v>18</v>
      </c>
      <c r="AD652">
        <f t="shared" si="21"/>
        <v>1849532</v>
      </c>
      <c r="AE652" t="s">
        <v>13</v>
      </c>
      <c r="AF652" t="s">
        <v>0</v>
      </c>
      <c r="AG652" t="s">
        <v>14</v>
      </c>
      <c r="AH652" t="s">
        <v>15</v>
      </c>
      <c r="AI652" t="s">
        <v>85</v>
      </c>
      <c r="AJ652" t="s">
        <v>17</v>
      </c>
      <c r="AK652" t="s">
        <v>18</v>
      </c>
      <c r="AL652" t="s">
        <v>19</v>
      </c>
      <c r="AM652" t="s">
        <v>363</v>
      </c>
      <c r="AN652" t="s">
        <v>0</v>
      </c>
      <c r="AO652" t="s">
        <v>0</v>
      </c>
      <c r="AP652" t="s">
        <v>0</v>
      </c>
      <c r="AQ652" s="5">
        <v>34</v>
      </c>
      <c r="AR652" t="s">
        <v>11</v>
      </c>
      <c r="AS652" t="s">
        <v>0</v>
      </c>
      <c r="AT652" t="s">
        <v>17</v>
      </c>
      <c r="AU652" s="4">
        <v>0</v>
      </c>
      <c r="AV652" s="4">
        <v>0</v>
      </c>
      <c r="AW652" s="4">
        <v>0</v>
      </c>
      <c r="AX652" s="4">
        <v>0</v>
      </c>
      <c r="AY652" s="5">
        <v>0</v>
      </c>
      <c r="AZ652" s="5">
        <v>0</v>
      </c>
      <c r="BA652" s="5">
        <v>0</v>
      </c>
      <c r="BB652" s="2"/>
      <c r="BC652" t="s">
        <v>0</v>
      </c>
      <c r="BD652" s="5">
        <v>1</v>
      </c>
      <c r="BE652" t="s">
        <v>0</v>
      </c>
      <c r="BF652" t="s">
        <v>367</v>
      </c>
      <c r="BG652" t="s">
        <v>17</v>
      </c>
      <c r="BH652" t="s">
        <v>0</v>
      </c>
      <c r="BI652" t="s">
        <v>11</v>
      </c>
      <c r="BJ652" t="s">
        <v>0</v>
      </c>
      <c r="BK652" t="s">
        <v>0</v>
      </c>
      <c r="BL652" s="5">
        <v>0</v>
      </c>
      <c r="BM652" t="s">
        <v>0</v>
      </c>
      <c r="BN652" t="s">
        <v>0</v>
      </c>
      <c r="BO652" t="s">
        <v>0</v>
      </c>
      <c r="BP652" t="s">
        <v>17</v>
      </c>
      <c r="BQ652" t="s">
        <v>0</v>
      </c>
      <c r="BR652" t="s">
        <v>17</v>
      </c>
      <c r="BS652" t="s">
        <v>17</v>
      </c>
      <c r="BT652" t="s">
        <v>0</v>
      </c>
      <c r="BU652" t="s">
        <v>0</v>
      </c>
      <c r="BV652" t="s">
        <v>0</v>
      </c>
      <c r="BW652" t="s">
        <v>0</v>
      </c>
      <c r="BX652" t="s">
        <v>0</v>
      </c>
      <c r="BY652" t="s">
        <v>0</v>
      </c>
      <c r="BZ652" t="s">
        <v>0</v>
      </c>
      <c r="CA652" t="s">
        <v>0</v>
      </c>
      <c r="CB652" t="s">
        <v>0</v>
      </c>
    </row>
    <row r="653" spans="1:80" ht="13.95" customHeight="1" x14ac:dyDescent="0.25">
      <c r="A653" t="s">
        <v>379</v>
      </c>
      <c r="B653" s="2">
        <v>45968</v>
      </c>
      <c r="C653" s="2">
        <v>45968</v>
      </c>
      <c r="D653" s="2">
        <v>45998</v>
      </c>
      <c r="E653" t="s">
        <v>2</v>
      </c>
      <c r="F653" t="s">
        <v>3</v>
      </c>
      <c r="G653" t="s">
        <v>0</v>
      </c>
      <c r="H653" t="s">
        <v>4</v>
      </c>
      <c r="I653" t="s">
        <v>363</v>
      </c>
      <c r="J653" t="s">
        <v>6</v>
      </c>
      <c r="K653" t="s">
        <v>22</v>
      </c>
      <c r="L653" t="s">
        <v>74</v>
      </c>
      <c r="M653" t="s">
        <v>75</v>
      </c>
      <c r="N653" t="s">
        <v>10</v>
      </c>
      <c r="O653" t="s">
        <v>0</v>
      </c>
      <c r="P653" t="s">
        <v>11</v>
      </c>
      <c r="Q653" s="5">
        <v>34</v>
      </c>
      <c r="R653" s="4">
        <v>46100</v>
      </c>
      <c r="S653" s="5">
        <v>1</v>
      </c>
      <c r="T653" s="4">
        <v>1567400</v>
      </c>
      <c r="U653" s="5">
        <v>0</v>
      </c>
      <c r="V653" s="4">
        <v>0</v>
      </c>
      <c r="W653" s="5">
        <v>0</v>
      </c>
      <c r="X653" s="4">
        <v>0</v>
      </c>
      <c r="Y653" s="4">
        <f t="shared" si="20"/>
        <v>1567400</v>
      </c>
      <c r="Z653" s="6" t="s">
        <v>0</v>
      </c>
      <c r="AA653" t="s">
        <v>2</v>
      </c>
      <c r="AB653" t="s">
        <v>12</v>
      </c>
      <c r="AC653">
        <f>_xlfn.XLOOKUP(AB653,'[1]GST Codes'!$A:$A,'[1]GST Codes'!$C:$C,0,0)</f>
        <v>18</v>
      </c>
      <c r="AD653">
        <f t="shared" si="21"/>
        <v>1849532</v>
      </c>
      <c r="AE653" t="s">
        <v>13</v>
      </c>
      <c r="AF653" t="s">
        <v>0</v>
      </c>
      <c r="AG653" t="s">
        <v>14</v>
      </c>
      <c r="AH653" t="s">
        <v>15</v>
      </c>
      <c r="AI653" t="s">
        <v>85</v>
      </c>
      <c r="AJ653" t="s">
        <v>17</v>
      </c>
      <c r="AK653" t="s">
        <v>18</v>
      </c>
      <c r="AL653" t="s">
        <v>19</v>
      </c>
      <c r="AM653" t="s">
        <v>363</v>
      </c>
      <c r="AN653" t="s">
        <v>0</v>
      </c>
      <c r="AO653" t="s">
        <v>0</v>
      </c>
      <c r="AP653" t="s">
        <v>0</v>
      </c>
      <c r="AQ653" s="5">
        <v>34</v>
      </c>
      <c r="AR653" t="s">
        <v>11</v>
      </c>
      <c r="AS653" t="s">
        <v>0</v>
      </c>
      <c r="AT653" t="s">
        <v>17</v>
      </c>
      <c r="AU653" s="4">
        <v>0</v>
      </c>
      <c r="AV653" s="4">
        <v>0</v>
      </c>
      <c r="AW653" s="4">
        <v>0</v>
      </c>
      <c r="AX653" s="4">
        <v>0</v>
      </c>
      <c r="AY653" s="5">
        <v>0</v>
      </c>
      <c r="AZ653" s="5">
        <v>0</v>
      </c>
      <c r="BA653" s="5">
        <v>0</v>
      </c>
      <c r="BB653" s="2"/>
      <c r="BC653" t="s">
        <v>0</v>
      </c>
      <c r="BD653" s="5">
        <v>1</v>
      </c>
      <c r="BE653" t="s">
        <v>0</v>
      </c>
      <c r="BF653" t="s">
        <v>367</v>
      </c>
      <c r="BG653" t="s">
        <v>17</v>
      </c>
      <c r="BH653" t="s">
        <v>0</v>
      </c>
      <c r="BI653" t="s">
        <v>11</v>
      </c>
      <c r="BJ653" t="s">
        <v>0</v>
      </c>
      <c r="BK653" t="s">
        <v>0</v>
      </c>
      <c r="BL653" s="5">
        <v>0</v>
      </c>
      <c r="BM653" t="s">
        <v>0</v>
      </c>
      <c r="BN653" t="s">
        <v>0</v>
      </c>
      <c r="BO653" t="s">
        <v>0</v>
      </c>
      <c r="BP653" t="s">
        <v>17</v>
      </c>
      <c r="BQ653" t="s">
        <v>0</v>
      </c>
      <c r="BR653" t="s">
        <v>17</v>
      </c>
      <c r="BS653" t="s">
        <v>17</v>
      </c>
      <c r="BT653" t="s">
        <v>0</v>
      </c>
      <c r="BU653" t="s">
        <v>0</v>
      </c>
      <c r="BV653" t="s">
        <v>0</v>
      </c>
      <c r="BW653" t="s">
        <v>0</v>
      </c>
      <c r="BX653" t="s">
        <v>0</v>
      </c>
      <c r="BY653" t="s">
        <v>0</v>
      </c>
      <c r="BZ653" t="s">
        <v>0</v>
      </c>
      <c r="CA653" t="s">
        <v>0</v>
      </c>
      <c r="CB653" t="s">
        <v>0</v>
      </c>
    </row>
    <row r="654" spans="1:80" ht="13.95" customHeight="1" x14ac:dyDescent="0.25">
      <c r="A654" t="s">
        <v>379</v>
      </c>
      <c r="B654" s="2">
        <v>45968</v>
      </c>
      <c r="C654" s="2">
        <v>45968</v>
      </c>
      <c r="D654" s="2">
        <v>45998</v>
      </c>
      <c r="E654" t="s">
        <v>2</v>
      </c>
      <c r="F654" t="s">
        <v>3</v>
      </c>
      <c r="G654" t="s">
        <v>0</v>
      </c>
      <c r="H654" t="s">
        <v>4</v>
      </c>
      <c r="I654" t="s">
        <v>363</v>
      </c>
      <c r="J654" t="s">
        <v>6</v>
      </c>
      <c r="K654" t="s">
        <v>26</v>
      </c>
      <c r="L654" t="s">
        <v>74</v>
      </c>
      <c r="M654" t="s">
        <v>75</v>
      </c>
      <c r="N654" t="s">
        <v>10</v>
      </c>
      <c r="O654" t="s">
        <v>0</v>
      </c>
      <c r="P654" t="s">
        <v>11</v>
      </c>
      <c r="Q654" s="5">
        <v>33</v>
      </c>
      <c r="R654" s="4">
        <v>46100</v>
      </c>
      <c r="S654" s="5">
        <v>1</v>
      </c>
      <c r="T654" s="4">
        <v>1521300</v>
      </c>
      <c r="U654" s="5">
        <v>0</v>
      </c>
      <c r="V654" s="4">
        <v>0</v>
      </c>
      <c r="W654" s="5">
        <v>0</v>
      </c>
      <c r="X654" s="4">
        <v>0</v>
      </c>
      <c r="Y654" s="4">
        <f t="shared" si="20"/>
        <v>1521300</v>
      </c>
      <c r="Z654" s="6" t="s">
        <v>0</v>
      </c>
      <c r="AA654" t="s">
        <v>2</v>
      </c>
      <c r="AB654" t="s">
        <v>12</v>
      </c>
      <c r="AC654">
        <f>_xlfn.XLOOKUP(AB654,'[1]GST Codes'!$A:$A,'[1]GST Codes'!$C:$C,0,0)</f>
        <v>18</v>
      </c>
      <c r="AD654">
        <f t="shared" si="21"/>
        <v>1795134</v>
      </c>
      <c r="AE654" t="s">
        <v>13</v>
      </c>
      <c r="AF654" t="s">
        <v>0</v>
      </c>
      <c r="AG654" t="s">
        <v>14</v>
      </c>
      <c r="AH654" t="s">
        <v>15</v>
      </c>
      <c r="AI654" t="s">
        <v>85</v>
      </c>
      <c r="AJ654" t="s">
        <v>17</v>
      </c>
      <c r="AK654" t="s">
        <v>18</v>
      </c>
      <c r="AL654" t="s">
        <v>19</v>
      </c>
      <c r="AM654" t="s">
        <v>363</v>
      </c>
      <c r="AN654" t="s">
        <v>0</v>
      </c>
      <c r="AO654" t="s">
        <v>0</v>
      </c>
      <c r="AP654" t="s">
        <v>0</v>
      </c>
      <c r="AQ654" s="5">
        <v>33</v>
      </c>
      <c r="AR654" t="s">
        <v>11</v>
      </c>
      <c r="AS654" t="s">
        <v>0</v>
      </c>
      <c r="AT654" t="s">
        <v>17</v>
      </c>
      <c r="AU654" s="4">
        <v>0</v>
      </c>
      <c r="AV654" s="4">
        <v>0</v>
      </c>
      <c r="AW654" s="4">
        <v>0</v>
      </c>
      <c r="AX654" s="4">
        <v>0</v>
      </c>
      <c r="AY654" s="5">
        <v>0</v>
      </c>
      <c r="AZ654" s="5">
        <v>0</v>
      </c>
      <c r="BA654" s="5">
        <v>0</v>
      </c>
      <c r="BB654" s="2"/>
      <c r="BC654" t="s">
        <v>0</v>
      </c>
      <c r="BD654" s="5">
        <v>1</v>
      </c>
      <c r="BE654" t="s">
        <v>0</v>
      </c>
      <c r="BF654" t="s">
        <v>367</v>
      </c>
      <c r="BG654" t="s">
        <v>17</v>
      </c>
      <c r="BH654" t="s">
        <v>0</v>
      </c>
      <c r="BI654" t="s">
        <v>11</v>
      </c>
      <c r="BJ654" t="s">
        <v>0</v>
      </c>
      <c r="BK654" t="s">
        <v>0</v>
      </c>
      <c r="BL654" s="5">
        <v>0</v>
      </c>
      <c r="BM654" t="s">
        <v>0</v>
      </c>
      <c r="BN654" t="s">
        <v>0</v>
      </c>
      <c r="BO654" t="s">
        <v>0</v>
      </c>
      <c r="BP654" t="s">
        <v>17</v>
      </c>
      <c r="BQ654" t="s">
        <v>0</v>
      </c>
      <c r="BR654" t="s">
        <v>17</v>
      </c>
      <c r="BS654" t="s">
        <v>17</v>
      </c>
      <c r="BT654" t="s">
        <v>0</v>
      </c>
      <c r="BU654" t="s">
        <v>0</v>
      </c>
      <c r="BV654" t="s">
        <v>0</v>
      </c>
      <c r="BW654" t="s">
        <v>0</v>
      </c>
      <c r="BX654" t="s">
        <v>0</v>
      </c>
      <c r="BY654" t="s">
        <v>0</v>
      </c>
      <c r="BZ654" t="s">
        <v>0</v>
      </c>
      <c r="CA654" t="s">
        <v>0</v>
      </c>
      <c r="CB654" t="s">
        <v>0</v>
      </c>
    </row>
    <row r="655" spans="1:80" ht="13.95" customHeight="1" x14ac:dyDescent="0.25">
      <c r="A655" t="s">
        <v>379</v>
      </c>
      <c r="B655" s="2">
        <v>45968</v>
      </c>
      <c r="C655" s="2">
        <v>45968</v>
      </c>
      <c r="D655" s="2">
        <v>45998</v>
      </c>
      <c r="E655" t="s">
        <v>2</v>
      </c>
      <c r="F655" t="s">
        <v>3</v>
      </c>
      <c r="G655" t="s">
        <v>0</v>
      </c>
      <c r="H655" t="s">
        <v>4</v>
      </c>
      <c r="I655" t="s">
        <v>363</v>
      </c>
      <c r="J655" t="s">
        <v>6</v>
      </c>
      <c r="K655" t="s">
        <v>30</v>
      </c>
      <c r="L655" t="s">
        <v>74</v>
      </c>
      <c r="M655" t="s">
        <v>75</v>
      </c>
      <c r="N655" t="s">
        <v>10</v>
      </c>
      <c r="O655" t="s">
        <v>0</v>
      </c>
      <c r="P655" t="s">
        <v>11</v>
      </c>
      <c r="Q655" s="5">
        <v>33</v>
      </c>
      <c r="R655" s="4">
        <v>46100</v>
      </c>
      <c r="S655" s="5">
        <v>1</v>
      </c>
      <c r="T655" s="4">
        <v>1521300</v>
      </c>
      <c r="U655" s="5">
        <v>0</v>
      </c>
      <c r="V655" s="4">
        <v>0</v>
      </c>
      <c r="W655" s="5">
        <v>0</v>
      </c>
      <c r="X655" s="4">
        <v>0</v>
      </c>
      <c r="Y655" s="4">
        <f t="shared" si="20"/>
        <v>1521300</v>
      </c>
      <c r="Z655" s="6" t="s">
        <v>0</v>
      </c>
      <c r="AA655" t="s">
        <v>2</v>
      </c>
      <c r="AB655" t="s">
        <v>12</v>
      </c>
      <c r="AC655">
        <f>_xlfn.XLOOKUP(AB655,'[1]GST Codes'!$A:$A,'[1]GST Codes'!$C:$C,0,0)</f>
        <v>18</v>
      </c>
      <c r="AD655">
        <f t="shared" si="21"/>
        <v>1795134</v>
      </c>
      <c r="AE655" t="s">
        <v>13</v>
      </c>
      <c r="AF655" t="s">
        <v>0</v>
      </c>
      <c r="AG655" t="s">
        <v>14</v>
      </c>
      <c r="AH655" t="s">
        <v>15</v>
      </c>
      <c r="AI655" t="s">
        <v>85</v>
      </c>
      <c r="AJ655" t="s">
        <v>17</v>
      </c>
      <c r="AK655" t="s">
        <v>18</v>
      </c>
      <c r="AL655" t="s">
        <v>19</v>
      </c>
      <c r="AM655" t="s">
        <v>363</v>
      </c>
      <c r="AN655" t="s">
        <v>0</v>
      </c>
      <c r="AO655" t="s">
        <v>0</v>
      </c>
      <c r="AP655" t="s">
        <v>0</v>
      </c>
      <c r="AQ655" s="5">
        <v>33</v>
      </c>
      <c r="AR655" t="s">
        <v>11</v>
      </c>
      <c r="AS655" t="s">
        <v>0</v>
      </c>
      <c r="AT655" t="s">
        <v>17</v>
      </c>
      <c r="AU655" s="4">
        <v>0</v>
      </c>
      <c r="AV655" s="4">
        <v>0</v>
      </c>
      <c r="AW655" s="4">
        <v>0</v>
      </c>
      <c r="AX655" s="4">
        <v>0</v>
      </c>
      <c r="AY655" s="5">
        <v>0</v>
      </c>
      <c r="AZ655" s="5">
        <v>0</v>
      </c>
      <c r="BA655" s="5">
        <v>0</v>
      </c>
      <c r="BB655" s="2"/>
      <c r="BC655" t="s">
        <v>0</v>
      </c>
      <c r="BD655" s="5">
        <v>1</v>
      </c>
      <c r="BE655" t="s">
        <v>0</v>
      </c>
      <c r="BF655" t="s">
        <v>367</v>
      </c>
      <c r="BG655" t="s">
        <v>17</v>
      </c>
      <c r="BH655" t="s">
        <v>0</v>
      </c>
      <c r="BI655" t="s">
        <v>11</v>
      </c>
      <c r="BJ655" t="s">
        <v>0</v>
      </c>
      <c r="BK655" t="s">
        <v>0</v>
      </c>
      <c r="BL655" s="5">
        <v>0</v>
      </c>
      <c r="BM655" t="s">
        <v>0</v>
      </c>
      <c r="BN655" t="s">
        <v>0</v>
      </c>
      <c r="BO655" t="s">
        <v>0</v>
      </c>
      <c r="BP655" t="s">
        <v>17</v>
      </c>
      <c r="BQ655" t="s">
        <v>0</v>
      </c>
      <c r="BR655" t="s">
        <v>17</v>
      </c>
      <c r="BS655" t="s">
        <v>17</v>
      </c>
      <c r="BT655" t="s">
        <v>0</v>
      </c>
      <c r="BU655" t="s">
        <v>0</v>
      </c>
      <c r="BV655" t="s">
        <v>0</v>
      </c>
      <c r="BW655" t="s">
        <v>0</v>
      </c>
      <c r="BX655" t="s">
        <v>0</v>
      </c>
      <c r="BY655" t="s">
        <v>0</v>
      </c>
      <c r="BZ655" t="s">
        <v>0</v>
      </c>
      <c r="CA655" t="s">
        <v>0</v>
      </c>
      <c r="CB655" t="s">
        <v>0</v>
      </c>
    </row>
    <row r="656" spans="1:80" ht="13.95" customHeight="1" x14ac:dyDescent="0.25">
      <c r="A656" t="s">
        <v>379</v>
      </c>
      <c r="B656" s="2">
        <v>45968</v>
      </c>
      <c r="C656" s="2">
        <v>45968</v>
      </c>
      <c r="D656" s="2">
        <v>45998</v>
      </c>
      <c r="E656" t="s">
        <v>2</v>
      </c>
      <c r="F656" t="s">
        <v>3</v>
      </c>
      <c r="G656" t="s">
        <v>0</v>
      </c>
      <c r="H656" t="s">
        <v>4</v>
      </c>
      <c r="I656" t="s">
        <v>363</v>
      </c>
      <c r="J656" t="s">
        <v>6</v>
      </c>
      <c r="K656" t="s">
        <v>34</v>
      </c>
      <c r="L656" t="s">
        <v>74</v>
      </c>
      <c r="M656" t="s">
        <v>75</v>
      </c>
      <c r="N656" t="s">
        <v>10</v>
      </c>
      <c r="O656" t="s">
        <v>0</v>
      </c>
      <c r="P656" t="s">
        <v>11</v>
      </c>
      <c r="Q656" s="5">
        <v>33</v>
      </c>
      <c r="R656" s="4">
        <v>46100</v>
      </c>
      <c r="S656" s="5">
        <v>1</v>
      </c>
      <c r="T656" s="4">
        <v>1521300</v>
      </c>
      <c r="U656" s="5">
        <v>0</v>
      </c>
      <c r="V656" s="4">
        <v>0</v>
      </c>
      <c r="W656" s="5">
        <v>0</v>
      </c>
      <c r="X656" s="4">
        <v>0</v>
      </c>
      <c r="Y656" s="4">
        <f t="shared" si="20"/>
        <v>1521300</v>
      </c>
      <c r="Z656" s="6" t="s">
        <v>0</v>
      </c>
      <c r="AA656" t="s">
        <v>2</v>
      </c>
      <c r="AB656" t="s">
        <v>12</v>
      </c>
      <c r="AC656">
        <f>_xlfn.XLOOKUP(AB656,'[1]GST Codes'!$A:$A,'[1]GST Codes'!$C:$C,0,0)</f>
        <v>18</v>
      </c>
      <c r="AD656">
        <f t="shared" si="21"/>
        <v>1795134</v>
      </c>
      <c r="AE656" t="s">
        <v>13</v>
      </c>
      <c r="AF656" t="s">
        <v>0</v>
      </c>
      <c r="AG656" t="s">
        <v>14</v>
      </c>
      <c r="AH656" t="s">
        <v>15</v>
      </c>
      <c r="AI656" t="s">
        <v>85</v>
      </c>
      <c r="AJ656" t="s">
        <v>17</v>
      </c>
      <c r="AK656" t="s">
        <v>18</v>
      </c>
      <c r="AL656" t="s">
        <v>19</v>
      </c>
      <c r="AM656" t="s">
        <v>363</v>
      </c>
      <c r="AN656" t="s">
        <v>0</v>
      </c>
      <c r="AO656" t="s">
        <v>0</v>
      </c>
      <c r="AP656" t="s">
        <v>0</v>
      </c>
      <c r="AQ656" s="5">
        <v>33</v>
      </c>
      <c r="AR656" t="s">
        <v>11</v>
      </c>
      <c r="AS656" t="s">
        <v>0</v>
      </c>
      <c r="AT656" t="s">
        <v>17</v>
      </c>
      <c r="AU656" s="4">
        <v>0</v>
      </c>
      <c r="AV656" s="4">
        <v>0</v>
      </c>
      <c r="AW656" s="4">
        <v>0</v>
      </c>
      <c r="AX656" s="4">
        <v>0</v>
      </c>
      <c r="AY656" s="5">
        <v>0</v>
      </c>
      <c r="AZ656" s="5">
        <v>0</v>
      </c>
      <c r="BA656" s="5">
        <v>0</v>
      </c>
      <c r="BB656" s="2"/>
      <c r="BC656" t="s">
        <v>0</v>
      </c>
      <c r="BD656" s="5">
        <v>1</v>
      </c>
      <c r="BE656" t="s">
        <v>0</v>
      </c>
      <c r="BF656" t="s">
        <v>367</v>
      </c>
      <c r="BG656" t="s">
        <v>17</v>
      </c>
      <c r="BH656" t="s">
        <v>0</v>
      </c>
      <c r="BI656" t="s">
        <v>11</v>
      </c>
      <c r="BJ656" t="s">
        <v>0</v>
      </c>
      <c r="BK656" t="s">
        <v>0</v>
      </c>
      <c r="BL656" s="5">
        <v>0</v>
      </c>
      <c r="BM656" t="s">
        <v>0</v>
      </c>
      <c r="BN656" t="s">
        <v>0</v>
      </c>
      <c r="BO656" t="s">
        <v>0</v>
      </c>
      <c r="BP656" t="s">
        <v>17</v>
      </c>
      <c r="BQ656" t="s">
        <v>0</v>
      </c>
      <c r="BR656" t="s">
        <v>17</v>
      </c>
      <c r="BS656" t="s">
        <v>17</v>
      </c>
      <c r="BT656" t="s">
        <v>0</v>
      </c>
      <c r="BU656" t="s">
        <v>0</v>
      </c>
      <c r="BV656" t="s">
        <v>0</v>
      </c>
      <c r="BW656" t="s">
        <v>0</v>
      </c>
      <c r="BX656" t="s">
        <v>0</v>
      </c>
      <c r="BY656" t="s">
        <v>0</v>
      </c>
      <c r="BZ656" t="s">
        <v>0</v>
      </c>
      <c r="CA656" t="s">
        <v>0</v>
      </c>
      <c r="CB656" t="s">
        <v>0</v>
      </c>
    </row>
    <row r="657" spans="1:80" ht="13.95" customHeight="1" x14ac:dyDescent="0.25">
      <c r="A657" t="s">
        <v>379</v>
      </c>
      <c r="B657" s="2">
        <v>45968</v>
      </c>
      <c r="C657" s="2">
        <v>45968</v>
      </c>
      <c r="D657" s="2">
        <v>45998</v>
      </c>
      <c r="E657" t="s">
        <v>2</v>
      </c>
      <c r="F657" t="s">
        <v>3</v>
      </c>
      <c r="G657" t="s">
        <v>0</v>
      </c>
      <c r="H657" t="s">
        <v>4</v>
      </c>
      <c r="I657" t="s">
        <v>363</v>
      </c>
      <c r="J657" t="s">
        <v>6</v>
      </c>
      <c r="K657" t="s">
        <v>38</v>
      </c>
      <c r="L657" t="s">
        <v>74</v>
      </c>
      <c r="M657" t="s">
        <v>75</v>
      </c>
      <c r="N657" t="s">
        <v>10</v>
      </c>
      <c r="O657" t="s">
        <v>0</v>
      </c>
      <c r="P657" t="s">
        <v>11</v>
      </c>
      <c r="Q657" s="5">
        <v>33</v>
      </c>
      <c r="R657" s="4">
        <v>46100</v>
      </c>
      <c r="S657" s="5">
        <v>1</v>
      </c>
      <c r="T657" s="4">
        <v>1521300</v>
      </c>
      <c r="U657" s="5">
        <v>0</v>
      </c>
      <c r="V657" s="4">
        <v>0</v>
      </c>
      <c r="W657" s="5">
        <v>0</v>
      </c>
      <c r="X657" s="4">
        <v>0</v>
      </c>
      <c r="Y657" s="4">
        <f t="shared" si="20"/>
        <v>1521300</v>
      </c>
      <c r="Z657" s="6" t="s">
        <v>0</v>
      </c>
      <c r="AA657" t="s">
        <v>2</v>
      </c>
      <c r="AB657" t="s">
        <v>12</v>
      </c>
      <c r="AC657">
        <f>_xlfn.XLOOKUP(AB657,'[1]GST Codes'!$A:$A,'[1]GST Codes'!$C:$C,0,0)</f>
        <v>18</v>
      </c>
      <c r="AD657">
        <f t="shared" si="21"/>
        <v>1795134</v>
      </c>
      <c r="AE657" t="s">
        <v>13</v>
      </c>
      <c r="AF657" t="s">
        <v>0</v>
      </c>
      <c r="AG657" t="s">
        <v>14</v>
      </c>
      <c r="AH657" t="s">
        <v>15</v>
      </c>
      <c r="AI657" t="s">
        <v>85</v>
      </c>
      <c r="AJ657" t="s">
        <v>17</v>
      </c>
      <c r="AK657" t="s">
        <v>18</v>
      </c>
      <c r="AL657" t="s">
        <v>19</v>
      </c>
      <c r="AM657" t="s">
        <v>363</v>
      </c>
      <c r="AN657" t="s">
        <v>0</v>
      </c>
      <c r="AO657" t="s">
        <v>0</v>
      </c>
      <c r="AP657" t="s">
        <v>0</v>
      </c>
      <c r="AQ657" s="5">
        <v>33</v>
      </c>
      <c r="AR657" t="s">
        <v>11</v>
      </c>
      <c r="AS657" t="s">
        <v>0</v>
      </c>
      <c r="AT657" t="s">
        <v>17</v>
      </c>
      <c r="AU657" s="4">
        <v>0</v>
      </c>
      <c r="AV657" s="4">
        <v>0</v>
      </c>
      <c r="AW657" s="4">
        <v>0</v>
      </c>
      <c r="AX657" s="4">
        <v>0</v>
      </c>
      <c r="AY657" s="5">
        <v>0</v>
      </c>
      <c r="AZ657" s="5">
        <v>0</v>
      </c>
      <c r="BA657" s="5">
        <v>0</v>
      </c>
      <c r="BB657" s="2"/>
      <c r="BC657" t="s">
        <v>0</v>
      </c>
      <c r="BD657" s="5">
        <v>1</v>
      </c>
      <c r="BE657" t="s">
        <v>0</v>
      </c>
      <c r="BF657" t="s">
        <v>367</v>
      </c>
      <c r="BG657" t="s">
        <v>17</v>
      </c>
      <c r="BH657" t="s">
        <v>0</v>
      </c>
      <c r="BI657" t="s">
        <v>11</v>
      </c>
      <c r="BJ657" t="s">
        <v>0</v>
      </c>
      <c r="BK657" t="s">
        <v>0</v>
      </c>
      <c r="BL657" s="5">
        <v>0</v>
      </c>
      <c r="BM657" t="s">
        <v>0</v>
      </c>
      <c r="BN657" t="s">
        <v>0</v>
      </c>
      <c r="BO657" t="s">
        <v>0</v>
      </c>
      <c r="BP657" t="s">
        <v>17</v>
      </c>
      <c r="BQ657" t="s">
        <v>0</v>
      </c>
      <c r="BR657" t="s">
        <v>17</v>
      </c>
      <c r="BS657" t="s">
        <v>17</v>
      </c>
      <c r="BT657" t="s">
        <v>0</v>
      </c>
      <c r="BU657" t="s">
        <v>0</v>
      </c>
      <c r="BV657" t="s">
        <v>0</v>
      </c>
      <c r="BW657" t="s">
        <v>0</v>
      </c>
      <c r="BX657" t="s">
        <v>0</v>
      </c>
      <c r="BY657" t="s">
        <v>0</v>
      </c>
      <c r="BZ657" t="s">
        <v>0</v>
      </c>
      <c r="CA657" t="s">
        <v>0</v>
      </c>
      <c r="CB657" t="s">
        <v>0</v>
      </c>
    </row>
    <row r="658" spans="1:80" ht="13.95" customHeight="1" x14ac:dyDescent="0.25">
      <c r="A658" t="s">
        <v>379</v>
      </c>
      <c r="B658" s="2">
        <v>45968</v>
      </c>
      <c r="C658" s="2">
        <v>45968</v>
      </c>
      <c r="D658" s="2">
        <v>45998</v>
      </c>
      <c r="E658" t="s">
        <v>2</v>
      </c>
      <c r="F658" t="s">
        <v>3</v>
      </c>
      <c r="G658" t="s">
        <v>0</v>
      </c>
      <c r="H658" t="s">
        <v>4</v>
      </c>
      <c r="I658" t="s">
        <v>363</v>
      </c>
      <c r="J658" t="s">
        <v>6</v>
      </c>
      <c r="K658" t="s">
        <v>42</v>
      </c>
      <c r="L658" t="s">
        <v>39</v>
      </c>
      <c r="M658" t="s">
        <v>40</v>
      </c>
      <c r="N658" t="s">
        <v>10</v>
      </c>
      <c r="O658" t="s">
        <v>0</v>
      </c>
      <c r="P658" t="s">
        <v>11</v>
      </c>
      <c r="Q658" s="5">
        <v>25</v>
      </c>
      <c r="R658" s="4">
        <v>46100</v>
      </c>
      <c r="S658" s="5">
        <v>1</v>
      </c>
      <c r="T658" s="4">
        <v>1152500</v>
      </c>
      <c r="U658" s="5">
        <v>0</v>
      </c>
      <c r="V658" s="4">
        <v>0</v>
      </c>
      <c r="W658" s="5">
        <v>0</v>
      </c>
      <c r="X658" s="4">
        <v>0</v>
      </c>
      <c r="Y658" s="4">
        <f t="shared" si="20"/>
        <v>1152500</v>
      </c>
      <c r="Z658" s="6" t="s">
        <v>0</v>
      </c>
      <c r="AA658" t="s">
        <v>2</v>
      </c>
      <c r="AB658" t="s">
        <v>12</v>
      </c>
      <c r="AC658">
        <f>_xlfn.XLOOKUP(AB658,'[1]GST Codes'!$A:$A,'[1]GST Codes'!$C:$C,0,0)</f>
        <v>18</v>
      </c>
      <c r="AD658">
        <f t="shared" si="21"/>
        <v>1359950</v>
      </c>
      <c r="AE658" t="s">
        <v>13</v>
      </c>
      <c r="AF658" t="s">
        <v>0</v>
      </c>
      <c r="AG658" t="s">
        <v>14</v>
      </c>
      <c r="AH658" t="s">
        <v>15</v>
      </c>
      <c r="AI658" t="s">
        <v>85</v>
      </c>
      <c r="AJ658" t="s">
        <v>17</v>
      </c>
      <c r="AK658" t="s">
        <v>18</v>
      </c>
      <c r="AL658" t="s">
        <v>19</v>
      </c>
      <c r="AM658" t="s">
        <v>363</v>
      </c>
      <c r="AN658" t="s">
        <v>0</v>
      </c>
      <c r="AO658" t="s">
        <v>0</v>
      </c>
      <c r="AP658" t="s">
        <v>0</v>
      </c>
      <c r="AQ658" s="5">
        <v>25</v>
      </c>
      <c r="AR658" t="s">
        <v>11</v>
      </c>
      <c r="AS658" t="s">
        <v>0</v>
      </c>
      <c r="AT658" t="s">
        <v>17</v>
      </c>
      <c r="AU658" s="4">
        <v>0</v>
      </c>
      <c r="AV658" s="4">
        <v>0</v>
      </c>
      <c r="AW658" s="4">
        <v>0</v>
      </c>
      <c r="AX658" s="4">
        <v>0</v>
      </c>
      <c r="AY658" s="5">
        <v>0</v>
      </c>
      <c r="AZ658" s="5">
        <v>0</v>
      </c>
      <c r="BA658" s="5">
        <v>0</v>
      </c>
      <c r="BB658" s="2"/>
      <c r="BC658" t="s">
        <v>0</v>
      </c>
      <c r="BD658" s="5">
        <v>1</v>
      </c>
      <c r="BE658" t="s">
        <v>0</v>
      </c>
      <c r="BF658" t="s">
        <v>368</v>
      </c>
      <c r="BG658" t="s">
        <v>17</v>
      </c>
      <c r="BH658" t="s">
        <v>0</v>
      </c>
      <c r="BI658" t="s">
        <v>11</v>
      </c>
      <c r="BJ658" t="s">
        <v>0</v>
      </c>
      <c r="BK658" t="s">
        <v>0</v>
      </c>
      <c r="BL658" s="5">
        <v>0</v>
      </c>
      <c r="BM658" t="s">
        <v>0</v>
      </c>
      <c r="BN658" t="s">
        <v>0</v>
      </c>
      <c r="BO658" t="s">
        <v>0</v>
      </c>
      <c r="BP658" t="s">
        <v>17</v>
      </c>
      <c r="BQ658" t="s">
        <v>0</v>
      </c>
      <c r="BR658" t="s">
        <v>17</v>
      </c>
      <c r="BS658" t="s">
        <v>17</v>
      </c>
      <c r="BT658" t="s">
        <v>0</v>
      </c>
      <c r="BU658" t="s">
        <v>0</v>
      </c>
      <c r="BV658" t="s">
        <v>0</v>
      </c>
      <c r="BW658" t="s">
        <v>0</v>
      </c>
      <c r="BX658" t="s">
        <v>0</v>
      </c>
      <c r="BY658" t="s">
        <v>0</v>
      </c>
      <c r="BZ658" t="s">
        <v>0</v>
      </c>
      <c r="CA658" t="s">
        <v>0</v>
      </c>
      <c r="CB658" t="s">
        <v>0</v>
      </c>
    </row>
    <row r="659" spans="1:80" ht="13.95" customHeight="1" x14ac:dyDescent="0.25">
      <c r="A659" t="s">
        <v>379</v>
      </c>
      <c r="B659" s="2">
        <v>45968</v>
      </c>
      <c r="C659" s="2">
        <v>45968</v>
      </c>
      <c r="D659" s="2">
        <v>45998</v>
      </c>
      <c r="E659" t="s">
        <v>2</v>
      </c>
      <c r="F659" t="s">
        <v>3</v>
      </c>
      <c r="G659" t="s">
        <v>0</v>
      </c>
      <c r="H659" t="s">
        <v>4</v>
      </c>
      <c r="I659" t="s">
        <v>363</v>
      </c>
      <c r="J659" t="s">
        <v>6</v>
      </c>
      <c r="K659" t="s">
        <v>86</v>
      </c>
      <c r="L659" t="s">
        <v>39</v>
      </c>
      <c r="M659" t="s">
        <v>40</v>
      </c>
      <c r="N659" t="s">
        <v>10</v>
      </c>
      <c r="O659" t="s">
        <v>0</v>
      </c>
      <c r="P659" t="s">
        <v>11</v>
      </c>
      <c r="Q659" s="5">
        <v>25</v>
      </c>
      <c r="R659" s="4">
        <v>46100</v>
      </c>
      <c r="S659" s="5">
        <v>1</v>
      </c>
      <c r="T659" s="4">
        <v>1152500</v>
      </c>
      <c r="U659" s="5">
        <v>0</v>
      </c>
      <c r="V659" s="4">
        <v>0</v>
      </c>
      <c r="W659" s="5">
        <v>0</v>
      </c>
      <c r="X659" s="4">
        <v>0</v>
      </c>
      <c r="Y659" s="4">
        <f t="shared" si="20"/>
        <v>1152500</v>
      </c>
      <c r="Z659" s="6" t="s">
        <v>0</v>
      </c>
      <c r="AA659" t="s">
        <v>2</v>
      </c>
      <c r="AB659" t="s">
        <v>12</v>
      </c>
      <c r="AC659">
        <f>_xlfn.XLOOKUP(AB659,'[1]GST Codes'!$A:$A,'[1]GST Codes'!$C:$C,0,0)</f>
        <v>18</v>
      </c>
      <c r="AD659">
        <f t="shared" si="21"/>
        <v>1359950</v>
      </c>
      <c r="AE659" t="s">
        <v>13</v>
      </c>
      <c r="AF659" t="s">
        <v>0</v>
      </c>
      <c r="AG659" t="s">
        <v>14</v>
      </c>
      <c r="AH659" t="s">
        <v>15</v>
      </c>
      <c r="AI659" t="s">
        <v>85</v>
      </c>
      <c r="AJ659" t="s">
        <v>17</v>
      </c>
      <c r="AK659" t="s">
        <v>18</v>
      </c>
      <c r="AL659" t="s">
        <v>19</v>
      </c>
      <c r="AM659" t="s">
        <v>363</v>
      </c>
      <c r="AN659" t="s">
        <v>0</v>
      </c>
      <c r="AO659" t="s">
        <v>0</v>
      </c>
      <c r="AP659" t="s">
        <v>0</v>
      </c>
      <c r="AQ659" s="5">
        <v>25</v>
      </c>
      <c r="AR659" t="s">
        <v>11</v>
      </c>
      <c r="AS659" t="s">
        <v>0</v>
      </c>
      <c r="AT659" t="s">
        <v>17</v>
      </c>
      <c r="AU659" s="4">
        <v>0</v>
      </c>
      <c r="AV659" s="4">
        <v>0</v>
      </c>
      <c r="AW659" s="4">
        <v>0</v>
      </c>
      <c r="AX659" s="4">
        <v>0</v>
      </c>
      <c r="AY659" s="5">
        <v>0</v>
      </c>
      <c r="AZ659" s="5">
        <v>0</v>
      </c>
      <c r="BA659" s="5">
        <v>0</v>
      </c>
      <c r="BB659" s="2"/>
      <c r="BC659" t="s">
        <v>0</v>
      </c>
      <c r="BD659" s="5">
        <v>1</v>
      </c>
      <c r="BE659" t="s">
        <v>0</v>
      </c>
      <c r="BF659" t="s">
        <v>368</v>
      </c>
      <c r="BG659" t="s">
        <v>17</v>
      </c>
      <c r="BH659" t="s">
        <v>0</v>
      </c>
      <c r="BI659" t="s">
        <v>11</v>
      </c>
      <c r="BJ659" t="s">
        <v>0</v>
      </c>
      <c r="BK659" t="s">
        <v>0</v>
      </c>
      <c r="BL659" s="5">
        <v>0</v>
      </c>
      <c r="BM659" t="s">
        <v>0</v>
      </c>
      <c r="BN659" t="s">
        <v>0</v>
      </c>
      <c r="BO659" t="s">
        <v>0</v>
      </c>
      <c r="BP659" t="s">
        <v>17</v>
      </c>
      <c r="BQ659" t="s">
        <v>0</v>
      </c>
      <c r="BR659" t="s">
        <v>17</v>
      </c>
      <c r="BS659" t="s">
        <v>17</v>
      </c>
      <c r="BT659" t="s">
        <v>0</v>
      </c>
      <c r="BU659" t="s">
        <v>0</v>
      </c>
      <c r="BV659" t="s">
        <v>0</v>
      </c>
      <c r="BW659" t="s">
        <v>0</v>
      </c>
      <c r="BX659" t="s">
        <v>0</v>
      </c>
      <c r="BY659" t="s">
        <v>0</v>
      </c>
      <c r="BZ659" t="s">
        <v>0</v>
      </c>
      <c r="CA659" t="s">
        <v>0</v>
      </c>
      <c r="CB659" t="s">
        <v>0</v>
      </c>
    </row>
    <row r="660" spans="1:80" ht="13.95" customHeight="1" x14ac:dyDescent="0.25">
      <c r="A660" t="s">
        <v>379</v>
      </c>
      <c r="B660" s="2">
        <v>45968</v>
      </c>
      <c r="C660" s="2">
        <v>45968</v>
      </c>
      <c r="D660" s="2">
        <v>45998</v>
      </c>
      <c r="E660" t="s">
        <v>2</v>
      </c>
      <c r="F660" t="s">
        <v>3</v>
      </c>
      <c r="G660" t="s">
        <v>0</v>
      </c>
      <c r="H660" t="s">
        <v>4</v>
      </c>
      <c r="I660" t="s">
        <v>363</v>
      </c>
      <c r="J660" t="s">
        <v>6</v>
      </c>
      <c r="K660" t="s">
        <v>87</v>
      </c>
      <c r="L660" t="s">
        <v>39</v>
      </c>
      <c r="M660" t="s">
        <v>40</v>
      </c>
      <c r="N660" t="s">
        <v>10</v>
      </c>
      <c r="O660" t="s">
        <v>0</v>
      </c>
      <c r="P660" t="s">
        <v>11</v>
      </c>
      <c r="Q660" s="5">
        <v>25</v>
      </c>
      <c r="R660" s="4">
        <v>46100</v>
      </c>
      <c r="S660" s="5">
        <v>1</v>
      </c>
      <c r="T660" s="4">
        <v>1152500</v>
      </c>
      <c r="U660" s="5">
        <v>0</v>
      </c>
      <c r="V660" s="4">
        <v>0</v>
      </c>
      <c r="W660" s="5">
        <v>0</v>
      </c>
      <c r="X660" s="4">
        <v>0</v>
      </c>
      <c r="Y660" s="4">
        <f t="shared" si="20"/>
        <v>1152500</v>
      </c>
      <c r="Z660" s="6" t="s">
        <v>0</v>
      </c>
      <c r="AA660" t="s">
        <v>2</v>
      </c>
      <c r="AB660" t="s">
        <v>12</v>
      </c>
      <c r="AC660">
        <f>_xlfn.XLOOKUP(AB660,'[1]GST Codes'!$A:$A,'[1]GST Codes'!$C:$C,0,0)</f>
        <v>18</v>
      </c>
      <c r="AD660">
        <f t="shared" si="21"/>
        <v>1359950</v>
      </c>
      <c r="AE660" t="s">
        <v>13</v>
      </c>
      <c r="AF660" t="s">
        <v>0</v>
      </c>
      <c r="AG660" t="s">
        <v>14</v>
      </c>
      <c r="AH660" t="s">
        <v>15</v>
      </c>
      <c r="AI660" t="s">
        <v>85</v>
      </c>
      <c r="AJ660" t="s">
        <v>17</v>
      </c>
      <c r="AK660" t="s">
        <v>18</v>
      </c>
      <c r="AL660" t="s">
        <v>19</v>
      </c>
      <c r="AM660" t="s">
        <v>363</v>
      </c>
      <c r="AN660" t="s">
        <v>0</v>
      </c>
      <c r="AO660" t="s">
        <v>0</v>
      </c>
      <c r="AP660" t="s">
        <v>0</v>
      </c>
      <c r="AQ660" s="5">
        <v>25</v>
      </c>
      <c r="AR660" t="s">
        <v>11</v>
      </c>
      <c r="AS660" t="s">
        <v>0</v>
      </c>
      <c r="AT660" t="s">
        <v>17</v>
      </c>
      <c r="AU660" s="4">
        <v>0</v>
      </c>
      <c r="AV660" s="4">
        <v>0</v>
      </c>
      <c r="AW660" s="4">
        <v>0</v>
      </c>
      <c r="AX660" s="4">
        <v>0</v>
      </c>
      <c r="AY660" s="5">
        <v>0</v>
      </c>
      <c r="AZ660" s="5">
        <v>0</v>
      </c>
      <c r="BA660" s="5">
        <v>0</v>
      </c>
      <c r="BB660" s="2"/>
      <c r="BC660" t="s">
        <v>0</v>
      </c>
      <c r="BD660" s="5">
        <v>1</v>
      </c>
      <c r="BE660" t="s">
        <v>0</v>
      </c>
      <c r="BF660" t="s">
        <v>368</v>
      </c>
      <c r="BG660" t="s">
        <v>17</v>
      </c>
      <c r="BH660" t="s">
        <v>0</v>
      </c>
      <c r="BI660" t="s">
        <v>11</v>
      </c>
      <c r="BJ660" t="s">
        <v>0</v>
      </c>
      <c r="BK660" t="s">
        <v>0</v>
      </c>
      <c r="BL660" s="5">
        <v>0</v>
      </c>
      <c r="BM660" t="s">
        <v>0</v>
      </c>
      <c r="BN660" t="s">
        <v>0</v>
      </c>
      <c r="BO660" t="s">
        <v>0</v>
      </c>
      <c r="BP660" t="s">
        <v>17</v>
      </c>
      <c r="BQ660" t="s">
        <v>0</v>
      </c>
      <c r="BR660" t="s">
        <v>17</v>
      </c>
      <c r="BS660" t="s">
        <v>17</v>
      </c>
      <c r="BT660" t="s">
        <v>0</v>
      </c>
      <c r="BU660" t="s">
        <v>0</v>
      </c>
      <c r="BV660" t="s">
        <v>0</v>
      </c>
      <c r="BW660" t="s">
        <v>0</v>
      </c>
      <c r="BX660" t="s">
        <v>0</v>
      </c>
      <c r="BY660" t="s">
        <v>0</v>
      </c>
      <c r="BZ660" t="s">
        <v>0</v>
      </c>
      <c r="CA660" t="s">
        <v>0</v>
      </c>
      <c r="CB660" t="s">
        <v>0</v>
      </c>
    </row>
    <row r="661" spans="1:80" ht="13.95" customHeight="1" x14ac:dyDescent="0.25">
      <c r="A661" t="s">
        <v>379</v>
      </c>
      <c r="B661" s="2">
        <v>45968</v>
      </c>
      <c r="C661" s="2">
        <v>45968</v>
      </c>
      <c r="D661" s="2">
        <v>45998</v>
      </c>
      <c r="E661" t="s">
        <v>2</v>
      </c>
      <c r="F661" t="s">
        <v>3</v>
      </c>
      <c r="G661" t="s">
        <v>0</v>
      </c>
      <c r="H661" t="s">
        <v>4</v>
      </c>
      <c r="I661" t="s">
        <v>363</v>
      </c>
      <c r="J661" t="s">
        <v>6</v>
      </c>
      <c r="K661" t="s">
        <v>88</v>
      </c>
      <c r="L661" t="s">
        <v>39</v>
      </c>
      <c r="M661" t="s">
        <v>40</v>
      </c>
      <c r="N661" t="s">
        <v>10</v>
      </c>
      <c r="O661" t="s">
        <v>0</v>
      </c>
      <c r="P661" t="s">
        <v>11</v>
      </c>
      <c r="Q661" s="5">
        <v>25</v>
      </c>
      <c r="R661" s="4">
        <v>46100</v>
      </c>
      <c r="S661" s="5">
        <v>1</v>
      </c>
      <c r="T661" s="4">
        <v>1152500</v>
      </c>
      <c r="U661" s="5">
        <v>0</v>
      </c>
      <c r="V661" s="4">
        <v>0</v>
      </c>
      <c r="W661" s="5">
        <v>0</v>
      </c>
      <c r="X661" s="4">
        <v>0</v>
      </c>
      <c r="Y661" s="4">
        <f t="shared" si="20"/>
        <v>1152500</v>
      </c>
      <c r="Z661" s="6" t="s">
        <v>0</v>
      </c>
      <c r="AA661" t="s">
        <v>2</v>
      </c>
      <c r="AB661" t="s">
        <v>12</v>
      </c>
      <c r="AC661">
        <f>_xlfn.XLOOKUP(AB661,'[1]GST Codes'!$A:$A,'[1]GST Codes'!$C:$C,0,0)</f>
        <v>18</v>
      </c>
      <c r="AD661">
        <f t="shared" si="21"/>
        <v>1359950</v>
      </c>
      <c r="AE661" t="s">
        <v>13</v>
      </c>
      <c r="AF661" t="s">
        <v>0</v>
      </c>
      <c r="AG661" t="s">
        <v>14</v>
      </c>
      <c r="AH661" t="s">
        <v>15</v>
      </c>
      <c r="AI661" t="s">
        <v>85</v>
      </c>
      <c r="AJ661" t="s">
        <v>17</v>
      </c>
      <c r="AK661" t="s">
        <v>18</v>
      </c>
      <c r="AL661" t="s">
        <v>19</v>
      </c>
      <c r="AM661" t="s">
        <v>363</v>
      </c>
      <c r="AN661" t="s">
        <v>0</v>
      </c>
      <c r="AO661" t="s">
        <v>0</v>
      </c>
      <c r="AP661" t="s">
        <v>0</v>
      </c>
      <c r="AQ661" s="5">
        <v>25</v>
      </c>
      <c r="AR661" t="s">
        <v>11</v>
      </c>
      <c r="AS661" t="s">
        <v>0</v>
      </c>
      <c r="AT661" t="s">
        <v>17</v>
      </c>
      <c r="AU661" s="4">
        <v>0</v>
      </c>
      <c r="AV661" s="4">
        <v>0</v>
      </c>
      <c r="AW661" s="4">
        <v>0</v>
      </c>
      <c r="AX661" s="4">
        <v>0</v>
      </c>
      <c r="AY661" s="5">
        <v>0</v>
      </c>
      <c r="AZ661" s="5">
        <v>0</v>
      </c>
      <c r="BA661" s="5">
        <v>0</v>
      </c>
      <c r="BB661" s="2"/>
      <c r="BC661" t="s">
        <v>0</v>
      </c>
      <c r="BD661" s="5">
        <v>1</v>
      </c>
      <c r="BE661" t="s">
        <v>0</v>
      </c>
      <c r="BF661" t="s">
        <v>368</v>
      </c>
      <c r="BG661" t="s">
        <v>17</v>
      </c>
      <c r="BH661" t="s">
        <v>0</v>
      </c>
      <c r="BI661" t="s">
        <v>11</v>
      </c>
      <c r="BJ661" t="s">
        <v>0</v>
      </c>
      <c r="BK661" t="s">
        <v>0</v>
      </c>
      <c r="BL661" s="5">
        <v>0</v>
      </c>
      <c r="BM661" t="s">
        <v>0</v>
      </c>
      <c r="BN661" t="s">
        <v>0</v>
      </c>
      <c r="BO661" t="s">
        <v>0</v>
      </c>
      <c r="BP661" t="s">
        <v>17</v>
      </c>
      <c r="BQ661" t="s">
        <v>0</v>
      </c>
      <c r="BR661" t="s">
        <v>17</v>
      </c>
      <c r="BS661" t="s">
        <v>17</v>
      </c>
      <c r="BT661" t="s">
        <v>0</v>
      </c>
      <c r="BU661" t="s">
        <v>0</v>
      </c>
      <c r="BV661" t="s">
        <v>0</v>
      </c>
      <c r="BW661" t="s">
        <v>0</v>
      </c>
      <c r="BX661" t="s">
        <v>0</v>
      </c>
      <c r="BY661" t="s">
        <v>0</v>
      </c>
      <c r="BZ661" t="s">
        <v>0</v>
      </c>
      <c r="CA661" t="s">
        <v>0</v>
      </c>
      <c r="CB661" t="s">
        <v>0</v>
      </c>
    </row>
    <row r="662" spans="1:80" ht="13.95" customHeight="1" x14ac:dyDescent="0.25">
      <c r="A662" t="s">
        <v>379</v>
      </c>
      <c r="B662" s="2">
        <v>45968</v>
      </c>
      <c r="C662" s="2">
        <v>45968</v>
      </c>
      <c r="D662" s="2">
        <v>45998</v>
      </c>
      <c r="E662" t="s">
        <v>2</v>
      </c>
      <c r="F662" t="s">
        <v>3</v>
      </c>
      <c r="G662" t="s">
        <v>0</v>
      </c>
      <c r="H662" t="s">
        <v>4</v>
      </c>
      <c r="I662" t="s">
        <v>363</v>
      </c>
      <c r="J662" t="s">
        <v>6</v>
      </c>
      <c r="K662" t="s">
        <v>89</v>
      </c>
      <c r="L662" t="s">
        <v>39</v>
      </c>
      <c r="M662" t="s">
        <v>40</v>
      </c>
      <c r="N662" t="s">
        <v>10</v>
      </c>
      <c r="O662" t="s">
        <v>0</v>
      </c>
      <c r="P662" t="s">
        <v>11</v>
      </c>
      <c r="Q662" s="5">
        <v>25</v>
      </c>
      <c r="R662" s="4">
        <v>46100</v>
      </c>
      <c r="S662" s="5">
        <v>1</v>
      </c>
      <c r="T662" s="4">
        <v>1152500</v>
      </c>
      <c r="U662" s="5">
        <v>0</v>
      </c>
      <c r="V662" s="4">
        <v>0</v>
      </c>
      <c r="W662" s="5">
        <v>0</v>
      </c>
      <c r="X662" s="4">
        <v>0</v>
      </c>
      <c r="Y662" s="4">
        <f t="shared" si="20"/>
        <v>1152500</v>
      </c>
      <c r="Z662" s="6" t="s">
        <v>0</v>
      </c>
      <c r="AA662" t="s">
        <v>2</v>
      </c>
      <c r="AB662" t="s">
        <v>12</v>
      </c>
      <c r="AC662">
        <f>_xlfn.XLOOKUP(AB662,'[1]GST Codes'!$A:$A,'[1]GST Codes'!$C:$C,0,0)</f>
        <v>18</v>
      </c>
      <c r="AD662">
        <f t="shared" si="21"/>
        <v>1359950</v>
      </c>
      <c r="AE662" t="s">
        <v>13</v>
      </c>
      <c r="AF662" t="s">
        <v>0</v>
      </c>
      <c r="AG662" t="s">
        <v>14</v>
      </c>
      <c r="AH662" t="s">
        <v>15</v>
      </c>
      <c r="AI662" t="s">
        <v>85</v>
      </c>
      <c r="AJ662" t="s">
        <v>17</v>
      </c>
      <c r="AK662" t="s">
        <v>18</v>
      </c>
      <c r="AL662" t="s">
        <v>19</v>
      </c>
      <c r="AM662" t="s">
        <v>363</v>
      </c>
      <c r="AN662" t="s">
        <v>0</v>
      </c>
      <c r="AO662" t="s">
        <v>0</v>
      </c>
      <c r="AP662" t="s">
        <v>0</v>
      </c>
      <c r="AQ662" s="5">
        <v>25</v>
      </c>
      <c r="AR662" t="s">
        <v>11</v>
      </c>
      <c r="AS662" t="s">
        <v>0</v>
      </c>
      <c r="AT662" t="s">
        <v>17</v>
      </c>
      <c r="AU662" s="4">
        <v>0</v>
      </c>
      <c r="AV662" s="4">
        <v>0</v>
      </c>
      <c r="AW662" s="4">
        <v>0</v>
      </c>
      <c r="AX662" s="4">
        <v>0</v>
      </c>
      <c r="AY662" s="5">
        <v>0</v>
      </c>
      <c r="AZ662" s="5">
        <v>0</v>
      </c>
      <c r="BA662" s="5">
        <v>0</v>
      </c>
      <c r="BB662" s="2"/>
      <c r="BC662" t="s">
        <v>0</v>
      </c>
      <c r="BD662" s="5">
        <v>1</v>
      </c>
      <c r="BE662" t="s">
        <v>0</v>
      </c>
      <c r="BF662" t="s">
        <v>368</v>
      </c>
      <c r="BG662" t="s">
        <v>17</v>
      </c>
      <c r="BH662" t="s">
        <v>0</v>
      </c>
      <c r="BI662" t="s">
        <v>11</v>
      </c>
      <c r="BJ662" t="s">
        <v>0</v>
      </c>
      <c r="BK662" t="s">
        <v>0</v>
      </c>
      <c r="BL662" s="5">
        <v>0</v>
      </c>
      <c r="BM662" t="s">
        <v>0</v>
      </c>
      <c r="BN662" t="s">
        <v>0</v>
      </c>
      <c r="BO662" t="s">
        <v>0</v>
      </c>
      <c r="BP662" t="s">
        <v>17</v>
      </c>
      <c r="BQ662" t="s">
        <v>0</v>
      </c>
      <c r="BR662" t="s">
        <v>17</v>
      </c>
      <c r="BS662" t="s">
        <v>17</v>
      </c>
      <c r="BT662" t="s">
        <v>0</v>
      </c>
      <c r="BU662" t="s">
        <v>0</v>
      </c>
      <c r="BV662" t="s">
        <v>0</v>
      </c>
      <c r="BW662" t="s">
        <v>0</v>
      </c>
      <c r="BX662" t="s">
        <v>0</v>
      </c>
      <c r="BY662" t="s">
        <v>0</v>
      </c>
      <c r="BZ662" t="s">
        <v>0</v>
      </c>
      <c r="CA662" t="s">
        <v>0</v>
      </c>
      <c r="CB662" t="s">
        <v>0</v>
      </c>
    </row>
    <row r="663" spans="1:80" ht="13.95" customHeight="1" x14ac:dyDescent="0.25">
      <c r="A663" t="s">
        <v>379</v>
      </c>
      <c r="B663" s="2">
        <v>45968</v>
      </c>
      <c r="C663" s="2">
        <v>45968</v>
      </c>
      <c r="D663" s="2">
        <v>45998</v>
      </c>
      <c r="E663" t="s">
        <v>2</v>
      </c>
      <c r="F663" t="s">
        <v>3</v>
      </c>
      <c r="G663" t="s">
        <v>0</v>
      </c>
      <c r="H663" t="s">
        <v>4</v>
      </c>
      <c r="I663" t="s">
        <v>363</v>
      </c>
      <c r="J663" t="s">
        <v>6</v>
      </c>
      <c r="K663" t="s">
        <v>90</v>
      </c>
      <c r="L663" t="s">
        <v>39</v>
      </c>
      <c r="M663" t="s">
        <v>40</v>
      </c>
      <c r="N663" t="s">
        <v>10</v>
      </c>
      <c r="O663" t="s">
        <v>0</v>
      </c>
      <c r="P663" t="s">
        <v>11</v>
      </c>
      <c r="Q663" s="5">
        <v>25</v>
      </c>
      <c r="R663" s="4">
        <v>46100</v>
      </c>
      <c r="S663" s="5">
        <v>1</v>
      </c>
      <c r="T663" s="4">
        <v>1152500</v>
      </c>
      <c r="U663" s="5">
        <v>0</v>
      </c>
      <c r="V663" s="4">
        <v>0</v>
      </c>
      <c r="W663" s="5">
        <v>0</v>
      </c>
      <c r="X663" s="4">
        <v>0</v>
      </c>
      <c r="Y663" s="4">
        <f t="shared" si="20"/>
        <v>1152500</v>
      </c>
      <c r="Z663" s="6" t="s">
        <v>0</v>
      </c>
      <c r="AA663" t="s">
        <v>2</v>
      </c>
      <c r="AB663" t="s">
        <v>12</v>
      </c>
      <c r="AC663">
        <f>_xlfn.XLOOKUP(AB663,'[1]GST Codes'!$A:$A,'[1]GST Codes'!$C:$C,0,0)</f>
        <v>18</v>
      </c>
      <c r="AD663">
        <f t="shared" si="21"/>
        <v>1359950</v>
      </c>
      <c r="AE663" t="s">
        <v>13</v>
      </c>
      <c r="AF663" t="s">
        <v>0</v>
      </c>
      <c r="AG663" t="s">
        <v>14</v>
      </c>
      <c r="AH663" t="s">
        <v>15</v>
      </c>
      <c r="AI663" t="s">
        <v>85</v>
      </c>
      <c r="AJ663" t="s">
        <v>17</v>
      </c>
      <c r="AK663" t="s">
        <v>18</v>
      </c>
      <c r="AL663" t="s">
        <v>19</v>
      </c>
      <c r="AM663" t="s">
        <v>363</v>
      </c>
      <c r="AN663" t="s">
        <v>0</v>
      </c>
      <c r="AO663" t="s">
        <v>0</v>
      </c>
      <c r="AP663" t="s">
        <v>0</v>
      </c>
      <c r="AQ663" s="5">
        <v>25</v>
      </c>
      <c r="AR663" t="s">
        <v>11</v>
      </c>
      <c r="AS663" t="s">
        <v>0</v>
      </c>
      <c r="AT663" t="s">
        <v>17</v>
      </c>
      <c r="AU663" s="4">
        <v>0</v>
      </c>
      <c r="AV663" s="4">
        <v>0</v>
      </c>
      <c r="AW663" s="4">
        <v>0</v>
      </c>
      <c r="AX663" s="4">
        <v>0</v>
      </c>
      <c r="AY663" s="5">
        <v>0</v>
      </c>
      <c r="AZ663" s="5">
        <v>0</v>
      </c>
      <c r="BA663" s="5">
        <v>0</v>
      </c>
      <c r="BB663" s="2"/>
      <c r="BC663" t="s">
        <v>0</v>
      </c>
      <c r="BD663" s="5">
        <v>1</v>
      </c>
      <c r="BE663" t="s">
        <v>0</v>
      </c>
      <c r="BF663" t="s">
        <v>368</v>
      </c>
      <c r="BG663" t="s">
        <v>17</v>
      </c>
      <c r="BH663" t="s">
        <v>0</v>
      </c>
      <c r="BI663" t="s">
        <v>11</v>
      </c>
      <c r="BJ663" t="s">
        <v>0</v>
      </c>
      <c r="BK663" t="s">
        <v>0</v>
      </c>
      <c r="BL663" s="5">
        <v>0</v>
      </c>
      <c r="BM663" t="s">
        <v>0</v>
      </c>
      <c r="BN663" t="s">
        <v>0</v>
      </c>
      <c r="BO663" t="s">
        <v>0</v>
      </c>
      <c r="BP663" t="s">
        <v>17</v>
      </c>
      <c r="BQ663" t="s">
        <v>0</v>
      </c>
      <c r="BR663" t="s">
        <v>17</v>
      </c>
      <c r="BS663" t="s">
        <v>17</v>
      </c>
      <c r="BT663" t="s">
        <v>0</v>
      </c>
      <c r="BU663" t="s">
        <v>0</v>
      </c>
      <c r="BV663" t="s">
        <v>0</v>
      </c>
      <c r="BW663" t="s">
        <v>0</v>
      </c>
      <c r="BX663" t="s">
        <v>0</v>
      </c>
      <c r="BY663" t="s">
        <v>0</v>
      </c>
      <c r="BZ663" t="s">
        <v>0</v>
      </c>
      <c r="CA663" t="s">
        <v>0</v>
      </c>
      <c r="CB663" t="s">
        <v>0</v>
      </c>
    </row>
    <row r="664" spans="1:80" ht="13.95" customHeight="1" x14ac:dyDescent="0.25">
      <c r="A664" t="s">
        <v>379</v>
      </c>
      <c r="B664" s="2">
        <v>45968</v>
      </c>
      <c r="C664" s="2">
        <v>45968</v>
      </c>
      <c r="D664" s="2">
        <v>45998</v>
      </c>
      <c r="E664" t="s">
        <v>2</v>
      </c>
      <c r="F664" t="s">
        <v>3</v>
      </c>
      <c r="G664" t="s">
        <v>0</v>
      </c>
      <c r="H664" t="s">
        <v>4</v>
      </c>
      <c r="I664" t="s">
        <v>363</v>
      </c>
      <c r="J664" t="s">
        <v>6</v>
      </c>
      <c r="K664" t="s">
        <v>177</v>
      </c>
      <c r="L664" t="s">
        <v>43</v>
      </c>
      <c r="M664" t="s">
        <v>44</v>
      </c>
      <c r="N664" t="s">
        <v>10</v>
      </c>
      <c r="O664" t="s">
        <v>0</v>
      </c>
      <c r="P664" t="s">
        <v>11</v>
      </c>
      <c r="Q664" s="5">
        <v>8</v>
      </c>
      <c r="R664" s="4">
        <v>46100</v>
      </c>
      <c r="S664" s="5">
        <v>1</v>
      </c>
      <c r="T664" s="4">
        <v>368800</v>
      </c>
      <c r="U664" s="5">
        <v>0</v>
      </c>
      <c r="V664" s="4">
        <v>0</v>
      </c>
      <c r="W664" s="5">
        <v>0</v>
      </c>
      <c r="X664" s="4">
        <v>0</v>
      </c>
      <c r="Y664" s="4">
        <f t="shared" si="20"/>
        <v>368800</v>
      </c>
      <c r="Z664" s="6" t="s">
        <v>0</v>
      </c>
      <c r="AA664" t="s">
        <v>2</v>
      </c>
      <c r="AB664" t="s">
        <v>12</v>
      </c>
      <c r="AC664">
        <f>_xlfn.XLOOKUP(AB664,'[1]GST Codes'!$A:$A,'[1]GST Codes'!$C:$C,0,0)</f>
        <v>18</v>
      </c>
      <c r="AD664">
        <f t="shared" si="21"/>
        <v>435184</v>
      </c>
      <c r="AE664" t="s">
        <v>13</v>
      </c>
      <c r="AF664" t="s">
        <v>0</v>
      </c>
      <c r="AG664" t="s">
        <v>14</v>
      </c>
      <c r="AH664" t="s">
        <v>15</v>
      </c>
      <c r="AI664" t="s">
        <v>85</v>
      </c>
      <c r="AJ664" t="s">
        <v>17</v>
      </c>
      <c r="AK664" t="s">
        <v>18</v>
      </c>
      <c r="AL664" t="s">
        <v>19</v>
      </c>
      <c r="AM664" t="s">
        <v>363</v>
      </c>
      <c r="AN664" t="s">
        <v>0</v>
      </c>
      <c r="AO664" t="s">
        <v>0</v>
      </c>
      <c r="AP664" t="s">
        <v>0</v>
      </c>
      <c r="AQ664" s="5">
        <v>8</v>
      </c>
      <c r="AR664" t="s">
        <v>11</v>
      </c>
      <c r="AS664" t="s">
        <v>0</v>
      </c>
      <c r="AT664" t="s">
        <v>17</v>
      </c>
      <c r="AU664" s="4">
        <v>0</v>
      </c>
      <c r="AV664" s="4">
        <v>0</v>
      </c>
      <c r="AW664" s="4">
        <v>0</v>
      </c>
      <c r="AX664" s="4">
        <v>0</v>
      </c>
      <c r="AY664" s="5">
        <v>0</v>
      </c>
      <c r="AZ664" s="5">
        <v>0</v>
      </c>
      <c r="BA664" s="5">
        <v>0</v>
      </c>
      <c r="BB664" s="2"/>
      <c r="BC664" t="s">
        <v>0</v>
      </c>
      <c r="BD664" s="5">
        <v>1</v>
      </c>
      <c r="BE664" t="s">
        <v>0</v>
      </c>
      <c r="BF664" t="s">
        <v>364</v>
      </c>
      <c r="BG664" t="s">
        <v>17</v>
      </c>
      <c r="BH664" t="s">
        <v>0</v>
      </c>
      <c r="BI664" t="s">
        <v>11</v>
      </c>
      <c r="BJ664" t="s">
        <v>0</v>
      </c>
      <c r="BK664" t="s">
        <v>0</v>
      </c>
      <c r="BL664" s="5">
        <v>0</v>
      </c>
      <c r="BM664" t="s">
        <v>0</v>
      </c>
      <c r="BN664" t="s">
        <v>0</v>
      </c>
      <c r="BO664" t="s">
        <v>0</v>
      </c>
      <c r="BP664" t="s">
        <v>17</v>
      </c>
      <c r="BQ664" t="s">
        <v>0</v>
      </c>
      <c r="BR664" t="s">
        <v>17</v>
      </c>
      <c r="BS664" t="s">
        <v>17</v>
      </c>
      <c r="BT664" t="s">
        <v>0</v>
      </c>
      <c r="BU664" t="s">
        <v>0</v>
      </c>
      <c r="BV664" t="s">
        <v>0</v>
      </c>
      <c r="BW664" t="s">
        <v>0</v>
      </c>
      <c r="BX664" t="s">
        <v>0</v>
      </c>
      <c r="BY664" t="s">
        <v>0</v>
      </c>
      <c r="BZ664" t="s">
        <v>0</v>
      </c>
      <c r="CA664" t="s">
        <v>0</v>
      </c>
      <c r="CB664" t="s">
        <v>0</v>
      </c>
    </row>
    <row r="665" spans="1:80" ht="13.95" customHeight="1" x14ac:dyDescent="0.25">
      <c r="A665" t="s">
        <v>379</v>
      </c>
      <c r="B665" s="2">
        <v>45968</v>
      </c>
      <c r="C665" s="2">
        <v>45968</v>
      </c>
      <c r="D665" s="2">
        <v>45998</v>
      </c>
      <c r="E665" t="s">
        <v>2</v>
      </c>
      <c r="F665" t="s">
        <v>3</v>
      </c>
      <c r="G665" t="s">
        <v>0</v>
      </c>
      <c r="H665" t="s">
        <v>4</v>
      </c>
      <c r="I665" t="s">
        <v>363</v>
      </c>
      <c r="J665" t="s">
        <v>6</v>
      </c>
      <c r="K665" t="s">
        <v>181</v>
      </c>
      <c r="L665" t="s">
        <v>43</v>
      </c>
      <c r="M665" t="s">
        <v>44</v>
      </c>
      <c r="N665" t="s">
        <v>10</v>
      </c>
      <c r="O665" t="s">
        <v>0</v>
      </c>
      <c r="P665" t="s">
        <v>11</v>
      </c>
      <c r="Q665" s="5">
        <v>8</v>
      </c>
      <c r="R665" s="4">
        <v>46100</v>
      </c>
      <c r="S665" s="5">
        <v>1</v>
      </c>
      <c r="T665" s="4">
        <v>368800</v>
      </c>
      <c r="U665" s="5">
        <v>0</v>
      </c>
      <c r="V665" s="4">
        <v>0</v>
      </c>
      <c r="W665" s="5">
        <v>0</v>
      </c>
      <c r="X665" s="4">
        <v>0</v>
      </c>
      <c r="Y665" s="4">
        <f t="shared" si="20"/>
        <v>368800</v>
      </c>
      <c r="Z665" s="6" t="s">
        <v>0</v>
      </c>
      <c r="AA665" t="s">
        <v>2</v>
      </c>
      <c r="AB665" t="s">
        <v>12</v>
      </c>
      <c r="AC665">
        <f>_xlfn.XLOOKUP(AB665,'[1]GST Codes'!$A:$A,'[1]GST Codes'!$C:$C,0,0)</f>
        <v>18</v>
      </c>
      <c r="AD665">
        <f t="shared" si="21"/>
        <v>435184</v>
      </c>
      <c r="AE665" t="s">
        <v>13</v>
      </c>
      <c r="AF665" t="s">
        <v>0</v>
      </c>
      <c r="AG665" t="s">
        <v>14</v>
      </c>
      <c r="AH665" t="s">
        <v>15</v>
      </c>
      <c r="AI665" t="s">
        <v>85</v>
      </c>
      <c r="AJ665" t="s">
        <v>17</v>
      </c>
      <c r="AK665" t="s">
        <v>18</v>
      </c>
      <c r="AL665" t="s">
        <v>19</v>
      </c>
      <c r="AM665" t="s">
        <v>363</v>
      </c>
      <c r="AN665" t="s">
        <v>0</v>
      </c>
      <c r="AO665" t="s">
        <v>0</v>
      </c>
      <c r="AP665" t="s">
        <v>0</v>
      </c>
      <c r="AQ665" s="5">
        <v>8</v>
      </c>
      <c r="AR665" t="s">
        <v>11</v>
      </c>
      <c r="AS665" t="s">
        <v>0</v>
      </c>
      <c r="AT665" t="s">
        <v>17</v>
      </c>
      <c r="AU665" s="4">
        <v>0</v>
      </c>
      <c r="AV665" s="4">
        <v>0</v>
      </c>
      <c r="AW665" s="4">
        <v>0</v>
      </c>
      <c r="AX665" s="4">
        <v>0</v>
      </c>
      <c r="AY665" s="5">
        <v>0</v>
      </c>
      <c r="AZ665" s="5">
        <v>0</v>
      </c>
      <c r="BA665" s="5">
        <v>0</v>
      </c>
      <c r="BB665" s="2"/>
      <c r="BC665" t="s">
        <v>0</v>
      </c>
      <c r="BD665" s="5">
        <v>1</v>
      </c>
      <c r="BE665" t="s">
        <v>0</v>
      </c>
      <c r="BF665" t="s">
        <v>364</v>
      </c>
      <c r="BG665" t="s">
        <v>17</v>
      </c>
      <c r="BH665" t="s">
        <v>0</v>
      </c>
      <c r="BI665" t="s">
        <v>11</v>
      </c>
      <c r="BJ665" t="s">
        <v>0</v>
      </c>
      <c r="BK665" t="s">
        <v>0</v>
      </c>
      <c r="BL665" s="5">
        <v>0</v>
      </c>
      <c r="BM665" t="s">
        <v>0</v>
      </c>
      <c r="BN665" t="s">
        <v>0</v>
      </c>
      <c r="BO665" t="s">
        <v>0</v>
      </c>
      <c r="BP665" t="s">
        <v>17</v>
      </c>
      <c r="BQ665" t="s">
        <v>0</v>
      </c>
      <c r="BR665" t="s">
        <v>17</v>
      </c>
      <c r="BS665" t="s">
        <v>17</v>
      </c>
      <c r="BT665" t="s">
        <v>0</v>
      </c>
      <c r="BU665" t="s">
        <v>0</v>
      </c>
      <c r="BV665" t="s">
        <v>0</v>
      </c>
      <c r="BW665" t="s">
        <v>0</v>
      </c>
      <c r="BX665" t="s">
        <v>0</v>
      </c>
      <c r="BY665" t="s">
        <v>0</v>
      </c>
      <c r="BZ665" t="s">
        <v>0</v>
      </c>
      <c r="CA665" t="s">
        <v>0</v>
      </c>
      <c r="CB665" t="s">
        <v>0</v>
      </c>
    </row>
    <row r="666" spans="1:80" ht="13.95" customHeight="1" x14ac:dyDescent="0.25">
      <c r="A666" t="s">
        <v>379</v>
      </c>
      <c r="B666" s="2">
        <v>45968</v>
      </c>
      <c r="C666" s="2">
        <v>45968</v>
      </c>
      <c r="D666" s="2">
        <v>45998</v>
      </c>
      <c r="E666" t="s">
        <v>2</v>
      </c>
      <c r="F666" t="s">
        <v>3</v>
      </c>
      <c r="G666" t="s">
        <v>0</v>
      </c>
      <c r="H666" t="s">
        <v>4</v>
      </c>
      <c r="I666" t="s">
        <v>363</v>
      </c>
      <c r="J666" t="s">
        <v>6</v>
      </c>
      <c r="K666" t="s">
        <v>185</v>
      </c>
      <c r="L666" t="s">
        <v>43</v>
      </c>
      <c r="M666" t="s">
        <v>44</v>
      </c>
      <c r="N666" t="s">
        <v>10</v>
      </c>
      <c r="O666" t="s">
        <v>0</v>
      </c>
      <c r="P666" t="s">
        <v>11</v>
      </c>
      <c r="Q666" s="5">
        <v>8</v>
      </c>
      <c r="R666" s="4">
        <v>46100</v>
      </c>
      <c r="S666" s="5">
        <v>1</v>
      </c>
      <c r="T666" s="4">
        <v>368800</v>
      </c>
      <c r="U666" s="5">
        <v>0</v>
      </c>
      <c r="V666" s="4">
        <v>0</v>
      </c>
      <c r="W666" s="5">
        <v>0</v>
      </c>
      <c r="X666" s="4">
        <v>0</v>
      </c>
      <c r="Y666" s="4">
        <f t="shared" si="20"/>
        <v>368800</v>
      </c>
      <c r="Z666" s="6" t="s">
        <v>0</v>
      </c>
      <c r="AA666" t="s">
        <v>2</v>
      </c>
      <c r="AB666" t="s">
        <v>12</v>
      </c>
      <c r="AC666">
        <f>_xlfn.XLOOKUP(AB666,'[1]GST Codes'!$A:$A,'[1]GST Codes'!$C:$C,0,0)</f>
        <v>18</v>
      </c>
      <c r="AD666">
        <f t="shared" si="21"/>
        <v>435184</v>
      </c>
      <c r="AE666" t="s">
        <v>13</v>
      </c>
      <c r="AF666" t="s">
        <v>0</v>
      </c>
      <c r="AG666" t="s">
        <v>14</v>
      </c>
      <c r="AH666" t="s">
        <v>15</v>
      </c>
      <c r="AI666" t="s">
        <v>85</v>
      </c>
      <c r="AJ666" t="s">
        <v>17</v>
      </c>
      <c r="AK666" t="s">
        <v>18</v>
      </c>
      <c r="AL666" t="s">
        <v>19</v>
      </c>
      <c r="AM666" t="s">
        <v>363</v>
      </c>
      <c r="AN666" t="s">
        <v>0</v>
      </c>
      <c r="AO666" t="s">
        <v>0</v>
      </c>
      <c r="AP666" t="s">
        <v>0</v>
      </c>
      <c r="AQ666" s="5">
        <v>8</v>
      </c>
      <c r="AR666" t="s">
        <v>11</v>
      </c>
      <c r="AS666" t="s">
        <v>0</v>
      </c>
      <c r="AT666" t="s">
        <v>17</v>
      </c>
      <c r="AU666" s="4">
        <v>0</v>
      </c>
      <c r="AV666" s="4">
        <v>0</v>
      </c>
      <c r="AW666" s="4">
        <v>0</v>
      </c>
      <c r="AX666" s="4">
        <v>0</v>
      </c>
      <c r="AY666" s="5">
        <v>0</v>
      </c>
      <c r="AZ666" s="5">
        <v>0</v>
      </c>
      <c r="BA666" s="5">
        <v>0</v>
      </c>
      <c r="BB666" s="2"/>
      <c r="BC666" t="s">
        <v>0</v>
      </c>
      <c r="BD666" s="5">
        <v>1</v>
      </c>
      <c r="BE666" t="s">
        <v>0</v>
      </c>
      <c r="BF666" t="s">
        <v>364</v>
      </c>
      <c r="BG666" t="s">
        <v>17</v>
      </c>
      <c r="BH666" t="s">
        <v>0</v>
      </c>
      <c r="BI666" t="s">
        <v>11</v>
      </c>
      <c r="BJ666" t="s">
        <v>0</v>
      </c>
      <c r="BK666" t="s">
        <v>0</v>
      </c>
      <c r="BL666" s="5">
        <v>0</v>
      </c>
      <c r="BM666" t="s">
        <v>0</v>
      </c>
      <c r="BN666" t="s">
        <v>0</v>
      </c>
      <c r="BO666" t="s">
        <v>0</v>
      </c>
      <c r="BP666" t="s">
        <v>17</v>
      </c>
      <c r="BQ666" t="s">
        <v>0</v>
      </c>
      <c r="BR666" t="s">
        <v>17</v>
      </c>
      <c r="BS666" t="s">
        <v>17</v>
      </c>
      <c r="BT666" t="s">
        <v>0</v>
      </c>
      <c r="BU666" t="s">
        <v>0</v>
      </c>
      <c r="BV666" t="s">
        <v>0</v>
      </c>
      <c r="BW666" t="s">
        <v>0</v>
      </c>
      <c r="BX666" t="s">
        <v>0</v>
      </c>
      <c r="BY666" t="s">
        <v>0</v>
      </c>
      <c r="BZ666" t="s">
        <v>0</v>
      </c>
      <c r="CA666" t="s">
        <v>0</v>
      </c>
      <c r="CB666" t="s">
        <v>0</v>
      </c>
    </row>
    <row r="667" spans="1:80" ht="13.95" customHeight="1" x14ac:dyDescent="0.25">
      <c r="A667" t="s">
        <v>379</v>
      </c>
      <c r="B667" s="2">
        <v>45968</v>
      </c>
      <c r="C667" s="2">
        <v>45968</v>
      </c>
      <c r="D667" s="2">
        <v>45998</v>
      </c>
      <c r="E667" t="s">
        <v>2</v>
      </c>
      <c r="F667" t="s">
        <v>3</v>
      </c>
      <c r="G667" t="s">
        <v>0</v>
      </c>
      <c r="H667" t="s">
        <v>4</v>
      </c>
      <c r="I667" t="s">
        <v>363</v>
      </c>
      <c r="J667" t="s">
        <v>6</v>
      </c>
      <c r="K667" t="s">
        <v>189</v>
      </c>
      <c r="L667" t="s">
        <v>43</v>
      </c>
      <c r="M667" t="s">
        <v>44</v>
      </c>
      <c r="N667" t="s">
        <v>10</v>
      </c>
      <c r="O667" t="s">
        <v>0</v>
      </c>
      <c r="P667" t="s">
        <v>11</v>
      </c>
      <c r="Q667" s="5">
        <v>8</v>
      </c>
      <c r="R667" s="4">
        <v>46100</v>
      </c>
      <c r="S667" s="5">
        <v>1</v>
      </c>
      <c r="T667" s="4">
        <v>368800</v>
      </c>
      <c r="U667" s="5">
        <v>0</v>
      </c>
      <c r="V667" s="4">
        <v>0</v>
      </c>
      <c r="W667" s="5">
        <v>0</v>
      </c>
      <c r="X667" s="4">
        <v>0</v>
      </c>
      <c r="Y667" s="4">
        <f t="shared" si="20"/>
        <v>368800</v>
      </c>
      <c r="Z667" s="6" t="s">
        <v>0</v>
      </c>
      <c r="AA667" t="s">
        <v>2</v>
      </c>
      <c r="AB667" t="s">
        <v>12</v>
      </c>
      <c r="AC667">
        <f>_xlfn.XLOOKUP(AB667,'[1]GST Codes'!$A:$A,'[1]GST Codes'!$C:$C,0,0)</f>
        <v>18</v>
      </c>
      <c r="AD667">
        <f t="shared" si="21"/>
        <v>435184</v>
      </c>
      <c r="AE667" t="s">
        <v>13</v>
      </c>
      <c r="AF667" t="s">
        <v>0</v>
      </c>
      <c r="AG667" t="s">
        <v>14</v>
      </c>
      <c r="AH667" t="s">
        <v>15</v>
      </c>
      <c r="AI667" t="s">
        <v>85</v>
      </c>
      <c r="AJ667" t="s">
        <v>17</v>
      </c>
      <c r="AK667" t="s">
        <v>18</v>
      </c>
      <c r="AL667" t="s">
        <v>19</v>
      </c>
      <c r="AM667" t="s">
        <v>363</v>
      </c>
      <c r="AN667" t="s">
        <v>0</v>
      </c>
      <c r="AO667" t="s">
        <v>0</v>
      </c>
      <c r="AP667" t="s">
        <v>0</v>
      </c>
      <c r="AQ667" s="5">
        <v>8</v>
      </c>
      <c r="AR667" t="s">
        <v>11</v>
      </c>
      <c r="AS667" t="s">
        <v>0</v>
      </c>
      <c r="AT667" t="s">
        <v>17</v>
      </c>
      <c r="AU667" s="4">
        <v>0</v>
      </c>
      <c r="AV667" s="4">
        <v>0</v>
      </c>
      <c r="AW667" s="4">
        <v>0</v>
      </c>
      <c r="AX667" s="4">
        <v>0</v>
      </c>
      <c r="AY667" s="5">
        <v>0</v>
      </c>
      <c r="AZ667" s="5">
        <v>0</v>
      </c>
      <c r="BA667" s="5">
        <v>0</v>
      </c>
      <c r="BB667" s="2"/>
      <c r="BC667" t="s">
        <v>0</v>
      </c>
      <c r="BD667" s="5">
        <v>1</v>
      </c>
      <c r="BE667" t="s">
        <v>0</v>
      </c>
      <c r="BF667" t="s">
        <v>364</v>
      </c>
      <c r="BG667" t="s">
        <v>17</v>
      </c>
      <c r="BH667" t="s">
        <v>0</v>
      </c>
      <c r="BI667" t="s">
        <v>11</v>
      </c>
      <c r="BJ667" t="s">
        <v>0</v>
      </c>
      <c r="BK667" t="s">
        <v>0</v>
      </c>
      <c r="BL667" s="5">
        <v>0</v>
      </c>
      <c r="BM667" t="s">
        <v>0</v>
      </c>
      <c r="BN667" t="s">
        <v>0</v>
      </c>
      <c r="BO667" t="s">
        <v>0</v>
      </c>
      <c r="BP667" t="s">
        <v>17</v>
      </c>
      <c r="BQ667" t="s">
        <v>0</v>
      </c>
      <c r="BR667" t="s">
        <v>17</v>
      </c>
      <c r="BS667" t="s">
        <v>17</v>
      </c>
      <c r="BT667" t="s">
        <v>0</v>
      </c>
      <c r="BU667" t="s">
        <v>0</v>
      </c>
      <c r="BV667" t="s">
        <v>0</v>
      </c>
      <c r="BW667" t="s">
        <v>0</v>
      </c>
      <c r="BX667" t="s">
        <v>0</v>
      </c>
      <c r="BY667" t="s">
        <v>0</v>
      </c>
      <c r="BZ667" t="s">
        <v>0</v>
      </c>
      <c r="CA667" t="s">
        <v>0</v>
      </c>
      <c r="CB667" t="s">
        <v>0</v>
      </c>
    </row>
    <row r="668" spans="1:80" ht="13.95" customHeight="1" x14ac:dyDescent="0.25">
      <c r="A668" t="s">
        <v>379</v>
      </c>
      <c r="B668" s="2">
        <v>45968</v>
      </c>
      <c r="C668" s="2">
        <v>45968</v>
      </c>
      <c r="D668" s="2">
        <v>45998</v>
      </c>
      <c r="E668" t="s">
        <v>2</v>
      </c>
      <c r="F668" t="s">
        <v>3</v>
      </c>
      <c r="G668" t="s">
        <v>0</v>
      </c>
      <c r="H668" t="s">
        <v>4</v>
      </c>
      <c r="I668" t="s">
        <v>363</v>
      </c>
      <c r="J668" t="s">
        <v>6</v>
      </c>
      <c r="K668" t="s">
        <v>193</v>
      </c>
      <c r="L668" t="s">
        <v>43</v>
      </c>
      <c r="M668" t="s">
        <v>44</v>
      </c>
      <c r="N668" t="s">
        <v>10</v>
      </c>
      <c r="O668" t="s">
        <v>0</v>
      </c>
      <c r="P668" t="s">
        <v>11</v>
      </c>
      <c r="Q668" s="5">
        <v>8</v>
      </c>
      <c r="R668" s="4">
        <v>46100</v>
      </c>
      <c r="S668" s="5">
        <v>1</v>
      </c>
      <c r="T668" s="4">
        <v>368800</v>
      </c>
      <c r="U668" s="5">
        <v>0</v>
      </c>
      <c r="V668" s="4">
        <v>0</v>
      </c>
      <c r="W668" s="5">
        <v>0</v>
      </c>
      <c r="X668" s="4">
        <v>0</v>
      </c>
      <c r="Y668" s="4">
        <f t="shared" si="20"/>
        <v>368800</v>
      </c>
      <c r="Z668" s="6" t="s">
        <v>0</v>
      </c>
      <c r="AA668" t="s">
        <v>2</v>
      </c>
      <c r="AB668" t="s">
        <v>12</v>
      </c>
      <c r="AC668">
        <f>_xlfn.XLOOKUP(AB668,'[1]GST Codes'!$A:$A,'[1]GST Codes'!$C:$C,0,0)</f>
        <v>18</v>
      </c>
      <c r="AD668">
        <f t="shared" si="21"/>
        <v>435184</v>
      </c>
      <c r="AE668" t="s">
        <v>13</v>
      </c>
      <c r="AF668" t="s">
        <v>0</v>
      </c>
      <c r="AG668" t="s">
        <v>14</v>
      </c>
      <c r="AH668" t="s">
        <v>15</v>
      </c>
      <c r="AI668" t="s">
        <v>85</v>
      </c>
      <c r="AJ668" t="s">
        <v>17</v>
      </c>
      <c r="AK668" t="s">
        <v>18</v>
      </c>
      <c r="AL668" t="s">
        <v>19</v>
      </c>
      <c r="AM668" t="s">
        <v>363</v>
      </c>
      <c r="AN668" t="s">
        <v>0</v>
      </c>
      <c r="AO668" t="s">
        <v>0</v>
      </c>
      <c r="AP668" t="s">
        <v>0</v>
      </c>
      <c r="AQ668" s="5">
        <v>8</v>
      </c>
      <c r="AR668" t="s">
        <v>11</v>
      </c>
      <c r="AS668" t="s">
        <v>0</v>
      </c>
      <c r="AT668" t="s">
        <v>17</v>
      </c>
      <c r="AU668" s="4">
        <v>0</v>
      </c>
      <c r="AV668" s="4">
        <v>0</v>
      </c>
      <c r="AW668" s="4">
        <v>0</v>
      </c>
      <c r="AX668" s="4">
        <v>0</v>
      </c>
      <c r="AY668" s="5">
        <v>0</v>
      </c>
      <c r="AZ668" s="5">
        <v>0</v>
      </c>
      <c r="BA668" s="5">
        <v>0</v>
      </c>
      <c r="BB668" s="2"/>
      <c r="BC668" t="s">
        <v>0</v>
      </c>
      <c r="BD668" s="5">
        <v>1</v>
      </c>
      <c r="BE668" t="s">
        <v>0</v>
      </c>
      <c r="BF668" t="s">
        <v>364</v>
      </c>
      <c r="BG668" t="s">
        <v>17</v>
      </c>
      <c r="BH668" t="s">
        <v>0</v>
      </c>
      <c r="BI668" t="s">
        <v>11</v>
      </c>
      <c r="BJ668" t="s">
        <v>0</v>
      </c>
      <c r="BK668" t="s">
        <v>0</v>
      </c>
      <c r="BL668" s="5">
        <v>0</v>
      </c>
      <c r="BM668" t="s">
        <v>0</v>
      </c>
      <c r="BN668" t="s">
        <v>0</v>
      </c>
      <c r="BO668" t="s">
        <v>0</v>
      </c>
      <c r="BP668" t="s">
        <v>17</v>
      </c>
      <c r="BQ668" t="s">
        <v>0</v>
      </c>
      <c r="BR668" t="s">
        <v>17</v>
      </c>
      <c r="BS668" t="s">
        <v>17</v>
      </c>
      <c r="BT668" t="s">
        <v>0</v>
      </c>
      <c r="BU668" t="s">
        <v>0</v>
      </c>
      <c r="BV668" t="s">
        <v>0</v>
      </c>
      <c r="BW668" t="s">
        <v>0</v>
      </c>
      <c r="BX668" t="s">
        <v>0</v>
      </c>
      <c r="BY668" t="s">
        <v>0</v>
      </c>
      <c r="BZ668" t="s">
        <v>0</v>
      </c>
      <c r="CA668" t="s">
        <v>0</v>
      </c>
      <c r="CB668" t="s">
        <v>0</v>
      </c>
    </row>
    <row r="669" spans="1:80" ht="13.95" customHeight="1" x14ac:dyDescent="0.25">
      <c r="A669" t="s">
        <v>379</v>
      </c>
      <c r="B669" s="2">
        <v>45968</v>
      </c>
      <c r="C669" s="2">
        <v>45968</v>
      </c>
      <c r="D669" s="2">
        <v>45998</v>
      </c>
      <c r="E669" t="s">
        <v>2</v>
      </c>
      <c r="F669" t="s">
        <v>3</v>
      </c>
      <c r="G669" t="s">
        <v>0</v>
      </c>
      <c r="H669" t="s">
        <v>4</v>
      </c>
      <c r="I669" t="s">
        <v>363</v>
      </c>
      <c r="J669" t="s">
        <v>6</v>
      </c>
      <c r="K669" t="s">
        <v>197</v>
      </c>
      <c r="L669" t="s">
        <v>43</v>
      </c>
      <c r="M669" t="s">
        <v>44</v>
      </c>
      <c r="N669" t="s">
        <v>10</v>
      </c>
      <c r="O669" t="s">
        <v>0</v>
      </c>
      <c r="P669" t="s">
        <v>11</v>
      </c>
      <c r="Q669" s="5">
        <v>10</v>
      </c>
      <c r="R669" s="4">
        <v>46100</v>
      </c>
      <c r="S669" s="5">
        <v>1</v>
      </c>
      <c r="T669" s="4">
        <v>461000</v>
      </c>
      <c r="U669" s="5">
        <v>0</v>
      </c>
      <c r="V669" s="4">
        <v>0</v>
      </c>
      <c r="W669" s="5">
        <v>0</v>
      </c>
      <c r="X669" s="4">
        <v>0</v>
      </c>
      <c r="Y669" s="4">
        <f t="shared" si="20"/>
        <v>461000</v>
      </c>
      <c r="Z669" s="6" t="s">
        <v>0</v>
      </c>
      <c r="AA669" t="s">
        <v>2</v>
      </c>
      <c r="AB669" t="s">
        <v>12</v>
      </c>
      <c r="AC669">
        <f>_xlfn.XLOOKUP(AB669,'[1]GST Codes'!$A:$A,'[1]GST Codes'!$C:$C,0,0)</f>
        <v>18</v>
      </c>
      <c r="AD669">
        <f t="shared" si="21"/>
        <v>543980</v>
      </c>
      <c r="AE669" t="s">
        <v>13</v>
      </c>
      <c r="AF669" t="s">
        <v>0</v>
      </c>
      <c r="AG669" t="s">
        <v>14</v>
      </c>
      <c r="AH669" t="s">
        <v>15</v>
      </c>
      <c r="AI669" t="s">
        <v>85</v>
      </c>
      <c r="AJ669" t="s">
        <v>17</v>
      </c>
      <c r="AK669" t="s">
        <v>18</v>
      </c>
      <c r="AL669" t="s">
        <v>19</v>
      </c>
      <c r="AM669" t="s">
        <v>363</v>
      </c>
      <c r="AN669" t="s">
        <v>0</v>
      </c>
      <c r="AO669" t="s">
        <v>0</v>
      </c>
      <c r="AP669" t="s">
        <v>0</v>
      </c>
      <c r="AQ669" s="5">
        <v>10</v>
      </c>
      <c r="AR669" t="s">
        <v>11</v>
      </c>
      <c r="AS669" t="s">
        <v>0</v>
      </c>
      <c r="AT669" t="s">
        <v>17</v>
      </c>
      <c r="AU669" s="4">
        <v>0</v>
      </c>
      <c r="AV669" s="4">
        <v>0</v>
      </c>
      <c r="AW669" s="4">
        <v>0</v>
      </c>
      <c r="AX669" s="4">
        <v>0</v>
      </c>
      <c r="AY669" s="5">
        <v>0</v>
      </c>
      <c r="AZ669" s="5">
        <v>0</v>
      </c>
      <c r="BA669" s="5">
        <v>0</v>
      </c>
      <c r="BB669" s="2"/>
      <c r="BC669" t="s">
        <v>0</v>
      </c>
      <c r="BD669" s="5">
        <v>1</v>
      </c>
      <c r="BE669" t="s">
        <v>0</v>
      </c>
      <c r="BF669" t="s">
        <v>364</v>
      </c>
      <c r="BG669" t="s">
        <v>17</v>
      </c>
      <c r="BH669" t="s">
        <v>0</v>
      </c>
      <c r="BI669" t="s">
        <v>11</v>
      </c>
      <c r="BJ669" t="s">
        <v>0</v>
      </c>
      <c r="BK669" t="s">
        <v>0</v>
      </c>
      <c r="BL669" s="5">
        <v>0</v>
      </c>
      <c r="BM669" t="s">
        <v>0</v>
      </c>
      <c r="BN669" t="s">
        <v>0</v>
      </c>
      <c r="BO669" t="s">
        <v>0</v>
      </c>
      <c r="BP669" t="s">
        <v>17</v>
      </c>
      <c r="BQ669" t="s">
        <v>0</v>
      </c>
      <c r="BR669" t="s">
        <v>17</v>
      </c>
      <c r="BS669" t="s">
        <v>17</v>
      </c>
      <c r="BT669" t="s">
        <v>0</v>
      </c>
      <c r="BU669" t="s">
        <v>0</v>
      </c>
      <c r="BV669" t="s">
        <v>0</v>
      </c>
      <c r="BW669" t="s">
        <v>0</v>
      </c>
      <c r="BX669" t="s">
        <v>0</v>
      </c>
      <c r="BY669" t="s">
        <v>0</v>
      </c>
      <c r="BZ669" t="s">
        <v>0</v>
      </c>
      <c r="CA669" t="s">
        <v>0</v>
      </c>
      <c r="CB669" t="s">
        <v>0</v>
      </c>
    </row>
    <row r="670" spans="1:80" ht="13.95" customHeight="1" x14ac:dyDescent="0.25">
      <c r="A670" t="s">
        <v>379</v>
      </c>
      <c r="B670" s="2">
        <v>45968</v>
      </c>
      <c r="C670" s="2">
        <v>45968</v>
      </c>
      <c r="D670" s="2">
        <v>45998</v>
      </c>
      <c r="E670" t="s">
        <v>2</v>
      </c>
      <c r="F670" t="s">
        <v>3</v>
      </c>
      <c r="G670" t="s">
        <v>0</v>
      </c>
      <c r="H670" t="s">
        <v>4</v>
      </c>
      <c r="I670" t="s">
        <v>363</v>
      </c>
      <c r="J670" t="s">
        <v>6</v>
      </c>
      <c r="K670" t="s">
        <v>201</v>
      </c>
      <c r="L670" t="s">
        <v>354</v>
      </c>
      <c r="M670" t="s">
        <v>338</v>
      </c>
      <c r="N670" t="s">
        <v>10</v>
      </c>
      <c r="O670" t="s">
        <v>0</v>
      </c>
      <c r="P670" t="s">
        <v>11</v>
      </c>
      <c r="Q670" s="5">
        <v>30</v>
      </c>
      <c r="R670" s="4">
        <v>46100</v>
      </c>
      <c r="S670" s="5">
        <v>1</v>
      </c>
      <c r="T670" s="4">
        <v>1383000</v>
      </c>
      <c r="U670" s="5">
        <v>0</v>
      </c>
      <c r="V670" s="4">
        <v>0</v>
      </c>
      <c r="W670" s="5">
        <v>0</v>
      </c>
      <c r="X670" s="4">
        <v>0</v>
      </c>
      <c r="Y670" s="4">
        <f t="shared" si="20"/>
        <v>1383000</v>
      </c>
      <c r="Z670" s="6" t="s">
        <v>0</v>
      </c>
      <c r="AA670" t="s">
        <v>2</v>
      </c>
      <c r="AB670" t="s">
        <v>12</v>
      </c>
      <c r="AC670">
        <f>_xlfn.XLOOKUP(AB670,'[1]GST Codes'!$A:$A,'[1]GST Codes'!$C:$C,0,0)</f>
        <v>18</v>
      </c>
      <c r="AD670">
        <f t="shared" si="21"/>
        <v>1631940</v>
      </c>
      <c r="AE670" t="s">
        <v>13</v>
      </c>
      <c r="AF670" t="s">
        <v>0</v>
      </c>
      <c r="AG670" t="s">
        <v>14</v>
      </c>
      <c r="AH670" t="s">
        <v>15</v>
      </c>
      <c r="AI670" t="s">
        <v>85</v>
      </c>
      <c r="AJ670" t="s">
        <v>17</v>
      </c>
      <c r="AK670" t="s">
        <v>18</v>
      </c>
      <c r="AL670" t="s">
        <v>19</v>
      </c>
      <c r="AM670" t="s">
        <v>363</v>
      </c>
      <c r="AN670" t="s">
        <v>0</v>
      </c>
      <c r="AO670" t="s">
        <v>0</v>
      </c>
      <c r="AP670" t="s">
        <v>0</v>
      </c>
      <c r="AQ670" s="5">
        <v>30</v>
      </c>
      <c r="AR670" t="s">
        <v>11</v>
      </c>
      <c r="AS670" t="s">
        <v>0</v>
      </c>
      <c r="AT670" t="s">
        <v>17</v>
      </c>
      <c r="AU670" s="4">
        <v>0</v>
      </c>
      <c r="AV670" s="4">
        <v>0</v>
      </c>
      <c r="AW670" s="4">
        <v>0</v>
      </c>
      <c r="AX670" s="4">
        <v>0</v>
      </c>
      <c r="AY670" s="5">
        <v>0</v>
      </c>
      <c r="AZ670" s="5">
        <v>0</v>
      </c>
      <c r="BA670" s="5">
        <v>0</v>
      </c>
      <c r="BB670" s="2"/>
      <c r="BC670" t="s">
        <v>0</v>
      </c>
      <c r="BD670" s="5">
        <v>1</v>
      </c>
      <c r="BE670" t="s">
        <v>0</v>
      </c>
      <c r="BF670" t="s">
        <v>371</v>
      </c>
      <c r="BG670" t="s">
        <v>17</v>
      </c>
      <c r="BH670" t="s">
        <v>0</v>
      </c>
      <c r="BI670" t="s">
        <v>11</v>
      </c>
      <c r="BJ670" t="s">
        <v>0</v>
      </c>
      <c r="BK670" t="s">
        <v>0</v>
      </c>
      <c r="BL670" s="5">
        <v>0</v>
      </c>
      <c r="BM670" t="s">
        <v>0</v>
      </c>
      <c r="BN670" t="s">
        <v>0</v>
      </c>
      <c r="BO670" t="s">
        <v>0</v>
      </c>
      <c r="BP670" t="s">
        <v>17</v>
      </c>
      <c r="BQ670" t="s">
        <v>0</v>
      </c>
      <c r="BR670" t="s">
        <v>17</v>
      </c>
      <c r="BS670" t="s">
        <v>17</v>
      </c>
      <c r="BT670" t="s">
        <v>0</v>
      </c>
      <c r="BU670" t="s">
        <v>0</v>
      </c>
      <c r="BV670" t="s">
        <v>0</v>
      </c>
      <c r="BW670" t="s">
        <v>0</v>
      </c>
      <c r="BX670" t="s">
        <v>0</v>
      </c>
      <c r="BY670" t="s">
        <v>0</v>
      </c>
      <c r="BZ670" t="s">
        <v>0</v>
      </c>
      <c r="CA670" t="s">
        <v>0</v>
      </c>
      <c r="CB670" t="s">
        <v>0</v>
      </c>
    </row>
    <row r="671" spans="1:80" ht="13.95" customHeight="1" x14ac:dyDescent="0.25">
      <c r="A671" t="s">
        <v>379</v>
      </c>
      <c r="B671" s="2">
        <v>45968</v>
      </c>
      <c r="C671" s="2">
        <v>45968</v>
      </c>
      <c r="D671" s="2">
        <v>45998</v>
      </c>
      <c r="E671" t="s">
        <v>2</v>
      </c>
      <c r="F671" t="s">
        <v>3</v>
      </c>
      <c r="G671" t="s">
        <v>0</v>
      </c>
      <c r="H671" t="s">
        <v>4</v>
      </c>
      <c r="I671" t="s">
        <v>363</v>
      </c>
      <c r="J671" t="s">
        <v>6</v>
      </c>
      <c r="K671" t="s">
        <v>205</v>
      </c>
      <c r="L671" t="s">
        <v>354</v>
      </c>
      <c r="M671" t="s">
        <v>338</v>
      </c>
      <c r="N671" t="s">
        <v>10</v>
      </c>
      <c r="O671" t="s">
        <v>0</v>
      </c>
      <c r="P671" t="s">
        <v>11</v>
      </c>
      <c r="Q671" s="5">
        <v>30</v>
      </c>
      <c r="R671" s="4">
        <v>46100</v>
      </c>
      <c r="S671" s="5">
        <v>1</v>
      </c>
      <c r="T671" s="4">
        <v>1383000</v>
      </c>
      <c r="U671" s="5">
        <v>0</v>
      </c>
      <c r="V671" s="4">
        <v>0</v>
      </c>
      <c r="W671" s="5">
        <v>0</v>
      </c>
      <c r="X671" s="4">
        <v>0</v>
      </c>
      <c r="Y671" s="4">
        <f t="shared" si="20"/>
        <v>1383000</v>
      </c>
      <c r="Z671" s="6" t="s">
        <v>0</v>
      </c>
      <c r="AA671" t="s">
        <v>2</v>
      </c>
      <c r="AB671" t="s">
        <v>12</v>
      </c>
      <c r="AC671">
        <f>_xlfn.XLOOKUP(AB671,'[1]GST Codes'!$A:$A,'[1]GST Codes'!$C:$C,0,0)</f>
        <v>18</v>
      </c>
      <c r="AD671">
        <f t="shared" si="21"/>
        <v>1631940</v>
      </c>
      <c r="AE671" t="s">
        <v>13</v>
      </c>
      <c r="AF671" t="s">
        <v>0</v>
      </c>
      <c r="AG671" t="s">
        <v>14</v>
      </c>
      <c r="AH671" t="s">
        <v>15</v>
      </c>
      <c r="AI671" t="s">
        <v>85</v>
      </c>
      <c r="AJ671" t="s">
        <v>17</v>
      </c>
      <c r="AK671" t="s">
        <v>18</v>
      </c>
      <c r="AL671" t="s">
        <v>19</v>
      </c>
      <c r="AM671" t="s">
        <v>363</v>
      </c>
      <c r="AN671" t="s">
        <v>0</v>
      </c>
      <c r="AO671" t="s">
        <v>0</v>
      </c>
      <c r="AP671" t="s">
        <v>0</v>
      </c>
      <c r="AQ671" s="5">
        <v>30</v>
      </c>
      <c r="AR671" t="s">
        <v>11</v>
      </c>
      <c r="AS671" t="s">
        <v>0</v>
      </c>
      <c r="AT671" t="s">
        <v>17</v>
      </c>
      <c r="AU671" s="4">
        <v>0</v>
      </c>
      <c r="AV671" s="4">
        <v>0</v>
      </c>
      <c r="AW671" s="4">
        <v>0</v>
      </c>
      <c r="AX671" s="4">
        <v>0</v>
      </c>
      <c r="AY671" s="5">
        <v>0</v>
      </c>
      <c r="AZ671" s="5">
        <v>0</v>
      </c>
      <c r="BA671" s="5">
        <v>0</v>
      </c>
      <c r="BB671" s="2"/>
      <c r="BC671" t="s">
        <v>0</v>
      </c>
      <c r="BD671" s="5">
        <v>1</v>
      </c>
      <c r="BE671" t="s">
        <v>0</v>
      </c>
      <c r="BF671" t="s">
        <v>371</v>
      </c>
      <c r="BG671" t="s">
        <v>17</v>
      </c>
      <c r="BH671" t="s">
        <v>0</v>
      </c>
      <c r="BI671" t="s">
        <v>11</v>
      </c>
      <c r="BJ671" t="s">
        <v>0</v>
      </c>
      <c r="BK671" t="s">
        <v>0</v>
      </c>
      <c r="BL671" s="5">
        <v>0</v>
      </c>
      <c r="BM671" t="s">
        <v>0</v>
      </c>
      <c r="BN671" t="s">
        <v>0</v>
      </c>
      <c r="BO671" t="s">
        <v>0</v>
      </c>
      <c r="BP671" t="s">
        <v>17</v>
      </c>
      <c r="BQ671" t="s">
        <v>0</v>
      </c>
      <c r="BR671" t="s">
        <v>17</v>
      </c>
      <c r="BS671" t="s">
        <v>17</v>
      </c>
      <c r="BT671" t="s">
        <v>0</v>
      </c>
      <c r="BU671" t="s">
        <v>0</v>
      </c>
      <c r="BV671" t="s">
        <v>0</v>
      </c>
      <c r="BW671" t="s">
        <v>0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</row>
    <row r="672" spans="1:80" ht="13.95" customHeight="1" x14ac:dyDescent="0.25">
      <c r="A672" t="s">
        <v>379</v>
      </c>
      <c r="B672" s="2">
        <v>45968</v>
      </c>
      <c r="C672" s="2">
        <v>45968</v>
      </c>
      <c r="D672" s="2">
        <v>45998</v>
      </c>
      <c r="E672" t="s">
        <v>2</v>
      </c>
      <c r="F672" t="s">
        <v>3</v>
      </c>
      <c r="G672" t="s">
        <v>0</v>
      </c>
      <c r="H672" t="s">
        <v>4</v>
      </c>
      <c r="I672" t="s">
        <v>363</v>
      </c>
      <c r="J672" t="s">
        <v>6</v>
      </c>
      <c r="K672" t="s">
        <v>209</v>
      </c>
      <c r="L672" t="s">
        <v>354</v>
      </c>
      <c r="M672" t="s">
        <v>338</v>
      </c>
      <c r="N672" t="s">
        <v>10</v>
      </c>
      <c r="O672" t="s">
        <v>0</v>
      </c>
      <c r="P672" t="s">
        <v>11</v>
      </c>
      <c r="Q672" s="5">
        <v>30</v>
      </c>
      <c r="R672" s="4">
        <v>46100</v>
      </c>
      <c r="S672" s="5">
        <v>1</v>
      </c>
      <c r="T672" s="4">
        <v>1383000</v>
      </c>
      <c r="U672" s="5">
        <v>0</v>
      </c>
      <c r="V672" s="4">
        <v>0</v>
      </c>
      <c r="W672" s="5">
        <v>0</v>
      </c>
      <c r="X672" s="4">
        <v>0</v>
      </c>
      <c r="Y672" s="4">
        <f t="shared" si="20"/>
        <v>1383000</v>
      </c>
      <c r="Z672" s="6" t="s">
        <v>0</v>
      </c>
      <c r="AA672" t="s">
        <v>2</v>
      </c>
      <c r="AB672" t="s">
        <v>12</v>
      </c>
      <c r="AC672">
        <f>_xlfn.XLOOKUP(AB672,'[1]GST Codes'!$A:$A,'[1]GST Codes'!$C:$C,0,0)</f>
        <v>18</v>
      </c>
      <c r="AD672">
        <f t="shared" si="21"/>
        <v>1631940</v>
      </c>
      <c r="AE672" t="s">
        <v>13</v>
      </c>
      <c r="AF672" t="s">
        <v>0</v>
      </c>
      <c r="AG672" t="s">
        <v>14</v>
      </c>
      <c r="AH672" t="s">
        <v>15</v>
      </c>
      <c r="AI672" t="s">
        <v>85</v>
      </c>
      <c r="AJ672" t="s">
        <v>17</v>
      </c>
      <c r="AK672" t="s">
        <v>18</v>
      </c>
      <c r="AL672" t="s">
        <v>19</v>
      </c>
      <c r="AM672" t="s">
        <v>363</v>
      </c>
      <c r="AN672" t="s">
        <v>0</v>
      </c>
      <c r="AO672" t="s">
        <v>0</v>
      </c>
      <c r="AP672" t="s">
        <v>0</v>
      </c>
      <c r="AQ672" s="5">
        <v>30</v>
      </c>
      <c r="AR672" t="s">
        <v>11</v>
      </c>
      <c r="AS672" t="s">
        <v>0</v>
      </c>
      <c r="AT672" t="s">
        <v>17</v>
      </c>
      <c r="AU672" s="4">
        <v>0</v>
      </c>
      <c r="AV672" s="4">
        <v>0</v>
      </c>
      <c r="AW672" s="4">
        <v>0</v>
      </c>
      <c r="AX672" s="4">
        <v>0</v>
      </c>
      <c r="AY672" s="5">
        <v>0</v>
      </c>
      <c r="AZ672" s="5">
        <v>0</v>
      </c>
      <c r="BA672" s="5">
        <v>0</v>
      </c>
      <c r="BB672" s="2"/>
      <c r="BC672" t="s">
        <v>0</v>
      </c>
      <c r="BD672" s="5">
        <v>1</v>
      </c>
      <c r="BE672" t="s">
        <v>0</v>
      </c>
      <c r="BF672" t="s">
        <v>371</v>
      </c>
      <c r="BG672" t="s">
        <v>17</v>
      </c>
      <c r="BH672" t="s">
        <v>0</v>
      </c>
      <c r="BI672" t="s">
        <v>11</v>
      </c>
      <c r="BJ672" t="s">
        <v>0</v>
      </c>
      <c r="BK672" t="s">
        <v>0</v>
      </c>
      <c r="BL672" s="5">
        <v>0</v>
      </c>
      <c r="BM672" t="s">
        <v>0</v>
      </c>
      <c r="BN672" t="s">
        <v>0</v>
      </c>
      <c r="BO672" t="s">
        <v>0</v>
      </c>
      <c r="BP672" t="s">
        <v>17</v>
      </c>
      <c r="BQ672" t="s">
        <v>0</v>
      </c>
      <c r="BR672" t="s">
        <v>17</v>
      </c>
      <c r="BS672" t="s">
        <v>17</v>
      </c>
      <c r="BT672" t="s">
        <v>0</v>
      </c>
      <c r="BU672" t="s">
        <v>0</v>
      </c>
      <c r="BV672" t="s">
        <v>0</v>
      </c>
      <c r="BW672" t="s">
        <v>0</v>
      </c>
      <c r="BX672" t="s">
        <v>0</v>
      </c>
      <c r="BY672" t="s">
        <v>0</v>
      </c>
      <c r="BZ672" t="s">
        <v>0</v>
      </c>
      <c r="CA672" t="s">
        <v>0</v>
      </c>
      <c r="CB672" t="s">
        <v>0</v>
      </c>
    </row>
    <row r="673" spans="1:80" ht="13.95" customHeight="1" x14ac:dyDescent="0.25">
      <c r="A673" t="s">
        <v>379</v>
      </c>
      <c r="B673" s="2">
        <v>45968</v>
      </c>
      <c r="C673" s="2">
        <v>45968</v>
      </c>
      <c r="D673" s="2">
        <v>45998</v>
      </c>
      <c r="E673" t="s">
        <v>2</v>
      </c>
      <c r="F673" t="s">
        <v>3</v>
      </c>
      <c r="G673" t="s">
        <v>0</v>
      </c>
      <c r="H673" t="s">
        <v>4</v>
      </c>
      <c r="I673" t="s">
        <v>363</v>
      </c>
      <c r="J673" t="s">
        <v>6</v>
      </c>
      <c r="K673" t="s">
        <v>213</v>
      </c>
      <c r="L673" t="s">
        <v>354</v>
      </c>
      <c r="M673" t="s">
        <v>338</v>
      </c>
      <c r="N673" t="s">
        <v>10</v>
      </c>
      <c r="O673" t="s">
        <v>0</v>
      </c>
      <c r="P673" t="s">
        <v>11</v>
      </c>
      <c r="Q673" s="5">
        <v>30</v>
      </c>
      <c r="R673" s="4">
        <v>46100</v>
      </c>
      <c r="S673" s="5">
        <v>1</v>
      </c>
      <c r="T673" s="4">
        <v>1383000</v>
      </c>
      <c r="U673" s="5">
        <v>0</v>
      </c>
      <c r="V673" s="4">
        <v>0</v>
      </c>
      <c r="W673" s="5">
        <v>0</v>
      </c>
      <c r="X673" s="4">
        <v>0</v>
      </c>
      <c r="Y673" s="4">
        <f t="shared" si="20"/>
        <v>1383000</v>
      </c>
      <c r="Z673" s="6" t="s">
        <v>0</v>
      </c>
      <c r="AA673" t="s">
        <v>2</v>
      </c>
      <c r="AB673" t="s">
        <v>12</v>
      </c>
      <c r="AC673">
        <f>_xlfn.XLOOKUP(AB673,'[1]GST Codes'!$A:$A,'[1]GST Codes'!$C:$C,0,0)</f>
        <v>18</v>
      </c>
      <c r="AD673">
        <f t="shared" si="21"/>
        <v>1631940</v>
      </c>
      <c r="AE673" t="s">
        <v>13</v>
      </c>
      <c r="AF673" t="s">
        <v>0</v>
      </c>
      <c r="AG673" t="s">
        <v>14</v>
      </c>
      <c r="AH673" t="s">
        <v>15</v>
      </c>
      <c r="AI673" t="s">
        <v>85</v>
      </c>
      <c r="AJ673" t="s">
        <v>17</v>
      </c>
      <c r="AK673" t="s">
        <v>18</v>
      </c>
      <c r="AL673" t="s">
        <v>19</v>
      </c>
      <c r="AM673" t="s">
        <v>363</v>
      </c>
      <c r="AN673" t="s">
        <v>0</v>
      </c>
      <c r="AO673" t="s">
        <v>0</v>
      </c>
      <c r="AP673" t="s">
        <v>0</v>
      </c>
      <c r="AQ673" s="5">
        <v>30</v>
      </c>
      <c r="AR673" t="s">
        <v>11</v>
      </c>
      <c r="AS673" t="s">
        <v>0</v>
      </c>
      <c r="AT673" t="s">
        <v>17</v>
      </c>
      <c r="AU673" s="4">
        <v>0</v>
      </c>
      <c r="AV673" s="4">
        <v>0</v>
      </c>
      <c r="AW673" s="4">
        <v>0</v>
      </c>
      <c r="AX673" s="4">
        <v>0</v>
      </c>
      <c r="AY673" s="5">
        <v>0</v>
      </c>
      <c r="AZ673" s="5">
        <v>0</v>
      </c>
      <c r="BA673" s="5">
        <v>0</v>
      </c>
      <c r="BB673" s="2"/>
      <c r="BC673" t="s">
        <v>0</v>
      </c>
      <c r="BD673" s="5">
        <v>1</v>
      </c>
      <c r="BE673" t="s">
        <v>0</v>
      </c>
      <c r="BF673" t="s">
        <v>371</v>
      </c>
      <c r="BG673" t="s">
        <v>17</v>
      </c>
      <c r="BH673" t="s">
        <v>0</v>
      </c>
      <c r="BI673" t="s">
        <v>11</v>
      </c>
      <c r="BJ673" t="s">
        <v>0</v>
      </c>
      <c r="BK673" t="s">
        <v>0</v>
      </c>
      <c r="BL673" s="5">
        <v>0</v>
      </c>
      <c r="BM673" t="s">
        <v>0</v>
      </c>
      <c r="BN673" t="s">
        <v>0</v>
      </c>
      <c r="BO673" t="s">
        <v>0</v>
      </c>
      <c r="BP673" t="s">
        <v>17</v>
      </c>
      <c r="BQ673" t="s">
        <v>0</v>
      </c>
      <c r="BR673" t="s">
        <v>17</v>
      </c>
      <c r="BS673" t="s">
        <v>17</v>
      </c>
      <c r="BT673" t="s">
        <v>0</v>
      </c>
      <c r="BU673" t="s">
        <v>0</v>
      </c>
      <c r="BV673" t="s">
        <v>0</v>
      </c>
      <c r="BW673" t="s">
        <v>0</v>
      </c>
      <c r="BX673" t="s">
        <v>0</v>
      </c>
      <c r="BY673" t="s">
        <v>0</v>
      </c>
      <c r="BZ673" t="s">
        <v>0</v>
      </c>
      <c r="CA673" t="s">
        <v>0</v>
      </c>
      <c r="CB673" t="s">
        <v>0</v>
      </c>
    </row>
    <row r="674" spans="1:80" ht="13.95" customHeight="1" x14ac:dyDescent="0.25">
      <c r="A674" t="s">
        <v>379</v>
      </c>
      <c r="B674" s="2">
        <v>45968</v>
      </c>
      <c r="C674" s="2">
        <v>45968</v>
      </c>
      <c r="D674" s="2">
        <v>45998</v>
      </c>
      <c r="E674" t="s">
        <v>2</v>
      </c>
      <c r="F674" t="s">
        <v>3</v>
      </c>
      <c r="G674" t="s">
        <v>0</v>
      </c>
      <c r="H674" t="s">
        <v>4</v>
      </c>
      <c r="I674" t="s">
        <v>363</v>
      </c>
      <c r="J674" t="s">
        <v>6</v>
      </c>
      <c r="K674" t="s">
        <v>215</v>
      </c>
      <c r="L674" t="s">
        <v>354</v>
      </c>
      <c r="M674" t="s">
        <v>338</v>
      </c>
      <c r="N674" t="s">
        <v>10</v>
      </c>
      <c r="O674" t="s">
        <v>0</v>
      </c>
      <c r="P674" t="s">
        <v>11</v>
      </c>
      <c r="Q674" s="5">
        <v>30</v>
      </c>
      <c r="R674" s="4">
        <v>46100</v>
      </c>
      <c r="S674" s="5">
        <v>1</v>
      </c>
      <c r="T674" s="4">
        <v>1383000</v>
      </c>
      <c r="U674" s="5">
        <v>0</v>
      </c>
      <c r="V674" s="4">
        <v>0</v>
      </c>
      <c r="W674" s="5">
        <v>0</v>
      </c>
      <c r="X674" s="4">
        <v>0</v>
      </c>
      <c r="Y674" s="4">
        <f t="shared" si="20"/>
        <v>1383000</v>
      </c>
      <c r="Z674" s="6" t="s">
        <v>0</v>
      </c>
      <c r="AA674" t="s">
        <v>2</v>
      </c>
      <c r="AB674" t="s">
        <v>12</v>
      </c>
      <c r="AC674">
        <f>_xlfn.XLOOKUP(AB674,'[1]GST Codes'!$A:$A,'[1]GST Codes'!$C:$C,0,0)</f>
        <v>18</v>
      </c>
      <c r="AD674">
        <f t="shared" si="21"/>
        <v>1631940</v>
      </c>
      <c r="AE674" t="s">
        <v>13</v>
      </c>
      <c r="AF674" t="s">
        <v>0</v>
      </c>
      <c r="AG674" t="s">
        <v>14</v>
      </c>
      <c r="AH674" t="s">
        <v>15</v>
      </c>
      <c r="AI674" t="s">
        <v>85</v>
      </c>
      <c r="AJ674" t="s">
        <v>17</v>
      </c>
      <c r="AK674" t="s">
        <v>18</v>
      </c>
      <c r="AL674" t="s">
        <v>19</v>
      </c>
      <c r="AM674" t="s">
        <v>363</v>
      </c>
      <c r="AN674" t="s">
        <v>0</v>
      </c>
      <c r="AO674" t="s">
        <v>0</v>
      </c>
      <c r="AP674" t="s">
        <v>0</v>
      </c>
      <c r="AQ674" s="5">
        <v>30</v>
      </c>
      <c r="AR674" t="s">
        <v>11</v>
      </c>
      <c r="AS674" t="s">
        <v>0</v>
      </c>
      <c r="AT674" t="s">
        <v>17</v>
      </c>
      <c r="AU674" s="4">
        <v>0</v>
      </c>
      <c r="AV674" s="4">
        <v>0</v>
      </c>
      <c r="AW674" s="4">
        <v>0</v>
      </c>
      <c r="AX674" s="4">
        <v>0</v>
      </c>
      <c r="AY674" s="5">
        <v>0</v>
      </c>
      <c r="AZ674" s="5">
        <v>0</v>
      </c>
      <c r="BA674" s="5">
        <v>0</v>
      </c>
      <c r="BB674" s="2"/>
      <c r="BC674" t="s">
        <v>0</v>
      </c>
      <c r="BD674" s="5">
        <v>1</v>
      </c>
      <c r="BE674" t="s">
        <v>0</v>
      </c>
      <c r="BF674" t="s">
        <v>371</v>
      </c>
      <c r="BG674" t="s">
        <v>17</v>
      </c>
      <c r="BH674" t="s">
        <v>0</v>
      </c>
      <c r="BI674" t="s">
        <v>11</v>
      </c>
      <c r="BJ674" t="s">
        <v>0</v>
      </c>
      <c r="BK674" t="s">
        <v>0</v>
      </c>
      <c r="BL674" s="5">
        <v>0</v>
      </c>
      <c r="BM674" t="s">
        <v>0</v>
      </c>
      <c r="BN674" t="s">
        <v>0</v>
      </c>
      <c r="BO674" t="s">
        <v>0</v>
      </c>
      <c r="BP674" t="s">
        <v>17</v>
      </c>
      <c r="BQ674" t="s">
        <v>0</v>
      </c>
      <c r="BR674" t="s">
        <v>17</v>
      </c>
      <c r="BS674" t="s">
        <v>17</v>
      </c>
      <c r="BT674" t="s">
        <v>0</v>
      </c>
      <c r="BU674" t="s">
        <v>0</v>
      </c>
      <c r="BV674" t="s">
        <v>0</v>
      </c>
      <c r="BW674" t="s">
        <v>0</v>
      </c>
      <c r="BX674" t="s">
        <v>0</v>
      </c>
      <c r="BY674" t="s">
        <v>0</v>
      </c>
      <c r="BZ674" t="s">
        <v>0</v>
      </c>
      <c r="CA674" t="s">
        <v>0</v>
      </c>
      <c r="CB674" t="s">
        <v>0</v>
      </c>
    </row>
    <row r="675" spans="1:80" ht="13.95" customHeight="1" x14ac:dyDescent="0.25">
      <c r="A675" t="s">
        <v>379</v>
      </c>
      <c r="B675" s="2">
        <v>45968</v>
      </c>
      <c r="C675" s="2">
        <v>45968</v>
      </c>
      <c r="D675" s="2">
        <v>45998</v>
      </c>
      <c r="E675" t="s">
        <v>2</v>
      </c>
      <c r="F675" t="s">
        <v>3</v>
      </c>
      <c r="G675" t="s">
        <v>0</v>
      </c>
      <c r="H675" t="s">
        <v>4</v>
      </c>
      <c r="I675" t="s">
        <v>363</v>
      </c>
      <c r="J675" t="s">
        <v>6</v>
      </c>
      <c r="K675" t="s">
        <v>216</v>
      </c>
      <c r="L675" t="s">
        <v>354</v>
      </c>
      <c r="M675" t="s">
        <v>338</v>
      </c>
      <c r="N675" t="s">
        <v>10</v>
      </c>
      <c r="O675" t="s">
        <v>0</v>
      </c>
      <c r="P675" t="s">
        <v>11</v>
      </c>
      <c r="Q675" s="5">
        <v>30</v>
      </c>
      <c r="R675" s="4">
        <v>46100</v>
      </c>
      <c r="S675" s="5">
        <v>1</v>
      </c>
      <c r="T675" s="4">
        <v>1383000</v>
      </c>
      <c r="U675" s="3">
        <v>28.69</v>
      </c>
      <c r="V675" s="4">
        <v>1322609</v>
      </c>
      <c r="W675" s="3">
        <v>28.69</v>
      </c>
      <c r="X675" s="4">
        <v>1322609</v>
      </c>
      <c r="Y675" s="4">
        <f t="shared" si="20"/>
        <v>60391</v>
      </c>
      <c r="Z675" s="6" t="s">
        <v>0</v>
      </c>
      <c r="AA675" t="s">
        <v>2</v>
      </c>
      <c r="AB675" t="s">
        <v>12</v>
      </c>
      <c r="AC675">
        <f>_xlfn.XLOOKUP(AB675,'[1]GST Codes'!$A:$A,'[1]GST Codes'!$C:$C,0,0)</f>
        <v>18</v>
      </c>
      <c r="AD675">
        <f t="shared" si="21"/>
        <v>71261.38</v>
      </c>
      <c r="AE675" t="s">
        <v>13</v>
      </c>
      <c r="AF675" t="s">
        <v>0</v>
      </c>
      <c r="AG675" t="s">
        <v>14</v>
      </c>
      <c r="AH675" t="s">
        <v>15</v>
      </c>
      <c r="AI675" t="s">
        <v>85</v>
      </c>
      <c r="AJ675" t="s">
        <v>17</v>
      </c>
      <c r="AK675" t="s">
        <v>18</v>
      </c>
      <c r="AL675" t="s">
        <v>19</v>
      </c>
      <c r="AM675" t="s">
        <v>363</v>
      </c>
      <c r="AN675" t="s">
        <v>0</v>
      </c>
      <c r="AO675" t="s">
        <v>0</v>
      </c>
      <c r="AP675" t="s">
        <v>0</v>
      </c>
      <c r="AQ675" s="5">
        <v>30</v>
      </c>
      <c r="AR675" t="s">
        <v>11</v>
      </c>
      <c r="AS675" t="s">
        <v>0</v>
      </c>
      <c r="AT675" t="s">
        <v>17</v>
      </c>
      <c r="AU675" s="4">
        <v>0</v>
      </c>
      <c r="AV675" s="4">
        <v>0</v>
      </c>
      <c r="AW675" s="4">
        <v>0</v>
      </c>
      <c r="AX675" s="4">
        <v>0</v>
      </c>
      <c r="AY675" s="5">
        <v>0</v>
      </c>
      <c r="AZ675" s="5">
        <v>0</v>
      </c>
      <c r="BA675" s="5">
        <v>0</v>
      </c>
      <c r="BB675" s="2"/>
      <c r="BC675" t="s">
        <v>0</v>
      </c>
      <c r="BD675" s="5">
        <v>1</v>
      </c>
      <c r="BE675" t="s">
        <v>0</v>
      </c>
      <c r="BF675" t="s">
        <v>371</v>
      </c>
      <c r="BG675" t="s">
        <v>17</v>
      </c>
      <c r="BH675" t="s">
        <v>0</v>
      </c>
      <c r="BI675" t="s">
        <v>11</v>
      </c>
      <c r="BJ675" t="s">
        <v>0</v>
      </c>
      <c r="BK675" t="s">
        <v>0</v>
      </c>
      <c r="BL675" s="5">
        <v>0</v>
      </c>
      <c r="BM675" t="s">
        <v>0</v>
      </c>
      <c r="BN675" t="s">
        <v>0</v>
      </c>
      <c r="BO675" t="s">
        <v>0</v>
      </c>
      <c r="BP675" t="s">
        <v>17</v>
      </c>
      <c r="BQ675" t="s">
        <v>0</v>
      </c>
      <c r="BR675" t="s">
        <v>17</v>
      </c>
      <c r="BS675" t="s">
        <v>17</v>
      </c>
      <c r="BT675" t="s">
        <v>0</v>
      </c>
      <c r="BU675" t="s">
        <v>0</v>
      </c>
      <c r="BV675" t="s">
        <v>0</v>
      </c>
      <c r="BW675" t="s">
        <v>0</v>
      </c>
      <c r="BX675" t="s">
        <v>0</v>
      </c>
      <c r="BY675" t="s">
        <v>0</v>
      </c>
      <c r="BZ675" t="s">
        <v>0</v>
      </c>
      <c r="CA675" t="s">
        <v>0</v>
      </c>
      <c r="CB675" t="s">
        <v>0</v>
      </c>
    </row>
    <row r="676" spans="1:80" ht="13.95" customHeight="1" x14ac:dyDescent="0.25">
      <c r="A676" t="s">
        <v>379</v>
      </c>
      <c r="B676" s="2">
        <v>45968</v>
      </c>
      <c r="C676" s="2">
        <v>45968</v>
      </c>
      <c r="D676" s="2">
        <v>45998</v>
      </c>
      <c r="E676" t="s">
        <v>2</v>
      </c>
      <c r="F676" t="s">
        <v>3</v>
      </c>
      <c r="G676" t="s">
        <v>0</v>
      </c>
      <c r="H676" t="s">
        <v>4</v>
      </c>
      <c r="I676" t="s">
        <v>363</v>
      </c>
      <c r="J676" t="s">
        <v>6</v>
      </c>
      <c r="K676" t="s">
        <v>217</v>
      </c>
      <c r="L676" t="s">
        <v>329</v>
      </c>
      <c r="M676" t="s">
        <v>339</v>
      </c>
      <c r="N676" t="s">
        <v>10</v>
      </c>
      <c r="O676" t="s">
        <v>0</v>
      </c>
      <c r="P676" t="s">
        <v>11</v>
      </c>
      <c r="Q676" s="5">
        <v>10</v>
      </c>
      <c r="R676" s="4">
        <v>46100</v>
      </c>
      <c r="S676" s="5">
        <v>1</v>
      </c>
      <c r="T676" s="4">
        <v>461000</v>
      </c>
      <c r="U676" s="5">
        <v>0</v>
      </c>
      <c r="V676" s="4">
        <v>0</v>
      </c>
      <c r="W676" s="5">
        <v>0</v>
      </c>
      <c r="X676" s="4">
        <v>0</v>
      </c>
      <c r="Y676" s="4">
        <f t="shared" si="20"/>
        <v>461000</v>
      </c>
      <c r="Z676" s="6" t="s">
        <v>0</v>
      </c>
      <c r="AA676" t="s">
        <v>2</v>
      </c>
      <c r="AB676" t="s">
        <v>12</v>
      </c>
      <c r="AC676">
        <f>_xlfn.XLOOKUP(AB676,'[1]GST Codes'!$A:$A,'[1]GST Codes'!$C:$C,0,0)</f>
        <v>18</v>
      </c>
      <c r="AD676">
        <f t="shared" si="21"/>
        <v>543980</v>
      </c>
      <c r="AE676" t="s">
        <v>13</v>
      </c>
      <c r="AF676" t="s">
        <v>0</v>
      </c>
      <c r="AG676" t="s">
        <v>14</v>
      </c>
      <c r="AH676" t="s">
        <v>15</v>
      </c>
      <c r="AI676" t="s">
        <v>85</v>
      </c>
      <c r="AJ676" t="s">
        <v>17</v>
      </c>
      <c r="AK676" t="s">
        <v>18</v>
      </c>
      <c r="AL676" t="s">
        <v>19</v>
      </c>
      <c r="AM676" t="s">
        <v>363</v>
      </c>
      <c r="AN676" t="s">
        <v>0</v>
      </c>
      <c r="AO676" t="s">
        <v>0</v>
      </c>
      <c r="AP676" t="s">
        <v>0</v>
      </c>
      <c r="AQ676" s="5">
        <v>10</v>
      </c>
      <c r="AR676" t="s">
        <v>11</v>
      </c>
      <c r="AS676" t="s">
        <v>0</v>
      </c>
      <c r="AT676" t="s">
        <v>17</v>
      </c>
      <c r="AU676" s="4">
        <v>0</v>
      </c>
      <c r="AV676" s="4">
        <v>0</v>
      </c>
      <c r="AW676" s="4">
        <v>0</v>
      </c>
      <c r="AX676" s="4">
        <v>0</v>
      </c>
      <c r="AY676" s="5">
        <v>0</v>
      </c>
      <c r="AZ676" s="5">
        <v>0</v>
      </c>
      <c r="BA676" s="5">
        <v>0</v>
      </c>
      <c r="BB676" s="2"/>
      <c r="BC676" t="s">
        <v>0</v>
      </c>
      <c r="BD676" s="5">
        <v>1</v>
      </c>
      <c r="BE676" t="s">
        <v>0</v>
      </c>
      <c r="BF676" t="s">
        <v>365</v>
      </c>
      <c r="BG676" t="s">
        <v>17</v>
      </c>
      <c r="BH676" t="s">
        <v>0</v>
      </c>
      <c r="BI676" t="s">
        <v>11</v>
      </c>
      <c r="BJ676" t="s">
        <v>0</v>
      </c>
      <c r="BK676" t="s">
        <v>0</v>
      </c>
      <c r="BL676" s="5">
        <v>0</v>
      </c>
      <c r="BM676" t="s">
        <v>0</v>
      </c>
      <c r="BN676" t="s">
        <v>0</v>
      </c>
      <c r="BO676" t="s">
        <v>0</v>
      </c>
      <c r="BP676" t="s">
        <v>17</v>
      </c>
      <c r="BQ676" t="s">
        <v>0</v>
      </c>
      <c r="BR676" t="s">
        <v>17</v>
      </c>
      <c r="BS676" t="s">
        <v>17</v>
      </c>
      <c r="BT676" t="s">
        <v>0</v>
      </c>
      <c r="BU676" t="s">
        <v>0</v>
      </c>
      <c r="BV676" t="s">
        <v>0</v>
      </c>
      <c r="BW676" t="s">
        <v>0</v>
      </c>
      <c r="BX676" t="s">
        <v>0</v>
      </c>
      <c r="BY676" t="s">
        <v>0</v>
      </c>
      <c r="BZ676" t="s">
        <v>0</v>
      </c>
      <c r="CA676" t="s">
        <v>0</v>
      </c>
      <c r="CB676" t="s">
        <v>0</v>
      </c>
    </row>
    <row r="677" spans="1:80" ht="13.95" customHeight="1" x14ac:dyDescent="0.25">
      <c r="A677" t="s">
        <v>379</v>
      </c>
      <c r="B677" s="2">
        <v>45968</v>
      </c>
      <c r="C677" s="2">
        <v>45968</v>
      </c>
      <c r="D677" s="2">
        <v>45998</v>
      </c>
      <c r="E677" t="s">
        <v>2</v>
      </c>
      <c r="F677" t="s">
        <v>3</v>
      </c>
      <c r="G677" t="s">
        <v>0</v>
      </c>
      <c r="H677" t="s">
        <v>4</v>
      </c>
      <c r="I677" t="s">
        <v>363</v>
      </c>
      <c r="J677" t="s">
        <v>6</v>
      </c>
      <c r="K677" t="s">
        <v>218</v>
      </c>
      <c r="L677" t="s">
        <v>329</v>
      </c>
      <c r="M677" t="s">
        <v>339</v>
      </c>
      <c r="N677" t="s">
        <v>10</v>
      </c>
      <c r="O677" t="s">
        <v>0</v>
      </c>
      <c r="P677" t="s">
        <v>11</v>
      </c>
      <c r="Q677" s="5">
        <v>8</v>
      </c>
      <c r="R677" s="4">
        <v>46100</v>
      </c>
      <c r="S677" s="5">
        <v>1</v>
      </c>
      <c r="T677" s="4">
        <v>368800</v>
      </c>
      <c r="U677" s="5">
        <v>0</v>
      </c>
      <c r="V677" s="4">
        <v>0</v>
      </c>
      <c r="W677" s="5">
        <v>0</v>
      </c>
      <c r="X677" s="4">
        <v>0</v>
      </c>
      <c r="Y677" s="4">
        <f t="shared" si="20"/>
        <v>368800</v>
      </c>
      <c r="Z677" s="6" t="s">
        <v>0</v>
      </c>
      <c r="AA677" t="s">
        <v>2</v>
      </c>
      <c r="AB677" t="s">
        <v>12</v>
      </c>
      <c r="AC677">
        <f>_xlfn.XLOOKUP(AB677,'[1]GST Codes'!$A:$A,'[1]GST Codes'!$C:$C,0,0)</f>
        <v>18</v>
      </c>
      <c r="AD677">
        <f t="shared" si="21"/>
        <v>435184</v>
      </c>
      <c r="AE677" t="s">
        <v>13</v>
      </c>
      <c r="AF677" t="s">
        <v>0</v>
      </c>
      <c r="AG677" t="s">
        <v>14</v>
      </c>
      <c r="AH677" t="s">
        <v>15</v>
      </c>
      <c r="AI677" t="s">
        <v>85</v>
      </c>
      <c r="AJ677" t="s">
        <v>17</v>
      </c>
      <c r="AK677" t="s">
        <v>18</v>
      </c>
      <c r="AL677" t="s">
        <v>19</v>
      </c>
      <c r="AM677" t="s">
        <v>363</v>
      </c>
      <c r="AN677" t="s">
        <v>0</v>
      </c>
      <c r="AO677" t="s">
        <v>0</v>
      </c>
      <c r="AP677" t="s">
        <v>0</v>
      </c>
      <c r="AQ677" s="5">
        <v>8</v>
      </c>
      <c r="AR677" t="s">
        <v>11</v>
      </c>
      <c r="AS677" t="s">
        <v>0</v>
      </c>
      <c r="AT677" t="s">
        <v>17</v>
      </c>
      <c r="AU677" s="4">
        <v>0</v>
      </c>
      <c r="AV677" s="4">
        <v>0</v>
      </c>
      <c r="AW677" s="4">
        <v>0</v>
      </c>
      <c r="AX677" s="4">
        <v>0</v>
      </c>
      <c r="AY677" s="5">
        <v>0</v>
      </c>
      <c r="AZ677" s="5">
        <v>0</v>
      </c>
      <c r="BA677" s="5">
        <v>0</v>
      </c>
      <c r="BB677" s="2"/>
      <c r="BC677" t="s">
        <v>0</v>
      </c>
      <c r="BD677" s="5">
        <v>1</v>
      </c>
      <c r="BE677" t="s">
        <v>0</v>
      </c>
      <c r="BF677" t="s">
        <v>365</v>
      </c>
      <c r="BG677" t="s">
        <v>17</v>
      </c>
      <c r="BH677" t="s">
        <v>0</v>
      </c>
      <c r="BI677" t="s">
        <v>11</v>
      </c>
      <c r="BJ677" t="s">
        <v>0</v>
      </c>
      <c r="BK677" t="s">
        <v>0</v>
      </c>
      <c r="BL677" s="5">
        <v>0</v>
      </c>
      <c r="BM677" t="s">
        <v>0</v>
      </c>
      <c r="BN677" t="s">
        <v>0</v>
      </c>
      <c r="BO677" t="s">
        <v>0</v>
      </c>
      <c r="BP677" t="s">
        <v>17</v>
      </c>
      <c r="BQ677" t="s">
        <v>0</v>
      </c>
      <c r="BR677" t="s">
        <v>17</v>
      </c>
      <c r="BS677" t="s">
        <v>17</v>
      </c>
      <c r="BT677" t="s">
        <v>0</v>
      </c>
      <c r="BU677" t="s">
        <v>0</v>
      </c>
      <c r="BV677" t="s">
        <v>0</v>
      </c>
      <c r="BW677" t="s">
        <v>0</v>
      </c>
      <c r="BX677" t="s">
        <v>0</v>
      </c>
      <c r="BY677" t="s">
        <v>0</v>
      </c>
      <c r="BZ677" t="s">
        <v>0</v>
      </c>
      <c r="CA677" t="s">
        <v>0</v>
      </c>
      <c r="CB677" t="s">
        <v>0</v>
      </c>
    </row>
    <row r="678" spans="1:80" ht="13.95" customHeight="1" x14ac:dyDescent="0.25">
      <c r="A678" t="s">
        <v>379</v>
      </c>
      <c r="B678" s="2">
        <v>45968</v>
      </c>
      <c r="C678" s="2">
        <v>45968</v>
      </c>
      <c r="D678" s="2">
        <v>45998</v>
      </c>
      <c r="E678" t="s">
        <v>2</v>
      </c>
      <c r="F678" t="s">
        <v>3</v>
      </c>
      <c r="G678" t="s">
        <v>0</v>
      </c>
      <c r="H678" t="s">
        <v>4</v>
      </c>
      <c r="I678" t="s">
        <v>363</v>
      </c>
      <c r="J678" t="s">
        <v>6</v>
      </c>
      <c r="K678" t="s">
        <v>219</v>
      </c>
      <c r="L678" t="s">
        <v>329</v>
      </c>
      <c r="M678" t="s">
        <v>339</v>
      </c>
      <c r="N678" t="s">
        <v>10</v>
      </c>
      <c r="O678" t="s">
        <v>0</v>
      </c>
      <c r="P678" t="s">
        <v>11</v>
      </c>
      <c r="Q678" s="5">
        <v>8</v>
      </c>
      <c r="R678" s="4">
        <v>46100</v>
      </c>
      <c r="S678" s="5">
        <v>1</v>
      </c>
      <c r="T678" s="4">
        <v>368800</v>
      </c>
      <c r="U678" s="5">
        <v>0</v>
      </c>
      <c r="V678" s="4">
        <v>0</v>
      </c>
      <c r="W678" s="5">
        <v>0</v>
      </c>
      <c r="X678" s="4">
        <v>0</v>
      </c>
      <c r="Y678" s="4">
        <f t="shared" si="20"/>
        <v>368800</v>
      </c>
      <c r="Z678" s="6" t="s">
        <v>0</v>
      </c>
      <c r="AA678" t="s">
        <v>2</v>
      </c>
      <c r="AB678" t="s">
        <v>12</v>
      </c>
      <c r="AC678">
        <f>_xlfn.XLOOKUP(AB678,'[1]GST Codes'!$A:$A,'[1]GST Codes'!$C:$C,0,0)</f>
        <v>18</v>
      </c>
      <c r="AD678">
        <f t="shared" si="21"/>
        <v>435184</v>
      </c>
      <c r="AE678" t="s">
        <v>13</v>
      </c>
      <c r="AF678" t="s">
        <v>0</v>
      </c>
      <c r="AG678" t="s">
        <v>14</v>
      </c>
      <c r="AH678" t="s">
        <v>15</v>
      </c>
      <c r="AI678" t="s">
        <v>85</v>
      </c>
      <c r="AJ678" t="s">
        <v>17</v>
      </c>
      <c r="AK678" t="s">
        <v>18</v>
      </c>
      <c r="AL678" t="s">
        <v>19</v>
      </c>
      <c r="AM678" t="s">
        <v>363</v>
      </c>
      <c r="AN678" t="s">
        <v>0</v>
      </c>
      <c r="AO678" t="s">
        <v>0</v>
      </c>
      <c r="AP678" t="s">
        <v>0</v>
      </c>
      <c r="AQ678" s="5">
        <v>8</v>
      </c>
      <c r="AR678" t="s">
        <v>11</v>
      </c>
      <c r="AS678" t="s">
        <v>0</v>
      </c>
      <c r="AT678" t="s">
        <v>17</v>
      </c>
      <c r="AU678" s="4">
        <v>0</v>
      </c>
      <c r="AV678" s="4">
        <v>0</v>
      </c>
      <c r="AW678" s="4">
        <v>0</v>
      </c>
      <c r="AX678" s="4">
        <v>0</v>
      </c>
      <c r="AY678" s="5">
        <v>0</v>
      </c>
      <c r="AZ678" s="5">
        <v>0</v>
      </c>
      <c r="BA678" s="5">
        <v>0</v>
      </c>
      <c r="BB678" s="2"/>
      <c r="BC678" t="s">
        <v>0</v>
      </c>
      <c r="BD678" s="5">
        <v>1</v>
      </c>
      <c r="BE678" t="s">
        <v>0</v>
      </c>
      <c r="BF678" t="s">
        <v>365</v>
      </c>
      <c r="BG678" t="s">
        <v>17</v>
      </c>
      <c r="BH678" t="s">
        <v>0</v>
      </c>
      <c r="BI678" t="s">
        <v>11</v>
      </c>
      <c r="BJ678" t="s">
        <v>0</v>
      </c>
      <c r="BK678" t="s">
        <v>0</v>
      </c>
      <c r="BL678" s="5">
        <v>0</v>
      </c>
      <c r="BM678" t="s">
        <v>0</v>
      </c>
      <c r="BN678" t="s">
        <v>0</v>
      </c>
      <c r="BO678" t="s">
        <v>0</v>
      </c>
      <c r="BP678" t="s">
        <v>17</v>
      </c>
      <c r="BQ678" t="s">
        <v>0</v>
      </c>
      <c r="BR678" t="s">
        <v>17</v>
      </c>
      <c r="BS678" t="s">
        <v>17</v>
      </c>
      <c r="BT678" t="s">
        <v>0</v>
      </c>
      <c r="BU678" t="s">
        <v>0</v>
      </c>
      <c r="BV678" t="s">
        <v>0</v>
      </c>
      <c r="BW678" t="s">
        <v>0</v>
      </c>
      <c r="BX678" t="s">
        <v>0</v>
      </c>
      <c r="BY678" t="s">
        <v>0</v>
      </c>
      <c r="BZ678" t="s">
        <v>0</v>
      </c>
      <c r="CA678" t="s">
        <v>0</v>
      </c>
      <c r="CB678" t="s">
        <v>0</v>
      </c>
    </row>
    <row r="679" spans="1:80" ht="13.95" customHeight="1" x14ac:dyDescent="0.25">
      <c r="A679" t="s">
        <v>379</v>
      </c>
      <c r="B679" s="2">
        <v>45968</v>
      </c>
      <c r="C679" s="2">
        <v>45968</v>
      </c>
      <c r="D679" s="2">
        <v>45998</v>
      </c>
      <c r="E679" t="s">
        <v>2</v>
      </c>
      <c r="F679" t="s">
        <v>3</v>
      </c>
      <c r="G679" t="s">
        <v>0</v>
      </c>
      <c r="H679" t="s">
        <v>4</v>
      </c>
      <c r="I679" t="s">
        <v>363</v>
      </c>
      <c r="J679" t="s">
        <v>6</v>
      </c>
      <c r="K679" t="s">
        <v>223</v>
      </c>
      <c r="L679" t="s">
        <v>329</v>
      </c>
      <c r="M679" t="s">
        <v>339</v>
      </c>
      <c r="N679" t="s">
        <v>10</v>
      </c>
      <c r="O679" t="s">
        <v>0</v>
      </c>
      <c r="P679" t="s">
        <v>11</v>
      </c>
      <c r="Q679" s="5">
        <v>8</v>
      </c>
      <c r="R679" s="4">
        <v>46100</v>
      </c>
      <c r="S679" s="5">
        <v>1</v>
      </c>
      <c r="T679" s="4">
        <v>368800</v>
      </c>
      <c r="U679" s="5">
        <v>0</v>
      </c>
      <c r="V679" s="4">
        <v>0</v>
      </c>
      <c r="W679" s="5">
        <v>0</v>
      </c>
      <c r="X679" s="4">
        <v>0</v>
      </c>
      <c r="Y679" s="4">
        <f t="shared" si="20"/>
        <v>368800</v>
      </c>
      <c r="Z679" s="6" t="s">
        <v>0</v>
      </c>
      <c r="AA679" t="s">
        <v>2</v>
      </c>
      <c r="AB679" t="s">
        <v>12</v>
      </c>
      <c r="AC679">
        <f>_xlfn.XLOOKUP(AB679,'[1]GST Codes'!$A:$A,'[1]GST Codes'!$C:$C,0,0)</f>
        <v>18</v>
      </c>
      <c r="AD679">
        <f t="shared" si="21"/>
        <v>435184</v>
      </c>
      <c r="AE679" t="s">
        <v>13</v>
      </c>
      <c r="AF679" t="s">
        <v>0</v>
      </c>
      <c r="AG679" t="s">
        <v>14</v>
      </c>
      <c r="AH679" t="s">
        <v>15</v>
      </c>
      <c r="AI679" t="s">
        <v>85</v>
      </c>
      <c r="AJ679" t="s">
        <v>17</v>
      </c>
      <c r="AK679" t="s">
        <v>18</v>
      </c>
      <c r="AL679" t="s">
        <v>19</v>
      </c>
      <c r="AM679" t="s">
        <v>363</v>
      </c>
      <c r="AN679" t="s">
        <v>0</v>
      </c>
      <c r="AO679" t="s">
        <v>0</v>
      </c>
      <c r="AP679" t="s">
        <v>0</v>
      </c>
      <c r="AQ679" s="5">
        <v>8</v>
      </c>
      <c r="AR679" t="s">
        <v>11</v>
      </c>
      <c r="AS679" t="s">
        <v>0</v>
      </c>
      <c r="AT679" t="s">
        <v>17</v>
      </c>
      <c r="AU679" s="4">
        <v>0</v>
      </c>
      <c r="AV679" s="4">
        <v>0</v>
      </c>
      <c r="AW679" s="4">
        <v>0</v>
      </c>
      <c r="AX679" s="4">
        <v>0</v>
      </c>
      <c r="AY679" s="5">
        <v>0</v>
      </c>
      <c r="AZ679" s="5">
        <v>0</v>
      </c>
      <c r="BA679" s="5">
        <v>0</v>
      </c>
      <c r="BB679" s="2"/>
      <c r="BC679" t="s">
        <v>0</v>
      </c>
      <c r="BD679" s="5">
        <v>1</v>
      </c>
      <c r="BE679" t="s">
        <v>0</v>
      </c>
      <c r="BF679" t="s">
        <v>365</v>
      </c>
      <c r="BG679" t="s">
        <v>17</v>
      </c>
      <c r="BH679" t="s">
        <v>0</v>
      </c>
      <c r="BI679" t="s">
        <v>11</v>
      </c>
      <c r="BJ679" t="s">
        <v>0</v>
      </c>
      <c r="BK679" t="s">
        <v>0</v>
      </c>
      <c r="BL679" s="5">
        <v>0</v>
      </c>
      <c r="BM679" t="s">
        <v>0</v>
      </c>
      <c r="BN679" t="s">
        <v>0</v>
      </c>
      <c r="BO679" t="s">
        <v>0</v>
      </c>
      <c r="BP679" t="s">
        <v>17</v>
      </c>
      <c r="BQ679" t="s">
        <v>0</v>
      </c>
      <c r="BR679" t="s">
        <v>17</v>
      </c>
      <c r="BS679" t="s">
        <v>17</v>
      </c>
      <c r="BT679" t="s">
        <v>0</v>
      </c>
      <c r="BU679" t="s">
        <v>0</v>
      </c>
      <c r="BV679" t="s">
        <v>0</v>
      </c>
      <c r="BW679" t="s">
        <v>0</v>
      </c>
      <c r="BX679" t="s">
        <v>0</v>
      </c>
      <c r="BY679" t="s">
        <v>0</v>
      </c>
      <c r="BZ679" t="s">
        <v>0</v>
      </c>
      <c r="CA679" t="s">
        <v>0</v>
      </c>
      <c r="CB679" t="s">
        <v>0</v>
      </c>
    </row>
    <row r="680" spans="1:80" ht="13.95" customHeight="1" x14ac:dyDescent="0.25">
      <c r="A680" t="s">
        <v>379</v>
      </c>
      <c r="B680" s="2">
        <v>45968</v>
      </c>
      <c r="C680" s="2">
        <v>45968</v>
      </c>
      <c r="D680" s="2">
        <v>45998</v>
      </c>
      <c r="E680" t="s">
        <v>2</v>
      </c>
      <c r="F680" t="s">
        <v>3</v>
      </c>
      <c r="G680" t="s">
        <v>0</v>
      </c>
      <c r="H680" t="s">
        <v>4</v>
      </c>
      <c r="I680" t="s">
        <v>363</v>
      </c>
      <c r="J680" t="s">
        <v>6</v>
      </c>
      <c r="K680" t="s">
        <v>224</v>
      </c>
      <c r="L680" t="s">
        <v>329</v>
      </c>
      <c r="M680" t="s">
        <v>339</v>
      </c>
      <c r="N680" t="s">
        <v>10</v>
      </c>
      <c r="O680" t="s">
        <v>0</v>
      </c>
      <c r="P680" t="s">
        <v>11</v>
      </c>
      <c r="Q680" s="5">
        <v>8</v>
      </c>
      <c r="R680" s="4">
        <v>46100</v>
      </c>
      <c r="S680" s="5">
        <v>1</v>
      </c>
      <c r="T680" s="4">
        <v>368800</v>
      </c>
      <c r="U680" s="5">
        <v>0</v>
      </c>
      <c r="V680" s="4">
        <v>0</v>
      </c>
      <c r="W680" s="5">
        <v>0</v>
      </c>
      <c r="X680" s="4">
        <v>0</v>
      </c>
      <c r="Y680" s="4">
        <f t="shared" si="20"/>
        <v>368800</v>
      </c>
      <c r="Z680" s="6" t="s">
        <v>0</v>
      </c>
      <c r="AA680" t="s">
        <v>2</v>
      </c>
      <c r="AB680" t="s">
        <v>12</v>
      </c>
      <c r="AC680">
        <f>_xlfn.XLOOKUP(AB680,'[1]GST Codes'!$A:$A,'[1]GST Codes'!$C:$C,0,0)</f>
        <v>18</v>
      </c>
      <c r="AD680">
        <f t="shared" si="21"/>
        <v>435184</v>
      </c>
      <c r="AE680" t="s">
        <v>13</v>
      </c>
      <c r="AF680" t="s">
        <v>0</v>
      </c>
      <c r="AG680" t="s">
        <v>14</v>
      </c>
      <c r="AH680" t="s">
        <v>15</v>
      </c>
      <c r="AI680" t="s">
        <v>85</v>
      </c>
      <c r="AJ680" t="s">
        <v>17</v>
      </c>
      <c r="AK680" t="s">
        <v>18</v>
      </c>
      <c r="AL680" t="s">
        <v>19</v>
      </c>
      <c r="AM680" t="s">
        <v>363</v>
      </c>
      <c r="AN680" t="s">
        <v>0</v>
      </c>
      <c r="AO680" t="s">
        <v>0</v>
      </c>
      <c r="AP680" t="s">
        <v>0</v>
      </c>
      <c r="AQ680" s="5">
        <v>8</v>
      </c>
      <c r="AR680" t="s">
        <v>11</v>
      </c>
      <c r="AS680" t="s">
        <v>0</v>
      </c>
      <c r="AT680" t="s">
        <v>17</v>
      </c>
      <c r="AU680" s="4">
        <v>0</v>
      </c>
      <c r="AV680" s="4">
        <v>0</v>
      </c>
      <c r="AW680" s="4">
        <v>0</v>
      </c>
      <c r="AX680" s="4">
        <v>0</v>
      </c>
      <c r="AY680" s="5">
        <v>0</v>
      </c>
      <c r="AZ680" s="5">
        <v>0</v>
      </c>
      <c r="BA680" s="5">
        <v>0</v>
      </c>
      <c r="BB680" s="2"/>
      <c r="BC680" t="s">
        <v>0</v>
      </c>
      <c r="BD680" s="5">
        <v>1</v>
      </c>
      <c r="BE680" t="s">
        <v>0</v>
      </c>
      <c r="BF680" t="s">
        <v>365</v>
      </c>
      <c r="BG680" t="s">
        <v>17</v>
      </c>
      <c r="BH680" t="s">
        <v>0</v>
      </c>
      <c r="BI680" t="s">
        <v>11</v>
      </c>
      <c r="BJ680" t="s">
        <v>0</v>
      </c>
      <c r="BK680" t="s">
        <v>0</v>
      </c>
      <c r="BL680" s="5">
        <v>0</v>
      </c>
      <c r="BM680" t="s">
        <v>0</v>
      </c>
      <c r="BN680" t="s">
        <v>0</v>
      </c>
      <c r="BO680" t="s">
        <v>0</v>
      </c>
      <c r="BP680" t="s">
        <v>17</v>
      </c>
      <c r="BQ680" t="s">
        <v>0</v>
      </c>
      <c r="BR680" t="s">
        <v>17</v>
      </c>
      <c r="BS680" t="s">
        <v>17</v>
      </c>
      <c r="BT680" t="s">
        <v>0</v>
      </c>
      <c r="BU680" t="s">
        <v>0</v>
      </c>
      <c r="BV680" t="s">
        <v>0</v>
      </c>
      <c r="BW680" t="s">
        <v>0</v>
      </c>
      <c r="BX680" t="s">
        <v>0</v>
      </c>
      <c r="BY680" t="s">
        <v>0</v>
      </c>
      <c r="BZ680" t="s">
        <v>0</v>
      </c>
      <c r="CA680" t="s">
        <v>0</v>
      </c>
      <c r="CB680" t="s">
        <v>0</v>
      </c>
    </row>
    <row r="681" spans="1:80" ht="13.95" customHeight="1" x14ac:dyDescent="0.25">
      <c r="A681" t="s">
        <v>379</v>
      </c>
      <c r="B681" s="2">
        <v>45968</v>
      </c>
      <c r="C681" s="2">
        <v>45968</v>
      </c>
      <c r="D681" s="2">
        <v>45998</v>
      </c>
      <c r="E681" t="s">
        <v>2</v>
      </c>
      <c r="F681" t="s">
        <v>3</v>
      </c>
      <c r="G681" t="s">
        <v>0</v>
      </c>
      <c r="H681" t="s">
        <v>4</v>
      </c>
      <c r="I681" t="s">
        <v>363</v>
      </c>
      <c r="J681" t="s">
        <v>6</v>
      </c>
      <c r="K681" t="s">
        <v>225</v>
      </c>
      <c r="L681" t="s">
        <v>329</v>
      </c>
      <c r="M681" t="s">
        <v>339</v>
      </c>
      <c r="N681" t="s">
        <v>10</v>
      </c>
      <c r="O681" t="s">
        <v>0</v>
      </c>
      <c r="P681" t="s">
        <v>11</v>
      </c>
      <c r="Q681" s="5">
        <v>8</v>
      </c>
      <c r="R681" s="4">
        <v>46100</v>
      </c>
      <c r="S681" s="5">
        <v>1</v>
      </c>
      <c r="T681" s="4">
        <v>368800</v>
      </c>
      <c r="U681" s="5">
        <v>0</v>
      </c>
      <c r="V681" s="4">
        <v>0</v>
      </c>
      <c r="W681" s="5">
        <v>0</v>
      </c>
      <c r="X681" s="4">
        <v>0</v>
      </c>
      <c r="Y681" s="4">
        <f t="shared" si="20"/>
        <v>368800</v>
      </c>
      <c r="Z681" s="6" t="s">
        <v>0</v>
      </c>
      <c r="AA681" t="s">
        <v>2</v>
      </c>
      <c r="AB681" t="s">
        <v>12</v>
      </c>
      <c r="AC681">
        <f>_xlfn.XLOOKUP(AB681,'[1]GST Codes'!$A:$A,'[1]GST Codes'!$C:$C,0,0)</f>
        <v>18</v>
      </c>
      <c r="AD681">
        <f t="shared" si="21"/>
        <v>435184</v>
      </c>
      <c r="AE681" t="s">
        <v>13</v>
      </c>
      <c r="AF681" t="s">
        <v>0</v>
      </c>
      <c r="AG681" t="s">
        <v>14</v>
      </c>
      <c r="AH681" t="s">
        <v>15</v>
      </c>
      <c r="AI681" t="s">
        <v>85</v>
      </c>
      <c r="AJ681" t="s">
        <v>17</v>
      </c>
      <c r="AK681" t="s">
        <v>18</v>
      </c>
      <c r="AL681" t="s">
        <v>19</v>
      </c>
      <c r="AM681" t="s">
        <v>363</v>
      </c>
      <c r="AN681" t="s">
        <v>0</v>
      </c>
      <c r="AO681" t="s">
        <v>0</v>
      </c>
      <c r="AP681" t="s">
        <v>0</v>
      </c>
      <c r="AQ681" s="5">
        <v>8</v>
      </c>
      <c r="AR681" t="s">
        <v>11</v>
      </c>
      <c r="AS681" t="s">
        <v>0</v>
      </c>
      <c r="AT681" t="s">
        <v>17</v>
      </c>
      <c r="AU681" s="4">
        <v>0</v>
      </c>
      <c r="AV681" s="4">
        <v>0</v>
      </c>
      <c r="AW681" s="4">
        <v>0</v>
      </c>
      <c r="AX681" s="4">
        <v>0</v>
      </c>
      <c r="AY681" s="5">
        <v>0</v>
      </c>
      <c r="AZ681" s="5">
        <v>0</v>
      </c>
      <c r="BA681" s="5">
        <v>0</v>
      </c>
      <c r="BB681" s="2"/>
      <c r="BC681" t="s">
        <v>0</v>
      </c>
      <c r="BD681" s="5">
        <v>1</v>
      </c>
      <c r="BE681" t="s">
        <v>0</v>
      </c>
      <c r="BF681" t="s">
        <v>365</v>
      </c>
      <c r="BG681" t="s">
        <v>17</v>
      </c>
      <c r="BH681" t="s">
        <v>0</v>
      </c>
      <c r="BI681" t="s">
        <v>11</v>
      </c>
      <c r="BJ681" t="s">
        <v>0</v>
      </c>
      <c r="BK681" t="s">
        <v>0</v>
      </c>
      <c r="BL681" s="5">
        <v>0</v>
      </c>
      <c r="BM681" t="s">
        <v>0</v>
      </c>
      <c r="BN681" t="s">
        <v>0</v>
      </c>
      <c r="BO681" t="s">
        <v>0</v>
      </c>
      <c r="BP681" t="s">
        <v>17</v>
      </c>
      <c r="BQ681" t="s">
        <v>0</v>
      </c>
      <c r="BR681" t="s">
        <v>17</v>
      </c>
      <c r="BS681" t="s">
        <v>17</v>
      </c>
      <c r="BT681" t="s">
        <v>0</v>
      </c>
      <c r="BU681" t="s">
        <v>0</v>
      </c>
      <c r="BV681" t="s">
        <v>0</v>
      </c>
      <c r="BW681" t="s">
        <v>0</v>
      </c>
      <c r="BX681" t="s">
        <v>0</v>
      </c>
      <c r="BY681" t="s">
        <v>0</v>
      </c>
      <c r="BZ681" t="s">
        <v>0</v>
      </c>
      <c r="CA681" t="s">
        <v>0</v>
      </c>
      <c r="CB681" t="s">
        <v>0</v>
      </c>
    </row>
    <row r="682" spans="1:80" ht="13.95" customHeight="1" x14ac:dyDescent="0.25">
      <c r="A682" t="s">
        <v>380</v>
      </c>
      <c r="B682" s="2">
        <v>46001</v>
      </c>
      <c r="C682" s="2">
        <v>46001</v>
      </c>
      <c r="D682" s="2">
        <v>46032</v>
      </c>
      <c r="E682" t="s">
        <v>2</v>
      </c>
      <c r="F682" t="s">
        <v>3</v>
      </c>
      <c r="G682" t="s">
        <v>0</v>
      </c>
      <c r="H682" t="s">
        <v>4</v>
      </c>
      <c r="I682" t="s">
        <v>363</v>
      </c>
      <c r="J682" t="s">
        <v>6</v>
      </c>
      <c r="K682" t="s">
        <v>7</v>
      </c>
      <c r="L682" t="s">
        <v>74</v>
      </c>
      <c r="M682" t="s">
        <v>75</v>
      </c>
      <c r="N682" t="s">
        <v>10</v>
      </c>
      <c r="O682" t="s">
        <v>0</v>
      </c>
      <c r="P682" t="s">
        <v>11</v>
      </c>
      <c r="Q682" s="5">
        <v>20</v>
      </c>
      <c r="R682" s="4">
        <v>46400</v>
      </c>
      <c r="S682" s="5">
        <v>1</v>
      </c>
      <c r="T682" s="4">
        <v>928000</v>
      </c>
      <c r="U682" s="5">
        <v>0</v>
      </c>
      <c r="V682" s="4">
        <v>0</v>
      </c>
      <c r="W682" s="5">
        <v>0</v>
      </c>
      <c r="X682" s="4">
        <v>0</v>
      </c>
      <c r="Y682" s="4">
        <f t="shared" si="20"/>
        <v>928000</v>
      </c>
      <c r="Z682" s="6" t="s">
        <v>0</v>
      </c>
      <c r="AA682" t="s">
        <v>2</v>
      </c>
      <c r="AB682" t="s">
        <v>12</v>
      </c>
      <c r="AC682">
        <f>_xlfn.XLOOKUP(AB682,'[1]GST Codes'!$A:$A,'[1]GST Codes'!$C:$C,0,0)</f>
        <v>18</v>
      </c>
      <c r="AD682">
        <f t="shared" si="21"/>
        <v>1095040</v>
      </c>
      <c r="AE682" t="s">
        <v>13</v>
      </c>
      <c r="AF682" t="s">
        <v>0</v>
      </c>
      <c r="AG682" t="s">
        <v>14</v>
      </c>
      <c r="AH682" t="s">
        <v>15</v>
      </c>
      <c r="AI682" t="s">
        <v>85</v>
      </c>
      <c r="AJ682" t="s">
        <v>17</v>
      </c>
      <c r="AK682" t="s">
        <v>18</v>
      </c>
      <c r="AL682" t="s">
        <v>19</v>
      </c>
      <c r="AM682" t="s">
        <v>363</v>
      </c>
      <c r="AN682" t="s">
        <v>0</v>
      </c>
      <c r="AO682" t="s">
        <v>0</v>
      </c>
      <c r="AP682" t="s">
        <v>0</v>
      </c>
      <c r="AQ682" s="5">
        <v>20</v>
      </c>
      <c r="AR682" t="s">
        <v>11</v>
      </c>
      <c r="AS682" t="s">
        <v>0</v>
      </c>
      <c r="AT682" t="s">
        <v>17</v>
      </c>
      <c r="AU682" s="4">
        <v>0</v>
      </c>
      <c r="AV682" s="4">
        <v>0</v>
      </c>
      <c r="AW682" s="4">
        <v>0</v>
      </c>
      <c r="AX682" s="4">
        <v>0</v>
      </c>
      <c r="AY682" s="5">
        <v>0</v>
      </c>
      <c r="AZ682" s="5">
        <v>0</v>
      </c>
      <c r="BA682" s="5">
        <v>0</v>
      </c>
      <c r="BB682" s="2"/>
      <c r="BC682" t="s">
        <v>0</v>
      </c>
      <c r="BD682" s="5">
        <v>1</v>
      </c>
      <c r="BE682" t="s">
        <v>0</v>
      </c>
      <c r="BF682" t="s">
        <v>367</v>
      </c>
      <c r="BG682" t="s">
        <v>17</v>
      </c>
      <c r="BH682" t="s">
        <v>0</v>
      </c>
      <c r="BI682" t="s">
        <v>11</v>
      </c>
      <c r="BJ682" t="s">
        <v>0</v>
      </c>
      <c r="BK682" t="s">
        <v>0</v>
      </c>
      <c r="BL682" s="5">
        <v>0</v>
      </c>
      <c r="BM682" t="s">
        <v>0</v>
      </c>
      <c r="BN682" t="s">
        <v>0</v>
      </c>
      <c r="BO682" t="s">
        <v>0</v>
      </c>
      <c r="BP682" t="s">
        <v>17</v>
      </c>
      <c r="BQ682" t="s">
        <v>0</v>
      </c>
      <c r="BR682" t="s">
        <v>17</v>
      </c>
      <c r="BS682" t="s">
        <v>17</v>
      </c>
      <c r="BT682" t="s">
        <v>0</v>
      </c>
      <c r="BU682" t="s">
        <v>0</v>
      </c>
      <c r="BV682" t="s">
        <v>0</v>
      </c>
      <c r="BW682" t="s">
        <v>0</v>
      </c>
      <c r="BX682" t="s">
        <v>0</v>
      </c>
      <c r="BY682" t="s">
        <v>0</v>
      </c>
      <c r="BZ682" t="s">
        <v>0</v>
      </c>
      <c r="CA682" t="s">
        <v>0</v>
      </c>
      <c r="CB682" t="s">
        <v>0</v>
      </c>
    </row>
    <row r="683" spans="1:80" ht="13.95" customHeight="1" x14ac:dyDescent="0.25">
      <c r="A683" t="s">
        <v>380</v>
      </c>
      <c r="B683" s="2">
        <v>46001</v>
      </c>
      <c r="C683" s="2">
        <v>46001</v>
      </c>
      <c r="D683" s="2">
        <v>46032</v>
      </c>
      <c r="E683" t="s">
        <v>2</v>
      </c>
      <c r="F683" t="s">
        <v>3</v>
      </c>
      <c r="G683" t="s">
        <v>0</v>
      </c>
      <c r="H683" t="s">
        <v>4</v>
      </c>
      <c r="I683" t="s">
        <v>363</v>
      </c>
      <c r="J683" t="s">
        <v>6</v>
      </c>
      <c r="K683" t="s">
        <v>22</v>
      </c>
      <c r="L683" t="s">
        <v>74</v>
      </c>
      <c r="M683" t="s">
        <v>75</v>
      </c>
      <c r="N683" t="s">
        <v>10</v>
      </c>
      <c r="O683" t="s">
        <v>0</v>
      </c>
      <c r="P683" t="s">
        <v>11</v>
      </c>
      <c r="Q683" s="5">
        <v>20</v>
      </c>
      <c r="R683" s="4">
        <v>46400</v>
      </c>
      <c r="S683" s="5">
        <v>1</v>
      </c>
      <c r="T683" s="4">
        <v>928000</v>
      </c>
      <c r="U683" s="5">
        <v>0</v>
      </c>
      <c r="V683" s="4">
        <v>0</v>
      </c>
      <c r="W683" s="5">
        <v>0</v>
      </c>
      <c r="X683" s="4">
        <v>0</v>
      </c>
      <c r="Y683" s="4">
        <f t="shared" si="20"/>
        <v>928000</v>
      </c>
      <c r="Z683" s="6" t="s">
        <v>0</v>
      </c>
      <c r="AA683" t="s">
        <v>2</v>
      </c>
      <c r="AB683" t="s">
        <v>12</v>
      </c>
      <c r="AC683">
        <f>_xlfn.XLOOKUP(AB683,'[1]GST Codes'!$A:$A,'[1]GST Codes'!$C:$C,0,0)</f>
        <v>18</v>
      </c>
      <c r="AD683">
        <f t="shared" si="21"/>
        <v>1095040</v>
      </c>
      <c r="AE683" t="s">
        <v>13</v>
      </c>
      <c r="AF683" t="s">
        <v>0</v>
      </c>
      <c r="AG683" t="s">
        <v>14</v>
      </c>
      <c r="AH683" t="s">
        <v>15</v>
      </c>
      <c r="AI683" t="s">
        <v>85</v>
      </c>
      <c r="AJ683" t="s">
        <v>17</v>
      </c>
      <c r="AK683" t="s">
        <v>18</v>
      </c>
      <c r="AL683" t="s">
        <v>19</v>
      </c>
      <c r="AM683" t="s">
        <v>363</v>
      </c>
      <c r="AN683" t="s">
        <v>0</v>
      </c>
      <c r="AO683" t="s">
        <v>0</v>
      </c>
      <c r="AP683" t="s">
        <v>0</v>
      </c>
      <c r="AQ683" s="5">
        <v>20</v>
      </c>
      <c r="AR683" t="s">
        <v>11</v>
      </c>
      <c r="AS683" t="s">
        <v>0</v>
      </c>
      <c r="AT683" t="s">
        <v>17</v>
      </c>
      <c r="AU683" s="4">
        <v>0</v>
      </c>
      <c r="AV683" s="4">
        <v>0</v>
      </c>
      <c r="AW683" s="4">
        <v>0</v>
      </c>
      <c r="AX683" s="4">
        <v>0</v>
      </c>
      <c r="AY683" s="5">
        <v>0</v>
      </c>
      <c r="AZ683" s="5">
        <v>0</v>
      </c>
      <c r="BA683" s="5">
        <v>0</v>
      </c>
      <c r="BB683" s="2"/>
      <c r="BC683" t="s">
        <v>0</v>
      </c>
      <c r="BD683" s="5">
        <v>1</v>
      </c>
      <c r="BE683" t="s">
        <v>0</v>
      </c>
      <c r="BF683" t="s">
        <v>367</v>
      </c>
      <c r="BG683" t="s">
        <v>17</v>
      </c>
      <c r="BH683" t="s">
        <v>0</v>
      </c>
      <c r="BI683" t="s">
        <v>11</v>
      </c>
      <c r="BJ683" t="s">
        <v>0</v>
      </c>
      <c r="BK683" t="s">
        <v>0</v>
      </c>
      <c r="BL683" s="5">
        <v>0</v>
      </c>
      <c r="BM683" t="s">
        <v>0</v>
      </c>
      <c r="BN683" t="s">
        <v>0</v>
      </c>
      <c r="BO683" t="s">
        <v>0</v>
      </c>
      <c r="BP683" t="s">
        <v>17</v>
      </c>
      <c r="BQ683" t="s">
        <v>0</v>
      </c>
      <c r="BR683" t="s">
        <v>17</v>
      </c>
      <c r="BS683" t="s">
        <v>17</v>
      </c>
      <c r="BT683" t="s">
        <v>0</v>
      </c>
      <c r="BU683" t="s">
        <v>0</v>
      </c>
      <c r="BV683" t="s">
        <v>0</v>
      </c>
      <c r="BW683" t="s">
        <v>0</v>
      </c>
      <c r="BX683" t="s">
        <v>0</v>
      </c>
      <c r="BY683" t="s">
        <v>0</v>
      </c>
      <c r="BZ683" t="s">
        <v>0</v>
      </c>
      <c r="CA683" t="s">
        <v>0</v>
      </c>
      <c r="CB683" t="s">
        <v>0</v>
      </c>
    </row>
    <row r="684" spans="1:80" ht="13.95" customHeight="1" x14ac:dyDescent="0.25">
      <c r="A684" t="s">
        <v>380</v>
      </c>
      <c r="B684" s="2">
        <v>46001</v>
      </c>
      <c r="C684" s="2">
        <v>46001</v>
      </c>
      <c r="D684" s="2">
        <v>46032</v>
      </c>
      <c r="E684" t="s">
        <v>2</v>
      </c>
      <c r="F684" t="s">
        <v>3</v>
      </c>
      <c r="G684" t="s">
        <v>0</v>
      </c>
      <c r="H684" t="s">
        <v>4</v>
      </c>
      <c r="I684" t="s">
        <v>363</v>
      </c>
      <c r="J684" t="s">
        <v>6</v>
      </c>
      <c r="K684" t="s">
        <v>26</v>
      </c>
      <c r="L684" t="s">
        <v>74</v>
      </c>
      <c r="M684" t="s">
        <v>75</v>
      </c>
      <c r="N684" t="s">
        <v>10</v>
      </c>
      <c r="O684" t="s">
        <v>0</v>
      </c>
      <c r="P684" t="s">
        <v>11</v>
      </c>
      <c r="Q684" s="5">
        <v>20</v>
      </c>
      <c r="R684" s="4">
        <v>46400</v>
      </c>
      <c r="S684" s="5">
        <v>1</v>
      </c>
      <c r="T684" s="4">
        <v>928000</v>
      </c>
      <c r="U684" s="5">
        <v>0</v>
      </c>
      <c r="V684" s="4">
        <v>0</v>
      </c>
      <c r="W684" s="5">
        <v>0</v>
      </c>
      <c r="X684" s="4">
        <v>0</v>
      </c>
      <c r="Y684" s="4">
        <f t="shared" si="20"/>
        <v>928000</v>
      </c>
      <c r="Z684" s="6" t="s">
        <v>0</v>
      </c>
      <c r="AA684" t="s">
        <v>2</v>
      </c>
      <c r="AB684" t="s">
        <v>12</v>
      </c>
      <c r="AC684">
        <f>_xlfn.XLOOKUP(AB684,'[1]GST Codes'!$A:$A,'[1]GST Codes'!$C:$C,0,0)</f>
        <v>18</v>
      </c>
      <c r="AD684">
        <f t="shared" si="21"/>
        <v>1095040</v>
      </c>
      <c r="AE684" t="s">
        <v>13</v>
      </c>
      <c r="AF684" t="s">
        <v>0</v>
      </c>
      <c r="AG684" t="s">
        <v>14</v>
      </c>
      <c r="AH684" t="s">
        <v>15</v>
      </c>
      <c r="AI684" t="s">
        <v>85</v>
      </c>
      <c r="AJ684" t="s">
        <v>17</v>
      </c>
      <c r="AK684" t="s">
        <v>18</v>
      </c>
      <c r="AL684" t="s">
        <v>19</v>
      </c>
      <c r="AM684" t="s">
        <v>363</v>
      </c>
      <c r="AN684" t="s">
        <v>0</v>
      </c>
      <c r="AO684" t="s">
        <v>0</v>
      </c>
      <c r="AP684" t="s">
        <v>0</v>
      </c>
      <c r="AQ684" s="5">
        <v>20</v>
      </c>
      <c r="AR684" t="s">
        <v>11</v>
      </c>
      <c r="AS684" t="s">
        <v>0</v>
      </c>
      <c r="AT684" t="s">
        <v>17</v>
      </c>
      <c r="AU684" s="4">
        <v>0</v>
      </c>
      <c r="AV684" s="4">
        <v>0</v>
      </c>
      <c r="AW684" s="4">
        <v>0</v>
      </c>
      <c r="AX684" s="4">
        <v>0</v>
      </c>
      <c r="AY684" s="5">
        <v>0</v>
      </c>
      <c r="AZ684" s="5">
        <v>0</v>
      </c>
      <c r="BA684" s="5">
        <v>0</v>
      </c>
      <c r="BB684" s="2"/>
      <c r="BC684" t="s">
        <v>0</v>
      </c>
      <c r="BD684" s="5">
        <v>1</v>
      </c>
      <c r="BE684" t="s">
        <v>0</v>
      </c>
      <c r="BF684" t="s">
        <v>367</v>
      </c>
      <c r="BG684" t="s">
        <v>17</v>
      </c>
      <c r="BH684" t="s">
        <v>0</v>
      </c>
      <c r="BI684" t="s">
        <v>11</v>
      </c>
      <c r="BJ684" t="s">
        <v>0</v>
      </c>
      <c r="BK684" t="s">
        <v>0</v>
      </c>
      <c r="BL684" s="5">
        <v>0</v>
      </c>
      <c r="BM684" t="s">
        <v>0</v>
      </c>
      <c r="BN684" t="s">
        <v>0</v>
      </c>
      <c r="BO684" t="s">
        <v>0</v>
      </c>
      <c r="BP684" t="s">
        <v>17</v>
      </c>
      <c r="BQ684" t="s">
        <v>0</v>
      </c>
      <c r="BR684" t="s">
        <v>17</v>
      </c>
      <c r="BS684" t="s">
        <v>17</v>
      </c>
      <c r="BT684" t="s">
        <v>0</v>
      </c>
      <c r="BU684" t="s">
        <v>0</v>
      </c>
      <c r="BV684" t="s">
        <v>0</v>
      </c>
      <c r="BW684" t="s">
        <v>0</v>
      </c>
      <c r="BX684" t="s">
        <v>0</v>
      </c>
      <c r="BY684" t="s">
        <v>0</v>
      </c>
      <c r="BZ684" t="s">
        <v>0</v>
      </c>
      <c r="CA684" t="s">
        <v>0</v>
      </c>
      <c r="CB684" t="s">
        <v>0</v>
      </c>
    </row>
    <row r="685" spans="1:80" ht="13.95" customHeight="1" x14ac:dyDescent="0.25">
      <c r="A685" t="s">
        <v>380</v>
      </c>
      <c r="B685" s="2">
        <v>46001</v>
      </c>
      <c r="C685" s="2">
        <v>46001</v>
      </c>
      <c r="D685" s="2">
        <v>46032</v>
      </c>
      <c r="E685" t="s">
        <v>2</v>
      </c>
      <c r="F685" t="s">
        <v>3</v>
      </c>
      <c r="G685" t="s">
        <v>0</v>
      </c>
      <c r="H685" t="s">
        <v>4</v>
      </c>
      <c r="I685" t="s">
        <v>363</v>
      </c>
      <c r="J685" t="s">
        <v>6</v>
      </c>
      <c r="K685" t="s">
        <v>30</v>
      </c>
      <c r="L685" t="s">
        <v>74</v>
      </c>
      <c r="M685" t="s">
        <v>75</v>
      </c>
      <c r="N685" t="s">
        <v>10</v>
      </c>
      <c r="O685" t="s">
        <v>0</v>
      </c>
      <c r="P685" t="s">
        <v>11</v>
      </c>
      <c r="Q685" s="5">
        <v>20</v>
      </c>
      <c r="R685" s="4">
        <v>46400</v>
      </c>
      <c r="S685" s="5">
        <v>1</v>
      </c>
      <c r="T685" s="4">
        <v>928000</v>
      </c>
      <c r="U685" s="5">
        <v>0</v>
      </c>
      <c r="V685" s="4">
        <v>0</v>
      </c>
      <c r="W685" s="5">
        <v>0</v>
      </c>
      <c r="X685" s="4">
        <v>0</v>
      </c>
      <c r="Y685" s="4">
        <f t="shared" si="20"/>
        <v>928000</v>
      </c>
      <c r="Z685" s="6" t="s">
        <v>0</v>
      </c>
      <c r="AA685" t="s">
        <v>2</v>
      </c>
      <c r="AB685" t="s">
        <v>12</v>
      </c>
      <c r="AC685">
        <f>_xlfn.XLOOKUP(AB685,'[1]GST Codes'!$A:$A,'[1]GST Codes'!$C:$C,0,0)</f>
        <v>18</v>
      </c>
      <c r="AD685">
        <f t="shared" si="21"/>
        <v>1095040</v>
      </c>
      <c r="AE685" t="s">
        <v>13</v>
      </c>
      <c r="AF685" t="s">
        <v>0</v>
      </c>
      <c r="AG685" t="s">
        <v>14</v>
      </c>
      <c r="AH685" t="s">
        <v>15</v>
      </c>
      <c r="AI685" t="s">
        <v>85</v>
      </c>
      <c r="AJ685" t="s">
        <v>17</v>
      </c>
      <c r="AK685" t="s">
        <v>18</v>
      </c>
      <c r="AL685" t="s">
        <v>19</v>
      </c>
      <c r="AM685" t="s">
        <v>363</v>
      </c>
      <c r="AN685" t="s">
        <v>0</v>
      </c>
      <c r="AO685" t="s">
        <v>0</v>
      </c>
      <c r="AP685" t="s">
        <v>0</v>
      </c>
      <c r="AQ685" s="5">
        <v>20</v>
      </c>
      <c r="AR685" t="s">
        <v>11</v>
      </c>
      <c r="AS685" t="s">
        <v>0</v>
      </c>
      <c r="AT685" t="s">
        <v>17</v>
      </c>
      <c r="AU685" s="4">
        <v>0</v>
      </c>
      <c r="AV685" s="4">
        <v>0</v>
      </c>
      <c r="AW685" s="4">
        <v>0</v>
      </c>
      <c r="AX685" s="4">
        <v>0</v>
      </c>
      <c r="AY685" s="5">
        <v>0</v>
      </c>
      <c r="AZ685" s="5">
        <v>0</v>
      </c>
      <c r="BA685" s="5">
        <v>0</v>
      </c>
      <c r="BB685" s="2"/>
      <c r="BC685" t="s">
        <v>0</v>
      </c>
      <c r="BD685" s="5">
        <v>1</v>
      </c>
      <c r="BE685" t="s">
        <v>0</v>
      </c>
      <c r="BF685" t="s">
        <v>367</v>
      </c>
      <c r="BG685" t="s">
        <v>17</v>
      </c>
      <c r="BH685" t="s">
        <v>0</v>
      </c>
      <c r="BI685" t="s">
        <v>11</v>
      </c>
      <c r="BJ685" t="s">
        <v>0</v>
      </c>
      <c r="BK685" t="s">
        <v>0</v>
      </c>
      <c r="BL685" s="5">
        <v>0</v>
      </c>
      <c r="BM685" t="s">
        <v>0</v>
      </c>
      <c r="BN685" t="s">
        <v>0</v>
      </c>
      <c r="BO685" t="s">
        <v>0</v>
      </c>
      <c r="BP685" t="s">
        <v>17</v>
      </c>
      <c r="BQ685" t="s">
        <v>0</v>
      </c>
      <c r="BR685" t="s">
        <v>17</v>
      </c>
      <c r="BS685" t="s">
        <v>17</v>
      </c>
      <c r="BT685" t="s">
        <v>0</v>
      </c>
      <c r="BU685" t="s">
        <v>0</v>
      </c>
      <c r="BV685" t="s">
        <v>0</v>
      </c>
      <c r="BW685" t="s">
        <v>0</v>
      </c>
      <c r="BX685" t="s">
        <v>0</v>
      </c>
      <c r="BY685" t="s">
        <v>0</v>
      </c>
      <c r="BZ685" t="s">
        <v>0</v>
      </c>
      <c r="CA685" t="s">
        <v>0</v>
      </c>
      <c r="CB685" t="s">
        <v>0</v>
      </c>
    </row>
    <row r="686" spans="1:80" ht="13.95" customHeight="1" x14ac:dyDescent="0.25">
      <c r="A686" t="s">
        <v>380</v>
      </c>
      <c r="B686" s="2">
        <v>46001</v>
      </c>
      <c r="C686" s="2">
        <v>46001</v>
      </c>
      <c r="D686" s="2">
        <v>46032</v>
      </c>
      <c r="E686" t="s">
        <v>2</v>
      </c>
      <c r="F686" t="s">
        <v>3</v>
      </c>
      <c r="G686" t="s">
        <v>0</v>
      </c>
      <c r="H686" t="s">
        <v>4</v>
      </c>
      <c r="I686" t="s">
        <v>363</v>
      </c>
      <c r="J686" t="s">
        <v>6</v>
      </c>
      <c r="K686" t="s">
        <v>34</v>
      </c>
      <c r="L686" t="s">
        <v>74</v>
      </c>
      <c r="M686" t="s">
        <v>75</v>
      </c>
      <c r="N686" t="s">
        <v>10</v>
      </c>
      <c r="O686" t="s">
        <v>0</v>
      </c>
      <c r="P686" t="s">
        <v>11</v>
      </c>
      <c r="Q686" s="5">
        <v>20</v>
      </c>
      <c r="R686" s="4">
        <v>46400</v>
      </c>
      <c r="S686" s="5">
        <v>1</v>
      </c>
      <c r="T686" s="4">
        <v>928000</v>
      </c>
      <c r="U686" s="5">
        <v>0</v>
      </c>
      <c r="V686" s="4">
        <v>0</v>
      </c>
      <c r="W686" s="5">
        <v>0</v>
      </c>
      <c r="X686" s="4">
        <v>0</v>
      </c>
      <c r="Y686" s="4">
        <f t="shared" si="20"/>
        <v>928000</v>
      </c>
      <c r="Z686" s="6" t="s">
        <v>0</v>
      </c>
      <c r="AA686" t="s">
        <v>2</v>
      </c>
      <c r="AB686" t="s">
        <v>12</v>
      </c>
      <c r="AC686">
        <f>_xlfn.XLOOKUP(AB686,'[1]GST Codes'!$A:$A,'[1]GST Codes'!$C:$C,0,0)</f>
        <v>18</v>
      </c>
      <c r="AD686">
        <f t="shared" si="21"/>
        <v>1095040</v>
      </c>
      <c r="AE686" t="s">
        <v>13</v>
      </c>
      <c r="AF686" t="s">
        <v>0</v>
      </c>
      <c r="AG686" t="s">
        <v>14</v>
      </c>
      <c r="AH686" t="s">
        <v>15</v>
      </c>
      <c r="AI686" t="s">
        <v>85</v>
      </c>
      <c r="AJ686" t="s">
        <v>17</v>
      </c>
      <c r="AK686" t="s">
        <v>18</v>
      </c>
      <c r="AL686" t="s">
        <v>19</v>
      </c>
      <c r="AM686" t="s">
        <v>363</v>
      </c>
      <c r="AN686" t="s">
        <v>0</v>
      </c>
      <c r="AO686" t="s">
        <v>0</v>
      </c>
      <c r="AP686" t="s">
        <v>0</v>
      </c>
      <c r="AQ686" s="5">
        <v>20</v>
      </c>
      <c r="AR686" t="s">
        <v>11</v>
      </c>
      <c r="AS686" t="s">
        <v>0</v>
      </c>
      <c r="AT686" t="s">
        <v>17</v>
      </c>
      <c r="AU686" s="4">
        <v>0</v>
      </c>
      <c r="AV686" s="4">
        <v>0</v>
      </c>
      <c r="AW686" s="4">
        <v>0</v>
      </c>
      <c r="AX686" s="4">
        <v>0</v>
      </c>
      <c r="AY686" s="5">
        <v>0</v>
      </c>
      <c r="AZ686" s="5">
        <v>0</v>
      </c>
      <c r="BA686" s="5">
        <v>0</v>
      </c>
      <c r="BB686" s="2"/>
      <c r="BC686" t="s">
        <v>0</v>
      </c>
      <c r="BD686" s="5">
        <v>1</v>
      </c>
      <c r="BE686" t="s">
        <v>0</v>
      </c>
      <c r="BF686" t="s">
        <v>367</v>
      </c>
      <c r="BG686" t="s">
        <v>17</v>
      </c>
      <c r="BH686" t="s">
        <v>0</v>
      </c>
      <c r="BI686" t="s">
        <v>11</v>
      </c>
      <c r="BJ686" t="s">
        <v>0</v>
      </c>
      <c r="BK686" t="s">
        <v>0</v>
      </c>
      <c r="BL686" s="5">
        <v>0</v>
      </c>
      <c r="BM686" t="s">
        <v>0</v>
      </c>
      <c r="BN686" t="s">
        <v>0</v>
      </c>
      <c r="BO686" t="s">
        <v>0</v>
      </c>
      <c r="BP686" t="s">
        <v>17</v>
      </c>
      <c r="BQ686" t="s">
        <v>0</v>
      </c>
      <c r="BR686" t="s">
        <v>17</v>
      </c>
      <c r="BS686" t="s">
        <v>17</v>
      </c>
      <c r="BT686" t="s">
        <v>0</v>
      </c>
      <c r="BU686" t="s">
        <v>0</v>
      </c>
      <c r="BV686" t="s">
        <v>0</v>
      </c>
      <c r="BW686" t="s">
        <v>0</v>
      </c>
      <c r="BX686" t="s">
        <v>0</v>
      </c>
      <c r="BY686" t="s">
        <v>0</v>
      </c>
      <c r="BZ686" t="s">
        <v>0</v>
      </c>
      <c r="CA686" t="s">
        <v>0</v>
      </c>
      <c r="CB686" t="s">
        <v>0</v>
      </c>
    </row>
    <row r="687" spans="1:80" ht="13.95" customHeight="1" x14ac:dyDescent="0.25">
      <c r="A687" t="s">
        <v>380</v>
      </c>
      <c r="B687" s="2">
        <v>46001</v>
      </c>
      <c r="C687" s="2">
        <v>46001</v>
      </c>
      <c r="D687" s="2">
        <v>46032</v>
      </c>
      <c r="E687" t="s">
        <v>2</v>
      </c>
      <c r="F687" t="s">
        <v>3</v>
      </c>
      <c r="G687" t="s">
        <v>0</v>
      </c>
      <c r="H687" t="s">
        <v>4</v>
      </c>
      <c r="I687" t="s">
        <v>363</v>
      </c>
      <c r="J687" t="s">
        <v>6</v>
      </c>
      <c r="K687" t="s">
        <v>38</v>
      </c>
      <c r="L687" t="s">
        <v>74</v>
      </c>
      <c r="M687" t="s">
        <v>75</v>
      </c>
      <c r="N687" t="s">
        <v>10</v>
      </c>
      <c r="O687" t="s">
        <v>0</v>
      </c>
      <c r="P687" t="s">
        <v>11</v>
      </c>
      <c r="Q687" s="5">
        <v>20</v>
      </c>
      <c r="R687" s="4">
        <v>46400</v>
      </c>
      <c r="S687" s="5">
        <v>1</v>
      </c>
      <c r="T687" s="4">
        <v>928000</v>
      </c>
      <c r="U687" s="3">
        <v>12.561999999999999</v>
      </c>
      <c r="V687" s="4">
        <v>582876.80000000005</v>
      </c>
      <c r="W687" s="3">
        <v>12.561999999999999</v>
      </c>
      <c r="X687" s="4">
        <v>582876.80000000005</v>
      </c>
      <c r="Y687" s="4">
        <f t="shared" si="20"/>
        <v>345123.19999999995</v>
      </c>
      <c r="Z687" s="6" t="s">
        <v>0</v>
      </c>
      <c r="AA687" t="s">
        <v>2</v>
      </c>
      <c r="AB687" t="s">
        <v>12</v>
      </c>
      <c r="AC687">
        <f>_xlfn.XLOOKUP(AB687,'[1]GST Codes'!$A:$A,'[1]GST Codes'!$C:$C,0,0)</f>
        <v>18</v>
      </c>
      <c r="AD687">
        <f t="shared" si="21"/>
        <v>407245.37599999993</v>
      </c>
      <c r="AE687" t="s">
        <v>13</v>
      </c>
      <c r="AF687" t="s">
        <v>0</v>
      </c>
      <c r="AG687" t="s">
        <v>14</v>
      </c>
      <c r="AH687" t="s">
        <v>15</v>
      </c>
      <c r="AI687" t="s">
        <v>85</v>
      </c>
      <c r="AJ687" t="s">
        <v>17</v>
      </c>
      <c r="AK687" t="s">
        <v>18</v>
      </c>
      <c r="AL687" t="s">
        <v>19</v>
      </c>
      <c r="AM687" t="s">
        <v>363</v>
      </c>
      <c r="AN687" t="s">
        <v>0</v>
      </c>
      <c r="AO687" t="s">
        <v>0</v>
      </c>
      <c r="AP687" t="s">
        <v>0</v>
      </c>
      <c r="AQ687" s="5">
        <v>20</v>
      </c>
      <c r="AR687" t="s">
        <v>11</v>
      </c>
      <c r="AS687" t="s">
        <v>0</v>
      </c>
      <c r="AT687" t="s">
        <v>17</v>
      </c>
      <c r="AU687" s="4">
        <v>0</v>
      </c>
      <c r="AV687" s="4">
        <v>0</v>
      </c>
      <c r="AW687" s="4">
        <v>0</v>
      </c>
      <c r="AX687" s="4">
        <v>0</v>
      </c>
      <c r="AY687" s="5">
        <v>0</v>
      </c>
      <c r="AZ687" s="5">
        <v>0</v>
      </c>
      <c r="BA687" s="5">
        <v>0</v>
      </c>
      <c r="BB687" s="2"/>
      <c r="BC687" t="s">
        <v>0</v>
      </c>
      <c r="BD687" s="5">
        <v>1</v>
      </c>
      <c r="BE687" t="s">
        <v>0</v>
      </c>
      <c r="BF687" t="s">
        <v>367</v>
      </c>
      <c r="BG687" t="s">
        <v>17</v>
      </c>
      <c r="BH687" t="s">
        <v>0</v>
      </c>
      <c r="BI687" t="s">
        <v>11</v>
      </c>
      <c r="BJ687" t="s">
        <v>0</v>
      </c>
      <c r="BK687" t="s">
        <v>0</v>
      </c>
      <c r="BL687" s="5">
        <v>0</v>
      </c>
      <c r="BM687" t="s">
        <v>0</v>
      </c>
      <c r="BN687" t="s">
        <v>0</v>
      </c>
      <c r="BO687" t="s">
        <v>0</v>
      </c>
      <c r="BP687" t="s">
        <v>17</v>
      </c>
      <c r="BQ687" t="s">
        <v>0</v>
      </c>
      <c r="BR687" t="s">
        <v>17</v>
      </c>
      <c r="BS687" t="s">
        <v>17</v>
      </c>
      <c r="BT687" t="s">
        <v>0</v>
      </c>
      <c r="BU687" t="s">
        <v>0</v>
      </c>
      <c r="BV687" t="s">
        <v>0</v>
      </c>
      <c r="BW687" t="s">
        <v>0</v>
      </c>
      <c r="BX687" t="s">
        <v>0</v>
      </c>
      <c r="BY687" t="s">
        <v>0</v>
      </c>
      <c r="BZ687" t="s">
        <v>0</v>
      </c>
      <c r="CA687" t="s">
        <v>0</v>
      </c>
      <c r="CB687" t="s">
        <v>0</v>
      </c>
    </row>
    <row r="688" spans="1:80" ht="13.95" customHeight="1" x14ac:dyDescent="0.25">
      <c r="A688" t="s">
        <v>380</v>
      </c>
      <c r="B688" s="2">
        <v>46001</v>
      </c>
      <c r="C688" s="2">
        <v>46001</v>
      </c>
      <c r="D688" s="2">
        <v>46032</v>
      </c>
      <c r="E688" t="s">
        <v>2</v>
      </c>
      <c r="F688" t="s">
        <v>3</v>
      </c>
      <c r="G688" t="s">
        <v>0</v>
      </c>
      <c r="H688" t="s">
        <v>4</v>
      </c>
      <c r="I688" t="s">
        <v>363</v>
      </c>
      <c r="J688" t="s">
        <v>6</v>
      </c>
      <c r="K688" t="s">
        <v>42</v>
      </c>
      <c r="L688" t="s">
        <v>39</v>
      </c>
      <c r="M688" t="s">
        <v>40</v>
      </c>
      <c r="N688" t="s">
        <v>10</v>
      </c>
      <c r="O688" t="s">
        <v>0</v>
      </c>
      <c r="P688" t="s">
        <v>11</v>
      </c>
      <c r="Q688" s="5">
        <v>18</v>
      </c>
      <c r="R688" s="4">
        <v>46400</v>
      </c>
      <c r="S688" s="5">
        <v>1</v>
      </c>
      <c r="T688" s="4">
        <v>835200</v>
      </c>
      <c r="U688" s="5">
        <v>0</v>
      </c>
      <c r="V688" s="4">
        <v>0</v>
      </c>
      <c r="W688" s="5">
        <v>0</v>
      </c>
      <c r="X688" s="4">
        <v>0</v>
      </c>
      <c r="Y688" s="4">
        <f t="shared" si="20"/>
        <v>835200</v>
      </c>
      <c r="Z688" s="6" t="s">
        <v>0</v>
      </c>
      <c r="AA688" t="s">
        <v>2</v>
      </c>
      <c r="AB688" t="s">
        <v>12</v>
      </c>
      <c r="AC688">
        <f>_xlfn.XLOOKUP(AB688,'[1]GST Codes'!$A:$A,'[1]GST Codes'!$C:$C,0,0)</f>
        <v>18</v>
      </c>
      <c r="AD688">
        <f t="shared" si="21"/>
        <v>985536</v>
      </c>
      <c r="AE688" t="s">
        <v>13</v>
      </c>
      <c r="AF688" t="s">
        <v>0</v>
      </c>
      <c r="AG688" t="s">
        <v>14</v>
      </c>
      <c r="AH688" t="s">
        <v>15</v>
      </c>
      <c r="AI688" t="s">
        <v>85</v>
      </c>
      <c r="AJ688" t="s">
        <v>17</v>
      </c>
      <c r="AK688" t="s">
        <v>18</v>
      </c>
      <c r="AL688" t="s">
        <v>19</v>
      </c>
      <c r="AM688" t="s">
        <v>363</v>
      </c>
      <c r="AN688" t="s">
        <v>0</v>
      </c>
      <c r="AO688" t="s">
        <v>0</v>
      </c>
      <c r="AP688" t="s">
        <v>0</v>
      </c>
      <c r="AQ688" s="5">
        <v>18</v>
      </c>
      <c r="AR688" t="s">
        <v>11</v>
      </c>
      <c r="AS688" t="s">
        <v>0</v>
      </c>
      <c r="AT688" t="s">
        <v>17</v>
      </c>
      <c r="AU688" s="4">
        <v>0</v>
      </c>
      <c r="AV688" s="4">
        <v>0</v>
      </c>
      <c r="AW688" s="4">
        <v>0</v>
      </c>
      <c r="AX688" s="4">
        <v>0</v>
      </c>
      <c r="AY688" s="5">
        <v>0</v>
      </c>
      <c r="AZ688" s="5">
        <v>0</v>
      </c>
      <c r="BA688" s="5">
        <v>0</v>
      </c>
      <c r="BB688" s="2"/>
      <c r="BC688" t="s">
        <v>0</v>
      </c>
      <c r="BD688" s="5">
        <v>1</v>
      </c>
      <c r="BE688" t="s">
        <v>0</v>
      </c>
      <c r="BF688" t="s">
        <v>368</v>
      </c>
      <c r="BG688" t="s">
        <v>17</v>
      </c>
      <c r="BH688" t="s">
        <v>0</v>
      </c>
      <c r="BI688" t="s">
        <v>11</v>
      </c>
      <c r="BJ688" t="s">
        <v>0</v>
      </c>
      <c r="BK688" t="s">
        <v>0</v>
      </c>
      <c r="BL688" s="5">
        <v>0</v>
      </c>
      <c r="BM688" t="s">
        <v>0</v>
      </c>
      <c r="BN688" t="s">
        <v>0</v>
      </c>
      <c r="BO688" t="s">
        <v>0</v>
      </c>
      <c r="BP688" t="s">
        <v>17</v>
      </c>
      <c r="BQ688" t="s">
        <v>0</v>
      </c>
      <c r="BR688" t="s">
        <v>17</v>
      </c>
      <c r="BS688" t="s">
        <v>17</v>
      </c>
      <c r="BT688" t="s">
        <v>0</v>
      </c>
      <c r="BU688" t="s">
        <v>0</v>
      </c>
      <c r="BV688" t="s">
        <v>0</v>
      </c>
      <c r="BW688" t="s">
        <v>0</v>
      </c>
      <c r="BX688" t="s">
        <v>0</v>
      </c>
      <c r="BY688" t="s">
        <v>0</v>
      </c>
      <c r="BZ688" t="s">
        <v>0</v>
      </c>
      <c r="CA688" t="s">
        <v>0</v>
      </c>
      <c r="CB688" t="s">
        <v>0</v>
      </c>
    </row>
    <row r="689" spans="1:80" ht="13.95" customHeight="1" x14ac:dyDescent="0.25">
      <c r="A689" t="s">
        <v>380</v>
      </c>
      <c r="B689" s="2">
        <v>46001</v>
      </c>
      <c r="C689" s="2">
        <v>46001</v>
      </c>
      <c r="D689" s="2">
        <v>46032</v>
      </c>
      <c r="E689" t="s">
        <v>2</v>
      </c>
      <c r="F689" t="s">
        <v>3</v>
      </c>
      <c r="G689" t="s">
        <v>0</v>
      </c>
      <c r="H689" t="s">
        <v>4</v>
      </c>
      <c r="I689" t="s">
        <v>363</v>
      </c>
      <c r="J689" t="s">
        <v>6</v>
      </c>
      <c r="K689" t="s">
        <v>86</v>
      </c>
      <c r="L689" t="s">
        <v>39</v>
      </c>
      <c r="M689" t="s">
        <v>40</v>
      </c>
      <c r="N689" t="s">
        <v>10</v>
      </c>
      <c r="O689" t="s">
        <v>0</v>
      </c>
      <c r="P689" t="s">
        <v>11</v>
      </c>
      <c r="Q689" s="5">
        <v>18</v>
      </c>
      <c r="R689" s="4">
        <v>46400</v>
      </c>
      <c r="S689" s="5">
        <v>1</v>
      </c>
      <c r="T689" s="4">
        <v>835200</v>
      </c>
      <c r="U689" s="5">
        <v>0</v>
      </c>
      <c r="V689" s="4">
        <v>0</v>
      </c>
      <c r="W689" s="5">
        <v>0</v>
      </c>
      <c r="X689" s="4">
        <v>0</v>
      </c>
      <c r="Y689" s="4">
        <f t="shared" si="20"/>
        <v>835200</v>
      </c>
      <c r="Z689" s="6" t="s">
        <v>0</v>
      </c>
      <c r="AA689" t="s">
        <v>2</v>
      </c>
      <c r="AB689" t="s">
        <v>12</v>
      </c>
      <c r="AC689">
        <f>_xlfn.XLOOKUP(AB689,'[1]GST Codes'!$A:$A,'[1]GST Codes'!$C:$C,0,0)</f>
        <v>18</v>
      </c>
      <c r="AD689">
        <f t="shared" si="21"/>
        <v>985536</v>
      </c>
      <c r="AE689" t="s">
        <v>13</v>
      </c>
      <c r="AF689" t="s">
        <v>0</v>
      </c>
      <c r="AG689" t="s">
        <v>14</v>
      </c>
      <c r="AH689" t="s">
        <v>15</v>
      </c>
      <c r="AI689" t="s">
        <v>85</v>
      </c>
      <c r="AJ689" t="s">
        <v>17</v>
      </c>
      <c r="AK689" t="s">
        <v>18</v>
      </c>
      <c r="AL689" t="s">
        <v>19</v>
      </c>
      <c r="AM689" t="s">
        <v>363</v>
      </c>
      <c r="AN689" t="s">
        <v>0</v>
      </c>
      <c r="AO689" t="s">
        <v>0</v>
      </c>
      <c r="AP689" t="s">
        <v>0</v>
      </c>
      <c r="AQ689" s="5">
        <v>18</v>
      </c>
      <c r="AR689" t="s">
        <v>11</v>
      </c>
      <c r="AS689" t="s">
        <v>0</v>
      </c>
      <c r="AT689" t="s">
        <v>17</v>
      </c>
      <c r="AU689" s="4">
        <v>0</v>
      </c>
      <c r="AV689" s="4">
        <v>0</v>
      </c>
      <c r="AW689" s="4">
        <v>0</v>
      </c>
      <c r="AX689" s="4">
        <v>0</v>
      </c>
      <c r="AY689" s="5">
        <v>0</v>
      </c>
      <c r="AZ689" s="5">
        <v>0</v>
      </c>
      <c r="BA689" s="5">
        <v>0</v>
      </c>
      <c r="BB689" s="2"/>
      <c r="BC689" t="s">
        <v>0</v>
      </c>
      <c r="BD689" s="5">
        <v>1</v>
      </c>
      <c r="BE689" t="s">
        <v>0</v>
      </c>
      <c r="BF689" t="s">
        <v>368</v>
      </c>
      <c r="BG689" t="s">
        <v>17</v>
      </c>
      <c r="BH689" t="s">
        <v>0</v>
      </c>
      <c r="BI689" t="s">
        <v>11</v>
      </c>
      <c r="BJ689" t="s">
        <v>0</v>
      </c>
      <c r="BK689" t="s">
        <v>0</v>
      </c>
      <c r="BL689" s="5">
        <v>0</v>
      </c>
      <c r="BM689" t="s">
        <v>0</v>
      </c>
      <c r="BN689" t="s">
        <v>0</v>
      </c>
      <c r="BO689" t="s">
        <v>0</v>
      </c>
      <c r="BP689" t="s">
        <v>17</v>
      </c>
      <c r="BQ689" t="s">
        <v>0</v>
      </c>
      <c r="BR689" t="s">
        <v>17</v>
      </c>
      <c r="BS689" t="s">
        <v>17</v>
      </c>
      <c r="BT689" t="s">
        <v>0</v>
      </c>
      <c r="BU689" t="s">
        <v>0</v>
      </c>
      <c r="BV689" t="s">
        <v>0</v>
      </c>
      <c r="BW689" t="s">
        <v>0</v>
      </c>
      <c r="BX689" t="s">
        <v>0</v>
      </c>
      <c r="BY689" t="s">
        <v>0</v>
      </c>
      <c r="BZ689" t="s">
        <v>0</v>
      </c>
      <c r="CA689" t="s">
        <v>0</v>
      </c>
      <c r="CB689" t="s">
        <v>0</v>
      </c>
    </row>
    <row r="690" spans="1:80" ht="13.95" customHeight="1" x14ac:dyDescent="0.25">
      <c r="A690" t="s">
        <v>380</v>
      </c>
      <c r="B690" s="2">
        <v>46001</v>
      </c>
      <c r="C690" s="2">
        <v>46001</v>
      </c>
      <c r="D690" s="2">
        <v>46032</v>
      </c>
      <c r="E690" t="s">
        <v>2</v>
      </c>
      <c r="F690" t="s">
        <v>3</v>
      </c>
      <c r="G690" t="s">
        <v>0</v>
      </c>
      <c r="H690" t="s">
        <v>4</v>
      </c>
      <c r="I690" t="s">
        <v>363</v>
      </c>
      <c r="J690" t="s">
        <v>6</v>
      </c>
      <c r="K690" t="s">
        <v>87</v>
      </c>
      <c r="L690" t="s">
        <v>39</v>
      </c>
      <c r="M690" t="s">
        <v>40</v>
      </c>
      <c r="N690" t="s">
        <v>10</v>
      </c>
      <c r="O690" t="s">
        <v>0</v>
      </c>
      <c r="P690" t="s">
        <v>11</v>
      </c>
      <c r="Q690" s="5">
        <v>18</v>
      </c>
      <c r="R690" s="4">
        <v>46400</v>
      </c>
      <c r="S690" s="5">
        <v>1</v>
      </c>
      <c r="T690" s="4">
        <v>835200</v>
      </c>
      <c r="U690" s="5">
        <v>0</v>
      </c>
      <c r="V690" s="4">
        <v>0</v>
      </c>
      <c r="W690" s="5">
        <v>0</v>
      </c>
      <c r="X690" s="4">
        <v>0</v>
      </c>
      <c r="Y690" s="4">
        <f t="shared" si="20"/>
        <v>835200</v>
      </c>
      <c r="Z690" s="6" t="s">
        <v>0</v>
      </c>
      <c r="AA690" t="s">
        <v>2</v>
      </c>
      <c r="AB690" t="s">
        <v>12</v>
      </c>
      <c r="AC690">
        <f>_xlfn.XLOOKUP(AB690,'[1]GST Codes'!$A:$A,'[1]GST Codes'!$C:$C,0,0)</f>
        <v>18</v>
      </c>
      <c r="AD690">
        <f t="shared" si="21"/>
        <v>985536</v>
      </c>
      <c r="AE690" t="s">
        <v>13</v>
      </c>
      <c r="AF690" t="s">
        <v>0</v>
      </c>
      <c r="AG690" t="s">
        <v>14</v>
      </c>
      <c r="AH690" t="s">
        <v>15</v>
      </c>
      <c r="AI690" t="s">
        <v>85</v>
      </c>
      <c r="AJ690" t="s">
        <v>17</v>
      </c>
      <c r="AK690" t="s">
        <v>18</v>
      </c>
      <c r="AL690" t="s">
        <v>19</v>
      </c>
      <c r="AM690" t="s">
        <v>363</v>
      </c>
      <c r="AN690" t="s">
        <v>0</v>
      </c>
      <c r="AO690" t="s">
        <v>0</v>
      </c>
      <c r="AP690" t="s">
        <v>0</v>
      </c>
      <c r="AQ690" s="5">
        <v>18</v>
      </c>
      <c r="AR690" t="s">
        <v>11</v>
      </c>
      <c r="AS690" t="s">
        <v>0</v>
      </c>
      <c r="AT690" t="s">
        <v>17</v>
      </c>
      <c r="AU690" s="4">
        <v>0</v>
      </c>
      <c r="AV690" s="4">
        <v>0</v>
      </c>
      <c r="AW690" s="4">
        <v>0</v>
      </c>
      <c r="AX690" s="4">
        <v>0</v>
      </c>
      <c r="AY690" s="5">
        <v>0</v>
      </c>
      <c r="AZ690" s="5">
        <v>0</v>
      </c>
      <c r="BA690" s="5">
        <v>0</v>
      </c>
      <c r="BB690" s="2"/>
      <c r="BC690" t="s">
        <v>0</v>
      </c>
      <c r="BD690" s="5">
        <v>1</v>
      </c>
      <c r="BE690" t="s">
        <v>0</v>
      </c>
      <c r="BF690" t="s">
        <v>368</v>
      </c>
      <c r="BG690" t="s">
        <v>17</v>
      </c>
      <c r="BH690" t="s">
        <v>0</v>
      </c>
      <c r="BI690" t="s">
        <v>11</v>
      </c>
      <c r="BJ690" t="s">
        <v>0</v>
      </c>
      <c r="BK690" t="s">
        <v>0</v>
      </c>
      <c r="BL690" s="5">
        <v>0</v>
      </c>
      <c r="BM690" t="s">
        <v>0</v>
      </c>
      <c r="BN690" t="s">
        <v>0</v>
      </c>
      <c r="BO690" t="s">
        <v>0</v>
      </c>
      <c r="BP690" t="s">
        <v>17</v>
      </c>
      <c r="BQ690" t="s">
        <v>0</v>
      </c>
      <c r="BR690" t="s">
        <v>17</v>
      </c>
      <c r="BS690" t="s">
        <v>17</v>
      </c>
      <c r="BT690" t="s">
        <v>0</v>
      </c>
      <c r="BU690" t="s">
        <v>0</v>
      </c>
      <c r="BV690" t="s">
        <v>0</v>
      </c>
      <c r="BW690" t="s">
        <v>0</v>
      </c>
      <c r="BX690" t="s">
        <v>0</v>
      </c>
      <c r="BY690" t="s">
        <v>0</v>
      </c>
      <c r="BZ690" t="s">
        <v>0</v>
      </c>
      <c r="CA690" t="s">
        <v>0</v>
      </c>
      <c r="CB690" t="s">
        <v>0</v>
      </c>
    </row>
    <row r="691" spans="1:80" ht="13.95" customHeight="1" x14ac:dyDescent="0.25">
      <c r="A691" t="s">
        <v>380</v>
      </c>
      <c r="B691" s="2">
        <v>46001</v>
      </c>
      <c r="C691" s="2">
        <v>46001</v>
      </c>
      <c r="D691" s="2">
        <v>46032</v>
      </c>
      <c r="E691" t="s">
        <v>2</v>
      </c>
      <c r="F691" t="s">
        <v>3</v>
      </c>
      <c r="G691" t="s">
        <v>0</v>
      </c>
      <c r="H691" t="s">
        <v>4</v>
      </c>
      <c r="I691" t="s">
        <v>363</v>
      </c>
      <c r="J691" t="s">
        <v>6</v>
      </c>
      <c r="K691" t="s">
        <v>88</v>
      </c>
      <c r="L691" t="s">
        <v>39</v>
      </c>
      <c r="M691" t="s">
        <v>40</v>
      </c>
      <c r="N691" t="s">
        <v>10</v>
      </c>
      <c r="O691" t="s">
        <v>0</v>
      </c>
      <c r="P691" t="s">
        <v>11</v>
      </c>
      <c r="Q691" s="5">
        <v>18</v>
      </c>
      <c r="R691" s="4">
        <v>46400</v>
      </c>
      <c r="S691" s="5">
        <v>1</v>
      </c>
      <c r="T691" s="4">
        <v>835200</v>
      </c>
      <c r="U691" s="5">
        <v>0</v>
      </c>
      <c r="V691" s="4">
        <v>0</v>
      </c>
      <c r="W691" s="5">
        <v>0</v>
      </c>
      <c r="X691" s="4">
        <v>0</v>
      </c>
      <c r="Y691" s="4">
        <f t="shared" si="20"/>
        <v>835200</v>
      </c>
      <c r="Z691" s="6" t="s">
        <v>0</v>
      </c>
      <c r="AA691" t="s">
        <v>2</v>
      </c>
      <c r="AB691" t="s">
        <v>12</v>
      </c>
      <c r="AC691">
        <f>_xlfn.XLOOKUP(AB691,'[1]GST Codes'!$A:$A,'[1]GST Codes'!$C:$C,0,0)</f>
        <v>18</v>
      </c>
      <c r="AD691">
        <f t="shared" si="21"/>
        <v>985536</v>
      </c>
      <c r="AE691" t="s">
        <v>13</v>
      </c>
      <c r="AF691" t="s">
        <v>0</v>
      </c>
      <c r="AG691" t="s">
        <v>14</v>
      </c>
      <c r="AH691" t="s">
        <v>15</v>
      </c>
      <c r="AI691" t="s">
        <v>85</v>
      </c>
      <c r="AJ691" t="s">
        <v>17</v>
      </c>
      <c r="AK691" t="s">
        <v>18</v>
      </c>
      <c r="AL691" t="s">
        <v>19</v>
      </c>
      <c r="AM691" t="s">
        <v>363</v>
      </c>
      <c r="AN691" t="s">
        <v>0</v>
      </c>
      <c r="AO691" t="s">
        <v>0</v>
      </c>
      <c r="AP691" t="s">
        <v>0</v>
      </c>
      <c r="AQ691" s="5">
        <v>18</v>
      </c>
      <c r="AR691" t="s">
        <v>11</v>
      </c>
      <c r="AS691" t="s">
        <v>0</v>
      </c>
      <c r="AT691" t="s">
        <v>17</v>
      </c>
      <c r="AU691" s="4">
        <v>0</v>
      </c>
      <c r="AV691" s="4">
        <v>0</v>
      </c>
      <c r="AW691" s="4">
        <v>0</v>
      </c>
      <c r="AX691" s="4">
        <v>0</v>
      </c>
      <c r="AY691" s="5">
        <v>0</v>
      </c>
      <c r="AZ691" s="5">
        <v>0</v>
      </c>
      <c r="BA691" s="5">
        <v>0</v>
      </c>
      <c r="BB691" s="2"/>
      <c r="BC691" t="s">
        <v>0</v>
      </c>
      <c r="BD691" s="5">
        <v>1</v>
      </c>
      <c r="BE691" t="s">
        <v>0</v>
      </c>
      <c r="BF691" t="s">
        <v>368</v>
      </c>
      <c r="BG691" t="s">
        <v>17</v>
      </c>
      <c r="BH691" t="s">
        <v>0</v>
      </c>
      <c r="BI691" t="s">
        <v>11</v>
      </c>
      <c r="BJ691" t="s">
        <v>0</v>
      </c>
      <c r="BK691" t="s">
        <v>0</v>
      </c>
      <c r="BL691" s="5">
        <v>0</v>
      </c>
      <c r="BM691" t="s">
        <v>0</v>
      </c>
      <c r="BN691" t="s">
        <v>0</v>
      </c>
      <c r="BO691" t="s">
        <v>0</v>
      </c>
      <c r="BP691" t="s">
        <v>17</v>
      </c>
      <c r="BQ691" t="s">
        <v>0</v>
      </c>
      <c r="BR691" t="s">
        <v>17</v>
      </c>
      <c r="BS691" t="s">
        <v>17</v>
      </c>
      <c r="BT691" t="s">
        <v>0</v>
      </c>
      <c r="BU691" t="s">
        <v>0</v>
      </c>
      <c r="BV691" t="s">
        <v>0</v>
      </c>
      <c r="BW691" t="s">
        <v>0</v>
      </c>
      <c r="BX691" t="s">
        <v>0</v>
      </c>
      <c r="BY691" t="s">
        <v>0</v>
      </c>
      <c r="BZ691" t="s">
        <v>0</v>
      </c>
      <c r="CA691" t="s">
        <v>0</v>
      </c>
      <c r="CB691" t="s">
        <v>0</v>
      </c>
    </row>
    <row r="692" spans="1:80" ht="13.95" customHeight="1" x14ac:dyDescent="0.25">
      <c r="A692" t="s">
        <v>380</v>
      </c>
      <c r="B692" s="2">
        <v>46001</v>
      </c>
      <c r="C692" s="2">
        <v>46001</v>
      </c>
      <c r="D692" s="2">
        <v>46032</v>
      </c>
      <c r="E692" t="s">
        <v>2</v>
      </c>
      <c r="F692" t="s">
        <v>3</v>
      </c>
      <c r="G692" t="s">
        <v>0</v>
      </c>
      <c r="H692" t="s">
        <v>4</v>
      </c>
      <c r="I692" t="s">
        <v>363</v>
      </c>
      <c r="J692" t="s">
        <v>6</v>
      </c>
      <c r="K692" t="s">
        <v>89</v>
      </c>
      <c r="L692" t="s">
        <v>39</v>
      </c>
      <c r="M692" t="s">
        <v>40</v>
      </c>
      <c r="N692" t="s">
        <v>10</v>
      </c>
      <c r="O692" t="s">
        <v>0</v>
      </c>
      <c r="P692" t="s">
        <v>11</v>
      </c>
      <c r="Q692" s="5">
        <v>18</v>
      </c>
      <c r="R692" s="4">
        <v>46400</v>
      </c>
      <c r="S692" s="5">
        <v>1</v>
      </c>
      <c r="T692" s="4">
        <v>835200</v>
      </c>
      <c r="U692" s="5">
        <v>0</v>
      </c>
      <c r="V692" s="4">
        <v>0</v>
      </c>
      <c r="W692" s="5">
        <v>0</v>
      </c>
      <c r="X692" s="4">
        <v>0</v>
      </c>
      <c r="Y692" s="4">
        <f t="shared" si="20"/>
        <v>835200</v>
      </c>
      <c r="Z692" s="6" t="s">
        <v>0</v>
      </c>
      <c r="AA692" t="s">
        <v>2</v>
      </c>
      <c r="AB692" t="s">
        <v>12</v>
      </c>
      <c r="AC692">
        <f>_xlfn.XLOOKUP(AB692,'[1]GST Codes'!$A:$A,'[1]GST Codes'!$C:$C,0,0)</f>
        <v>18</v>
      </c>
      <c r="AD692">
        <f t="shared" si="21"/>
        <v>985536</v>
      </c>
      <c r="AE692" t="s">
        <v>13</v>
      </c>
      <c r="AF692" t="s">
        <v>0</v>
      </c>
      <c r="AG692" t="s">
        <v>14</v>
      </c>
      <c r="AH692" t="s">
        <v>15</v>
      </c>
      <c r="AI692" t="s">
        <v>85</v>
      </c>
      <c r="AJ692" t="s">
        <v>17</v>
      </c>
      <c r="AK692" t="s">
        <v>18</v>
      </c>
      <c r="AL692" t="s">
        <v>19</v>
      </c>
      <c r="AM692" t="s">
        <v>363</v>
      </c>
      <c r="AN692" t="s">
        <v>0</v>
      </c>
      <c r="AO692" t="s">
        <v>0</v>
      </c>
      <c r="AP692" t="s">
        <v>0</v>
      </c>
      <c r="AQ692" s="5">
        <v>18</v>
      </c>
      <c r="AR692" t="s">
        <v>11</v>
      </c>
      <c r="AS692" t="s">
        <v>0</v>
      </c>
      <c r="AT692" t="s">
        <v>17</v>
      </c>
      <c r="AU692" s="4">
        <v>0</v>
      </c>
      <c r="AV692" s="4">
        <v>0</v>
      </c>
      <c r="AW692" s="4">
        <v>0</v>
      </c>
      <c r="AX692" s="4">
        <v>0</v>
      </c>
      <c r="AY692" s="5">
        <v>0</v>
      </c>
      <c r="AZ692" s="5">
        <v>0</v>
      </c>
      <c r="BA692" s="5">
        <v>0</v>
      </c>
      <c r="BB692" s="2"/>
      <c r="BC692" t="s">
        <v>0</v>
      </c>
      <c r="BD692" s="5">
        <v>1</v>
      </c>
      <c r="BE692" t="s">
        <v>0</v>
      </c>
      <c r="BF692" t="s">
        <v>368</v>
      </c>
      <c r="BG692" t="s">
        <v>17</v>
      </c>
      <c r="BH692" t="s">
        <v>0</v>
      </c>
      <c r="BI692" t="s">
        <v>11</v>
      </c>
      <c r="BJ692" t="s">
        <v>0</v>
      </c>
      <c r="BK692" t="s">
        <v>0</v>
      </c>
      <c r="BL692" s="5">
        <v>0</v>
      </c>
      <c r="BM692" t="s">
        <v>0</v>
      </c>
      <c r="BN692" t="s">
        <v>0</v>
      </c>
      <c r="BO692" t="s">
        <v>0</v>
      </c>
      <c r="BP692" t="s">
        <v>17</v>
      </c>
      <c r="BQ692" t="s">
        <v>0</v>
      </c>
      <c r="BR692" t="s">
        <v>17</v>
      </c>
      <c r="BS692" t="s">
        <v>17</v>
      </c>
      <c r="BT692" t="s">
        <v>0</v>
      </c>
      <c r="BU692" t="s">
        <v>0</v>
      </c>
      <c r="BV692" t="s">
        <v>0</v>
      </c>
      <c r="BW692" t="s">
        <v>0</v>
      </c>
      <c r="BX692" t="s">
        <v>0</v>
      </c>
      <c r="BY692" t="s">
        <v>0</v>
      </c>
      <c r="BZ692" t="s">
        <v>0</v>
      </c>
      <c r="CA692" t="s">
        <v>0</v>
      </c>
      <c r="CB692" t="s">
        <v>0</v>
      </c>
    </row>
    <row r="693" spans="1:80" ht="13.95" customHeight="1" x14ac:dyDescent="0.25">
      <c r="A693" t="s">
        <v>380</v>
      </c>
      <c r="B693" s="2">
        <v>46001</v>
      </c>
      <c r="C693" s="2">
        <v>46001</v>
      </c>
      <c r="D693" s="2">
        <v>46032</v>
      </c>
      <c r="E693" t="s">
        <v>2</v>
      </c>
      <c r="F693" t="s">
        <v>3</v>
      </c>
      <c r="G693" t="s">
        <v>0</v>
      </c>
      <c r="H693" t="s">
        <v>4</v>
      </c>
      <c r="I693" t="s">
        <v>363</v>
      </c>
      <c r="J693" t="s">
        <v>6</v>
      </c>
      <c r="K693" t="s">
        <v>90</v>
      </c>
      <c r="L693" t="s">
        <v>39</v>
      </c>
      <c r="M693" t="s">
        <v>40</v>
      </c>
      <c r="N693" t="s">
        <v>10</v>
      </c>
      <c r="O693" t="s">
        <v>0</v>
      </c>
      <c r="P693" t="s">
        <v>11</v>
      </c>
      <c r="Q693" s="5">
        <v>20</v>
      </c>
      <c r="R693" s="4">
        <v>46400</v>
      </c>
      <c r="S693" s="5">
        <v>1</v>
      </c>
      <c r="T693" s="4">
        <v>928000</v>
      </c>
      <c r="U693" s="5">
        <v>0</v>
      </c>
      <c r="V693" s="4">
        <v>0</v>
      </c>
      <c r="W693" s="5">
        <v>0</v>
      </c>
      <c r="X693" s="4">
        <v>0</v>
      </c>
      <c r="Y693" s="4">
        <f t="shared" si="20"/>
        <v>928000</v>
      </c>
      <c r="Z693" s="6" t="s">
        <v>0</v>
      </c>
      <c r="AA693" t="s">
        <v>2</v>
      </c>
      <c r="AB693" t="s">
        <v>12</v>
      </c>
      <c r="AC693">
        <f>_xlfn.XLOOKUP(AB693,'[1]GST Codes'!$A:$A,'[1]GST Codes'!$C:$C,0,0)</f>
        <v>18</v>
      </c>
      <c r="AD693">
        <f t="shared" si="21"/>
        <v>1095040</v>
      </c>
      <c r="AE693" t="s">
        <v>13</v>
      </c>
      <c r="AF693" t="s">
        <v>0</v>
      </c>
      <c r="AG693" t="s">
        <v>14</v>
      </c>
      <c r="AH693" t="s">
        <v>15</v>
      </c>
      <c r="AI693" t="s">
        <v>85</v>
      </c>
      <c r="AJ693" t="s">
        <v>17</v>
      </c>
      <c r="AK693" t="s">
        <v>18</v>
      </c>
      <c r="AL693" t="s">
        <v>19</v>
      </c>
      <c r="AM693" t="s">
        <v>363</v>
      </c>
      <c r="AN693" t="s">
        <v>0</v>
      </c>
      <c r="AO693" t="s">
        <v>0</v>
      </c>
      <c r="AP693" t="s">
        <v>0</v>
      </c>
      <c r="AQ693" s="5">
        <v>20</v>
      </c>
      <c r="AR693" t="s">
        <v>11</v>
      </c>
      <c r="AS693" t="s">
        <v>0</v>
      </c>
      <c r="AT693" t="s">
        <v>17</v>
      </c>
      <c r="AU693" s="4">
        <v>0</v>
      </c>
      <c r="AV693" s="4">
        <v>0</v>
      </c>
      <c r="AW693" s="4">
        <v>0</v>
      </c>
      <c r="AX693" s="4">
        <v>0</v>
      </c>
      <c r="AY693" s="5">
        <v>0</v>
      </c>
      <c r="AZ693" s="5">
        <v>0</v>
      </c>
      <c r="BA693" s="5">
        <v>0</v>
      </c>
      <c r="BB693" s="2"/>
      <c r="BC693" t="s">
        <v>0</v>
      </c>
      <c r="BD693" s="5">
        <v>1</v>
      </c>
      <c r="BE693" t="s">
        <v>0</v>
      </c>
      <c r="BF693" t="s">
        <v>368</v>
      </c>
      <c r="BG693" t="s">
        <v>17</v>
      </c>
      <c r="BH693" t="s">
        <v>0</v>
      </c>
      <c r="BI693" t="s">
        <v>11</v>
      </c>
      <c r="BJ693" t="s">
        <v>0</v>
      </c>
      <c r="BK693" t="s">
        <v>0</v>
      </c>
      <c r="BL693" s="5">
        <v>0</v>
      </c>
      <c r="BM693" t="s">
        <v>0</v>
      </c>
      <c r="BN693" t="s">
        <v>0</v>
      </c>
      <c r="BO693" t="s">
        <v>0</v>
      </c>
      <c r="BP693" t="s">
        <v>17</v>
      </c>
      <c r="BQ693" t="s">
        <v>0</v>
      </c>
      <c r="BR693" t="s">
        <v>17</v>
      </c>
      <c r="BS693" t="s">
        <v>17</v>
      </c>
      <c r="BT693" t="s">
        <v>0</v>
      </c>
      <c r="BU693" t="s">
        <v>0</v>
      </c>
      <c r="BV693" t="s">
        <v>0</v>
      </c>
      <c r="BW693" t="s">
        <v>0</v>
      </c>
      <c r="BX693" t="s">
        <v>0</v>
      </c>
      <c r="BY693" t="s">
        <v>0</v>
      </c>
      <c r="BZ693" t="s">
        <v>0</v>
      </c>
      <c r="CA693" t="s">
        <v>0</v>
      </c>
      <c r="CB693" t="s">
        <v>0</v>
      </c>
    </row>
    <row r="694" spans="1:80" ht="13.95" customHeight="1" x14ac:dyDescent="0.25">
      <c r="A694" t="s">
        <v>380</v>
      </c>
      <c r="B694" s="2">
        <v>46001</v>
      </c>
      <c r="C694" s="2">
        <v>46001</v>
      </c>
      <c r="D694" s="2">
        <v>46032</v>
      </c>
      <c r="E694" t="s">
        <v>2</v>
      </c>
      <c r="F694" t="s">
        <v>3</v>
      </c>
      <c r="G694" t="s">
        <v>0</v>
      </c>
      <c r="H694" t="s">
        <v>4</v>
      </c>
      <c r="I694" t="s">
        <v>363</v>
      </c>
      <c r="J694" t="s">
        <v>6</v>
      </c>
      <c r="K694" t="s">
        <v>177</v>
      </c>
      <c r="L694" t="s">
        <v>43</v>
      </c>
      <c r="M694" t="s">
        <v>44</v>
      </c>
      <c r="N694" t="s">
        <v>10</v>
      </c>
      <c r="O694" t="s">
        <v>0</v>
      </c>
      <c r="P694" t="s">
        <v>11</v>
      </c>
      <c r="Q694" s="5">
        <v>13</v>
      </c>
      <c r="R694" s="4">
        <v>46400</v>
      </c>
      <c r="S694" s="5">
        <v>1</v>
      </c>
      <c r="T694" s="4">
        <v>603200</v>
      </c>
      <c r="U694" s="5">
        <v>0</v>
      </c>
      <c r="V694" s="4">
        <v>0</v>
      </c>
      <c r="W694" s="5">
        <v>0</v>
      </c>
      <c r="X694" s="4">
        <v>0</v>
      </c>
      <c r="Y694" s="4">
        <f t="shared" si="20"/>
        <v>603200</v>
      </c>
      <c r="Z694" s="6" t="s">
        <v>0</v>
      </c>
      <c r="AA694" t="s">
        <v>2</v>
      </c>
      <c r="AB694" t="s">
        <v>12</v>
      </c>
      <c r="AC694">
        <f>_xlfn.XLOOKUP(AB694,'[1]GST Codes'!$A:$A,'[1]GST Codes'!$C:$C,0,0)</f>
        <v>18</v>
      </c>
      <c r="AD694">
        <f t="shared" si="21"/>
        <v>711776</v>
      </c>
      <c r="AE694" t="s">
        <v>13</v>
      </c>
      <c r="AF694" t="s">
        <v>0</v>
      </c>
      <c r="AG694" t="s">
        <v>14</v>
      </c>
      <c r="AH694" t="s">
        <v>15</v>
      </c>
      <c r="AI694" t="s">
        <v>85</v>
      </c>
      <c r="AJ694" t="s">
        <v>17</v>
      </c>
      <c r="AK694" t="s">
        <v>18</v>
      </c>
      <c r="AL694" t="s">
        <v>19</v>
      </c>
      <c r="AM694" t="s">
        <v>363</v>
      </c>
      <c r="AN694" t="s">
        <v>0</v>
      </c>
      <c r="AO694" t="s">
        <v>0</v>
      </c>
      <c r="AP694" t="s">
        <v>0</v>
      </c>
      <c r="AQ694" s="5">
        <v>13</v>
      </c>
      <c r="AR694" t="s">
        <v>11</v>
      </c>
      <c r="AS694" t="s">
        <v>0</v>
      </c>
      <c r="AT694" t="s">
        <v>17</v>
      </c>
      <c r="AU694" s="4">
        <v>0</v>
      </c>
      <c r="AV694" s="4">
        <v>0</v>
      </c>
      <c r="AW694" s="4">
        <v>0</v>
      </c>
      <c r="AX694" s="4">
        <v>0</v>
      </c>
      <c r="AY694" s="5">
        <v>0</v>
      </c>
      <c r="AZ694" s="5">
        <v>0</v>
      </c>
      <c r="BA694" s="5">
        <v>0</v>
      </c>
      <c r="BB694" s="2"/>
      <c r="BC694" t="s">
        <v>0</v>
      </c>
      <c r="BD694" s="5">
        <v>1</v>
      </c>
      <c r="BE694" t="s">
        <v>0</v>
      </c>
      <c r="BF694" t="s">
        <v>364</v>
      </c>
      <c r="BG694" t="s">
        <v>17</v>
      </c>
      <c r="BH694" t="s">
        <v>0</v>
      </c>
      <c r="BI694" t="s">
        <v>11</v>
      </c>
      <c r="BJ694" t="s">
        <v>0</v>
      </c>
      <c r="BK694" t="s">
        <v>0</v>
      </c>
      <c r="BL694" s="5">
        <v>0</v>
      </c>
      <c r="BM694" t="s">
        <v>0</v>
      </c>
      <c r="BN694" t="s">
        <v>0</v>
      </c>
      <c r="BO694" t="s">
        <v>0</v>
      </c>
      <c r="BP694" t="s">
        <v>17</v>
      </c>
      <c r="BQ694" t="s">
        <v>0</v>
      </c>
      <c r="BR694" t="s">
        <v>17</v>
      </c>
      <c r="BS694" t="s">
        <v>17</v>
      </c>
      <c r="BT694" t="s">
        <v>0</v>
      </c>
      <c r="BU694" t="s">
        <v>0</v>
      </c>
      <c r="BV694" t="s">
        <v>0</v>
      </c>
      <c r="BW694" t="s">
        <v>0</v>
      </c>
      <c r="BX694" t="s">
        <v>0</v>
      </c>
      <c r="BY694" t="s">
        <v>0</v>
      </c>
      <c r="BZ694" t="s">
        <v>0</v>
      </c>
      <c r="CA694" t="s">
        <v>0</v>
      </c>
      <c r="CB694" t="s">
        <v>0</v>
      </c>
    </row>
    <row r="695" spans="1:80" ht="13.95" customHeight="1" x14ac:dyDescent="0.25">
      <c r="A695" t="s">
        <v>380</v>
      </c>
      <c r="B695" s="2">
        <v>46001</v>
      </c>
      <c r="C695" s="2">
        <v>46001</v>
      </c>
      <c r="D695" s="2">
        <v>46032</v>
      </c>
      <c r="E695" t="s">
        <v>2</v>
      </c>
      <c r="F695" t="s">
        <v>3</v>
      </c>
      <c r="G695" t="s">
        <v>0</v>
      </c>
      <c r="H695" t="s">
        <v>4</v>
      </c>
      <c r="I695" t="s">
        <v>363</v>
      </c>
      <c r="J695" t="s">
        <v>6</v>
      </c>
      <c r="K695" t="s">
        <v>181</v>
      </c>
      <c r="L695" t="s">
        <v>43</v>
      </c>
      <c r="M695" t="s">
        <v>44</v>
      </c>
      <c r="N695" t="s">
        <v>10</v>
      </c>
      <c r="O695" t="s">
        <v>0</v>
      </c>
      <c r="P695" t="s">
        <v>11</v>
      </c>
      <c r="Q695" s="5">
        <v>13</v>
      </c>
      <c r="R695" s="4">
        <v>46400</v>
      </c>
      <c r="S695" s="5">
        <v>1</v>
      </c>
      <c r="T695" s="4">
        <v>603200</v>
      </c>
      <c r="U695" s="5">
        <v>0</v>
      </c>
      <c r="V695" s="4">
        <v>0</v>
      </c>
      <c r="W695" s="5">
        <v>0</v>
      </c>
      <c r="X695" s="4">
        <v>0</v>
      </c>
      <c r="Y695" s="4">
        <f t="shared" si="20"/>
        <v>603200</v>
      </c>
      <c r="Z695" s="6" t="s">
        <v>0</v>
      </c>
      <c r="AA695" t="s">
        <v>2</v>
      </c>
      <c r="AB695" t="s">
        <v>12</v>
      </c>
      <c r="AC695">
        <f>_xlfn.XLOOKUP(AB695,'[1]GST Codes'!$A:$A,'[1]GST Codes'!$C:$C,0,0)</f>
        <v>18</v>
      </c>
      <c r="AD695">
        <f t="shared" si="21"/>
        <v>711776</v>
      </c>
      <c r="AE695" t="s">
        <v>13</v>
      </c>
      <c r="AF695" t="s">
        <v>0</v>
      </c>
      <c r="AG695" t="s">
        <v>14</v>
      </c>
      <c r="AH695" t="s">
        <v>15</v>
      </c>
      <c r="AI695" t="s">
        <v>85</v>
      </c>
      <c r="AJ695" t="s">
        <v>17</v>
      </c>
      <c r="AK695" t="s">
        <v>18</v>
      </c>
      <c r="AL695" t="s">
        <v>19</v>
      </c>
      <c r="AM695" t="s">
        <v>363</v>
      </c>
      <c r="AN695" t="s">
        <v>0</v>
      </c>
      <c r="AO695" t="s">
        <v>0</v>
      </c>
      <c r="AP695" t="s">
        <v>0</v>
      </c>
      <c r="AQ695" s="5">
        <v>13</v>
      </c>
      <c r="AR695" t="s">
        <v>11</v>
      </c>
      <c r="AS695" t="s">
        <v>0</v>
      </c>
      <c r="AT695" t="s">
        <v>17</v>
      </c>
      <c r="AU695" s="4">
        <v>0</v>
      </c>
      <c r="AV695" s="4">
        <v>0</v>
      </c>
      <c r="AW695" s="4">
        <v>0</v>
      </c>
      <c r="AX695" s="4">
        <v>0</v>
      </c>
      <c r="AY695" s="5">
        <v>0</v>
      </c>
      <c r="AZ695" s="5">
        <v>0</v>
      </c>
      <c r="BA695" s="5">
        <v>0</v>
      </c>
      <c r="BB695" s="2"/>
      <c r="BC695" t="s">
        <v>0</v>
      </c>
      <c r="BD695" s="5">
        <v>1</v>
      </c>
      <c r="BE695" t="s">
        <v>0</v>
      </c>
      <c r="BF695" t="s">
        <v>364</v>
      </c>
      <c r="BG695" t="s">
        <v>17</v>
      </c>
      <c r="BH695" t="s">
        <v>0</v>
      </c>
      <c r="BI695" t="s">
        <v>11</v>
      </c>
      <c r="BJ695" t="s">
        <v>0</v>
      </c>
      <c r="BK695" t="s">
        <v>0</v>
      </c>
      <c r="BL695" s="5">
        <v>0</v>
      </c>
      <c r="BM695" t="s">
        <v>0</v>
      </c>
      <c r="BN695" t="s">
        <v>0</v>
      </c>
      <c r="BO695" t="s">
        <v>0</v>
      </c>
      <c r="BP695" t="s">
        <v>17</v>
      </c>
      <c r="BQ695" t="s">
        <v>0</v>
      </c>
      <c r="BR695" t="s">
        <v>17</v>
      </c>
      <c r="BS695" t="s">
        <v>17</v>
      </c>
      <c r="BT695" t="s">
        <v>0</v>
      </c>
      <c r="BU695" t="s">
        <v>0</v>
      </c>
      <c r="BV695" t="s">
        <v>0</v>
      </c>
      <c r="BW695" t="s">
        <v>0</v>
      </c>
      <c r="BX695" t="s">
        <v>0</v>
      </c>
      <c r="BY695" t="s">
        <v>0</v>
      </c>
      <c r="BZ695" t="s">
        <v>0</v>
      </c>
      <c r="CA695" t="s">
        <v>0</v>
      </c>
      <c r="CB695" t="s">
        <v>0</v>
      </c>
    </row>
    <row r="696" spans="1:80" ht="13.95" customHeight="1" x14ac:dyDescent="0.25">
      <c r="A696" t="s">
        <v>380</v>
      </c>
      <c r="B696" s="2">
        <v>46001</v>
      </c>
      <c r="C696" s="2">
        <v>46001</v>
      </c>
      <c r="D696" s="2">
        <v>46032</v>
      </c>
      <c r="E696" t="s">
        <v>2</v>
      </c>
      <c r="F696" t="s">
        <v>3</v>
      </c>
      <c r="G696" t="s">
        <v>0</v>
      </c>
      <c r="H696" t="s">
        <v>4</v>
      </c>
      <c r="I696" t="s">
        <v>363</v>
      </c>
      <c r="J696" t="s">
        <v>6</v>
      </c>
      <c r="K696" t="s">
        <v>185</v>
      </c>
      <c r="L696" t="s">
        <v>43</v>
      </c>
      <c r="M696" t="s">
        <v>44</v>
      </c>
      <c r="N696" t="s">
        <v>10</v>
      </c>
      <c r="O696" t="s">
        <v>0</v>
      </c>
      <c r="P696" t="s">
        <v>11</v>
      </c>
      <c r="Q696" s="5">
        <v>13</v>
      </c>
      <c r="R696" s="4">
        <v>46400</v>
      </c>
      <c r="S696" s="5">
        <v>1</v>
      </c>
      <c r="T696" s="4">
        <v>603200</v>
      </c>
      <c r="U696" s="5">
        <v>0</v>
      </c>
      <c r="V696" s="4">
        <v>0</v>
      </c>
      <c r="W696" s="5">
        <v>0</v>
      </c>
      <c r="X696" s="4">
        <v>0</v>
      </c>
      <c r="Y696" s="4">
        <f t="shared" si="20"/>
        <v>603200</v>
      </c>
      <c r="Z696" s="6" t="s">
        <v>0</v>
      </c>
      <c r="AA696" t="s">
        <v>2</v>
      </c>
      <c r="AB696" t="s">
        <v>12</v>
      </c>
      <c r="AC696">
        <f>_xlfn.XLOOKUP(AB696,'[1]GST Codes'!$A:$A,'[1]GST Codes'!$C:$C,0,0)</f>
        <v>18</v>
      </c>
      <c r="AD696">
        <f t="shared" si="21"/>
        <v>711776</v>
      </c>
      <c r="AE696" t="s">
        <v>13</v>
      </c>
      <c r="AF696" t="s">
        <v>0</v>
      </c>
      <c r="AG696" t="s">
        <v>14</v>
      </c>
      <c r="AH696" t="s">
        <v>15</v>
      </c>
      <c r="AI696" t="s">
        <v>85</v>
      </c>
      <c r="AJ696" t="s">
        <v>17</v>
      </c>
      <c r="AK696" t="s">
        <v>18</v>
      </c>
      <c r="AL696" t="s">
        <v>19</v>
      </c>
      <c r="AM696" t="s">
        <v>363</v>
      </c>
      <c r="AN696" t="s">
        <v>0</v>
      </c>
      <c r="AO696" t="s">
        <v>0</v>
      </c>
      <c r="AP696" t="s">
        <v>0</v>
      </c>
      <c r="AQ696" s="5">
        <v>13</v>
      </c>
      <c r="AR696" t="s">
        <v>11</v>
      </c>
      <c r="AS696" t="s">
        <v>0</v>
      </c>
      <c r="AT696" t="s">
        <v>17</v>
      </c>
      <c r="AU696" s="4">
        <v>0</v>
      </c>
      <c r="AV696" s="4">
        <v>0</v>
      </c>
      <c r="AW696" s="4">
        <v>0</v>
      </c>
      <c r="AX696" s="4">
        <v>0</v>
      </c>
      <c r="AY696" s="5">
        <v>0</v>
      </c>
      <c r="AZ696" s="5">
        <v>0</v>
      </c>
      <c r="BA696" s="5">
        <v>0</v>
      </c>
      <c r="BB696" s="2"/>
      <c r="BC696" t="s">
        <v>0</v>
      </c>
      <c r="BD696" s="5">
        <v>1</v>
      </c>
      <c r="BE696" t="s">
        <v>0</v>
      </c>
      <c r="BF696" t="s">
        <v>364</v>
      </c>
      <c r="BG696" t="s">
        <v>17</v>
      </c>
      <c r="BH696" t="s">
        <v>0</v>
      </c>
      <c r="BI696" t="s">
        <v>11</v>
      </c>
      <c r="BJ696" t="s">
        <v>0</v>
      </c>
      <c r="BK696" t="s">
        <v>0</v>
      </c>
      <c r="BL696" s="5">
        <v>0</v>
      </c>
      <c r="BM696" t="s">
        <v>0</v>
      </c>
      <c r="BN696" t="s">
        <v>0</v>
      </c>
      <c r="BO696" t="s">
        <v>0</v>
      </c>
      <c r="BP696" t="s">
        <v>17</v>
      </c>
      <c r="BQ696" t="s">
        <v>0</v>
      </c>
      <c r="BR696" t="s">
        <v>17</v>
      </c>
      <c r="BS696" t="s">
        <v>17</v>
      </c>
      <c r="BT696" t="s">
        <v>0</v>
      </c>
      <c r="BU696" t="s">
        <v>0</v>
      </c>
      <c r="BV696" t="s">
        <v>0</v>
      </c>
      <c r="BW696" t="s">
        <v>0</v>
      </c>
      <c r="BX696" t="s">
        <v>0</v>
      </c>
      <c r="BY696" t="s">
        <v>0</v>
      </c>
      <c r="BZ696" t="s">
        <v>0</v>
      </c>
      <c r="CA696" t="s">
        <v>0</v>
      </c>
      <c r="CB696" t="s">
        <v>0</v>
      </c>
    </row>
    <row r="697" spans="1:80" ht="13.95" customHeight="1" x14ac:dyDescent="0.25">
      <c r="A697" t="s">
        <v>380</v>
      </c>
      <c r="B697" s="2">
        <v>46001</v>
      </c>
      <c r="C697" s="2">
        <v>46001</v>
      </c>
      <c r="D697" s="2">
        <v>46032</v>
      </c>
      <c r="E697" t="s">
        <v>2</v>
      </c>
      <c r="F697" t="s">
        <v>3</v>
      </c>
      <c r="G697" t="s">
        <v>0</v>
      </c>
      <c r="H697" t="s">
        <v>4</v>
      </c>
      <c r="I697" t="s">
        <v>363</v>
      </c>
      <c r="J697" t="s">
        <v>6</v>
      </c>
      <c r="K697" t="s">
        <v>189</v>
      </c>
      <c r="L697" t="s">
        <v>43</v>
      </c>
      <c r="M697" t="s">
        <v>44</v>
      </c>
      <c r="N697" t="s">
        <v>10</v>
      </c>
      <c r="O697" t="s">
        <v>0</v>
      </c>
      <c r="P697" t="s">
        <v>11</v>
      </c>
      <c r="Q697" s="5">
        <v>13</v>
      </c>
      <c r="R697" s="4">
        <v>46400</v>
      </c>
      <c r="S697" s="5">
        <v>1</v>
      </c>
      <c r="T697" s="4">
        <v>603200</v>
      </c>
      <c r="U697" s="5">
        <v>0</v>
      </c>
      <c r="V697" s="4">
        <v>0</v>
      </c>
      <c r="W697" s="5">
        <v>0</v>
      </c>
      <c r="X697" s="4">
        <v>0</v>
      </c>
      <c r="Y697" s="4">
        <f t="shared" si="20"/>
        <v>603200</v>
      </c>
      <c r="Z697" s="6" t="s">
        <v>0</v>
      </c>
      <c r="AA697" t="s">
        <v>2</v>
      </c>
      <c r="AB697" t="s">
        <v>12</v>
      </c>
      <c r="AC697">
        <f>_xlfn.XLOOKUP(AB697,'[1]GST Codes'!$A:$A,'[1]GST Codes'!$C:$C,0,0)</f>
        <v>18</v>
      </c>
      <c r="AD697">
        <f t="shared" si="21"/>
        <v>711776</v>
      </c>
      <c r="AE697" t="s">
        <v>13</v>
      </c>
      <c r="AF697" t="s">
        <v>0</v>
      </c>
      <c r="AG697" t="s">
        <v>14</v>
      </c>
      <c r="AH697" t="s">
        <v>15</v>
      </c>
      <c r="AI697" t="s">
        <v>85</v>
      </c>
      <c r="AJ697" t="s">
        <v>17</v>
      </c>
      <c r="AK697" t="s">
        <v>18</v>
      </c>
      <c r="AL697" t="s">
        <v>19</v>
      </c>
      <c r="AM697" t="s">
        <v>363</v>
      </c>
      <c r="AN697" t="s">
        <v>0</v>
      </c>
      <c r="AO697" t="s">
        <v>0</v>
      </c>
      <c r="AP697" t="s">
        <v>0</v>
      </c>
      <c r="AQ697" s="5">
        <v>13</v>
      </c>
      <c r="AR697" t="s">
        <v>11</v>
      </c>
      <c r="AS697" t="s">
        <v>0</v>
      </c>
      <c r="AT697" t="s">
        <v>17</v>
      </c>
      <c r="AU697" s="4">
        <v>0</v>
      </c>
      <c r="AV697" s="4">
        <v>0</v>
      </c>
      <c r="AW697" s="4">
        <v>0</v>
      </c>
      <c r="AX697" s="4">
        <v>0</v>
      </c>
      <c r="AY697" s="5">
        <v>0</v>
      </c>
      <c r="AZ697" s="5">
        <v>0</v>
      </c>
      <c r="BA697" s="5">
        <v>0</v>
      </c>
      <c r="BB697" s="2"/>
      <c r="BC697" t="s">
        <v>0</v>
      </c>
      <c r="BD697" s="5">
        <v>1</v>
      </c>
      <c r="BE697" t="s">
        <v>0</v>
      </c>
      <c r="BF697" t="s">
        <v>364</v>
      </c>
      <c r="BG697" t="s">
        <v>17</v>
      </c>
      <c r="BH697" t="s">
        <v>0</v>
      </c>
      <c r="BI697" t="s">
        <v>11</v>
      </c>
      <c r="BJ697" t="s">
        <v>0</v>
      </c>
      <c r="BK697" t="s">
        <v>0</v>
      </c>
      <c r="BL697" s="5">
        <v>0</v>
      </c>
      <c r="BM697" t="s">
        <v>0</v>
      </c>
      <c r="BN697" t="s">
        <v>0</v>
      </c>
      <c r="BO697" t="s">
        <v>0</v>
      </c>
      <c r="BP697" t="s">
        <v>17</v>
      </c>
      <c r="BQ697" t="s">
        <v>0</v>
      </c>
      <c r="BR697" t="s">
        <v>17</v>
      </c>
      <c r="BS697" t="s">
        <v>17</v>
      </c>
      <c r="BT697" t="s">
        <v>0</v>
      </c>
      <c r="BU697" t="s">
        <v>0</v>
      </c>
      <c r="BV697" t="s">
        <v>0</v>
      </c>
      <c r="BW697" t="s">
        <v>0</v>
      </c>
      <c r="BX697" t="s">
        <v>0</v>
      </c>
      <c r="BY697" t="s">
        <v>0</v>
      </c>
      <c r="BZ697" t="s">
        <v>0</v>
      </c>
      <c r="CA697" t="s">
        <v>0</v>
      </c>
      <c r="CB697" t="s">
        <v>0</v>
      </c>
    </row>
    <row r="698" spans="1:80" ht="13.95" customHeight="1" x14ac:dyDescent="0.25">
      <c r="A698" t="s">
        <v>380</v>
      </c>
      <c r="B698" s="2">
        <v>46001</v>
      </c>
      <c r="C698" s="2">
        <v>46001</v>
      </c>
      <c r="D698" s="2">
        <v>46032</v>
      </c>
      <c r="E698" t="s">
        <v>2</v>
      </c>
      <c r="F698" t="s">
        <v>3</v>
      </c>
      <c r="G698" t="s">
        <v>0</v>
      </c>
      <c r="H698" t="s">
        <v>4</v>
      </c>
      <c r="I698" t="s">
        <v>363</v>
      </c>
      <c r="J698" t="s">
        <v>6</v>
      </c>
      <c r="K698" t="s">
        <v>193</v>
      </c>
      <c r="L698" t="s">
        <v>43</v>
      </c>
      <c r="M698" t="s">
        <v>44</v>
      </c>
      <c r="N698" t="s">
        <v>10</v>
      </c>
      <c r="O698" t="s">
        <v>0</v>
      </c>
      <c r="P698" t="s">
        <v>11</v>
      </c>
      <c r="Q698" s="5">
        <v>13</v>
      </c>
      <c r="R698" s="4">
        <v>46400</v>
      </c>
      <c r="S698" s="5">
        <v>1</v>
      </c>
      <c r="T698" s="4">
        <v>603200</v>
      </c>
      <c r="U698" s="5">
        <v>0</v>
      </c>
      <c r="V698" s="4">
        <v>0</v>
      </c>
      <c r="W698" s="5">
        <v>0</v>
      </c>
      <c r="X698" s="4">
        <v>0</v>
      </c>
      <c r="Y698" s="4">
        <f t="shared" si="20"/>
        <v>603200</v>
      </c>
      <c r="Z698" s="6" t="s">
        <v>0</v>
      </c>
      <c r="AA698" t="s">
        <v>2</v>
      </c>
      <c r="AB698" t="s">
        <v>12</v>
      </c>
      <c r="AC698">
        <f>_xlfn.XLOOKUP(AB698,'[1]GST Codes'!$A:$A,'[1]GST Codes'!$C:$C,0,0)</f>
        <v>18</v>
      </c>
      <c r="AD698">
        <f t="shared" si="21"/>
        <v>711776</v>
      </c>
      <c r="AE698" t="s">
        <v>13</v>
      </c>
      <c r="AF698" t="s">
        <v>0</v>
      </c>
      <c r="AG698" t="s">
        <v>14</v>
      </c>
      <c r="AH698" t="s">
        <v>15</v>
      </c>
      <c r="AI698" t="s">
        <v>85</v>
      </c>
      <c r="AJ698" t="s">
        <v>17</v>
      </c>
      <c r="AK698" t="s">
        <v>18</v>
      </c>
      <c r="AL698" t="s">
        <v>19</v>
      </c>
      <c r="AM698" t="s">
        <v>363</v>
      </c>
      <c r="AN698" t="s">
        <v>0</v>
      </c>
      <c r="AO698" t="s">
        <v>0</v>
      </c>
      <c r="AP698" t="s">
        <v>0</v>
      </c>
      <c r="AQ698" s="5">
        <v>13</v>
      </c>
      <c r="AR698" t="s">
        <v>11</v>
      </c>
      <c r="AS698" t="s">
        <v>0</v>
      </c>
      <c r="AT698" t="s">
        <v>17</v>
      </c>
      <c r="AU698" s="4">
        <v>0</v>
      </c>
      <c r="AV698" s="4">
        <v>0</v>
      </c>
      <c r="AW698" s="4">
        <v>0</v>
      </c>
      <c r="AX698" s="4">
        <v>0</v>
      </c>
      <c r="AY698" s="5">
        <v>0</v>
      </c>
      <c r="AZ698" s="5">
        <v>0</v>
      </c>
      <c r="BA698" s="5">
        <v>0</v>
      </c>
      <c r="BB698" s="2"/>
      <c r="BC698" t="s">
        <v>0</v>
      </c>
      <c r="BD698" s="5">
        <v>1</v>
      </c>
      <c r="BE698" t="s">
        <v>0</v>
      </c>
      <c r="BF698" t="s">
        <v>364</v>
      </c>
      <c r="BG698" t="s">
        <v>17</v>
      </c>
      <c r="BH698" t="s">
        <v>0</v>
      </c>
      <c r="BI698" t="s">
        <v>11</v>
      </c>
      <c r="BJ698" t="s">
        <v>0</v>
      </c>
      <c r="BK698" t="s">
        <v>0</v>
      </c>
      <c r="BL698" s="5">
        <v>0</v>
      </c>
      <c r="BM698" t="s">
        <v>0</v>
      </c>
      <c r="BN698" t="s">
        <v>0</v>
      </c>
      <c r="BO698" t="s">
        <v>0</v>
      </c>
      <c r="BP698" t="s">
        <v>17</v>
      </c>
      <c r="BQ698" t="s">
        <v>0</v>
      </c>
      <c r="BR698" t="s">
        <v>17</v>
      </c>
      <c r="BS698" t="s">
        <v>17</v>
      </c>
      <c r="BT698" t="s">
        <v>0</v>
      </c>
      <c r="BU698" t="s">
        <v>0</v>
      </c>
      <c r="BV698" t="s">
        <v>0</v>
      </c>
      <c r="BW698" t="s">
        <v>0</v>
      </c>
      <c r="BX698" t="s">
        <v>0</v>
      </c>
      <c r="BY698" t="s">
        <v>0</v>
      </c>
      <c r="BZ698" t="s">
        <v>0</v>
      </c>
      <c r="CA698" t="s">
        <v>0</v>
      </c>
      <c r="CB698" t="s">
        <v>0</v>
      </c>
    </row>
    <row r="699" spans="1:80" ht="13.95" customHeight="1" x14ac:dyDescent="0.25">
      <c r="A699" t="s">
        <v>380</v>
      </c>
      <c r="B699" s="2">
        <v>46001</v>
      </c>
      <c r="C699" s="2">
        <v>46001</v>
      </c>
      <c r="D699" s="2">
        <v>46032</v>
      </c>
      <c r="E699" t="s">
        <v>2</v>
      </c>
      <c r="F699" t="s">
        <v>3</v>
      </c>
      <c r="G699" t="s">
        <v>0</v>
      </c>
      <c r="H699" t="s">
        <v>4</v>
      </c>
      <c r="I699" t="s">
        <v>363</v>
      </c>
      <c r="J699" t="s">
        <v>6</v>
      </c>
      <c r="K699" t="s">
        <v>197</v>
      </c>
      <c r="L699" t="s">
        <v>43</v>
      </c>
      <c r="M699" t="s">
        <v>44</v>
      </c>
      <c r="N699" t="s">
        <v>10</v>
      </c>
      <c r="O699" t="s">
        <v>0</v>
      </c>
      <c r="P699" t="s">
        <v>11</v>
      </c>
      <c r="Q699" s="5">
        <v>15</v>
      </c>
      <c r="R699" s="4">
        <v>46400</v>
      </c>
      <c r="S699" s="5">
        <v>1</v>
      </c>
      <c r="T699" s="4">
        <v>696000</v>
      </c>
      <c r="U699" s="5">
        <v>0</v>
      </c>
      <c r="V699" s="4">
        <v>0</v>
      </c>
      <c r="W699" s="5">
        <v>0</v>
      </c>
      <c r="X699" s="4">
        <v>0</v>
      </c>
      <c r="Y699" s="4">
        <f t="shared" si="20"/>
        <v>696000</v>
      </c>
      <c r="Z699" s="6" t="s">
        <v>0</v>
      </c>
      <c r="AA699" t="s">
        <v>2</v>
      </c>
      <c r="AB699" t="s">
        <v>12</v>
      </c>
      <c r="AC699">
        <f>_xlfn.XLOOKUP(AB699,'[1]GST Codes'!$A:$A,'[1]GST Codes'!$C:$C,0,0)</f>
        <v>18</v>
      </c>
      <c r="AD699">
        <f t="shared" si="21"/>
        <v>821280</v>
      </c>
      <c r="AE699" t="s">
        <v>13</v>
      </c>
      <c r="AF699" t="s">
        <v>0</v>
      </c>
      <c r="AG699" t="s">
        <v>14</v>
      </c>
      <c r="AH699" t="s">
        <v>15</v>
      </c>
      <c r="AI699" t="s">
        <v>85</v>
      </c>
      <c r="AJ699" t="s">
        <v>17</v>
      </c>
      <c r="AK699" t="s">
        <v>18</v>
      </c>
      <c r="AL699" t="s">
        <v>19</v>
      </c>
      <c r="AM699" t="s">
        <v>363</v>
      </c>
      <c r="AN699" t="s">
        <v>0</v>
      </c>
      <c r="AO699" t="s">
        <v>0</v>
      </c>
      <c r="AP699" t="s">
        <v>0</v>
      </c>
      <c r="AQ699" s="5">
        <v>15</v>
      </c>
      <c r="AR699" t="s">
        <v>11</v>
      </c>
      <c r="AS699" t="s">
        <v>0</v>
      </c>
      <c r="AT699" t="s">
        <v>17</v>
      </c>
      <c r="AU699" s="4">
        <v>0</v>
      </c>
      <c r="AV699" s="4">
        <v>0</v>
      </c>
      <c r="AW699" s="4">
        <v>0</v>
      </c>
      <c r="AX699" s="4">
        <v>0</v>
      </c>
      <c r="AY699" s="5">
        <v>0</v>
      </c>
      <c r="AZ699" s="5">
        <v>0</v>
      </c>
      <c r="BA699" s="5">
        <v>0</v>
      </c>
      <c r="BB699" s="2"/>
      <c r="BC699" t="s">
        <v>0</v>
      </c>
      <c r="BD699" s="5">
        <v>1</v>
      </c>
      <c r="BE699" t="s">
        <v>0</v>
      </c>
      <c r="BF699" t="s">
        <v>364</v>
      </c>
      <c r="BG699" t="s">
        <v>17</v>
      </c>
      <c r="BH699" t="s">
        <v>0</v>
      </c>
      <c r="BI699" t="s">
        <v>11</v>
      </c>
      <c r="BJ699" t="s">
        <v>0</v>
      </c>
      <c r="BK699" t="s">
        <v>0</v>
      </c>
      <c r="BL699" s="5">
        <v>0</v>
      </c>
      <c r="BM699" t="s">
        <v>0</v>
      </c>
      <c r="BN699" t="s">
        <v>0</v>
      </c>
      <c r="BO699" t="s">
        <v>0</v>
      </c>
      <c r="BP699" t="s">
        <v>17</v>
      </c>
      <c r="BQ699" t="s">
        <v>0</v>
      </c>
      <c r="BR699" t="s">
        <v>17</v>
      </c>
      <c r="BS699" t="s">
        <v>17</v>
      </c>
      <c r="BT699" t="s">
        <v>0</v>
      </c>
      <c r="BU699" t="s">
        <v>0</v>
      </c>
      <c r="BV699" t="s">
        <v>0</v>
      </c>
      <c r="BW699" t="s">
        <v>0</v>
      </c>
      <c r="BX699" t="s">
        <v>0</v>
      </c>
      <c r="BY699" t="s">
        <v>0</v>
      </c>
      <c r="BZ699" t="s">
        <v>0</v>
      </c>
      <c r="CA699" t="s">
        <v>0</v>
      </c>
      <c r="CB699" t="s">
        <v>0</v>
      </c>
    </row>
    <row r="700" spans="1:80" ht="13.95" customHeight="1" x14ac:dyDescent="0.25">
      <c r="A700" t="s">
        <v>380</v>
      </c>
      <c r="B700" s="2">
        <v>46001</v>
      </c>
      <c r="C700" s="2">
        <v>46001</v>
      </c>
      <c r="D700" s="2">
        <v>46032</v>
      </c>
      <c r="E700" t="s">
        <v>2</v>
      </c>
      <c r="F700" t="s">
        <v>3</v>
      </c>
      <c r="G700" t="s">
        <v>0</v>
      </c>
      <c r="H700" t="s">
        <v>4</v>
      </c>
      <c r="I700" t="s">
        <v>363</v>
      </c>
      <c r="J700" t="s">
        <v>6</v>
      </c>
      <c r="K700" t="s">
        <v>201</v>
      </c>
      <c r="L700" t="s">
        <v>354</v>
      </c>
      <c r="M700" t="s">
        <v>338</v>
      </c>
      <c r="N700" t="s">
        <v>10</v>
      </c>
      <c r="O700" t="s">
        <v>0</v>
      </c>
      <c r="P700" t="s">
        <v>11</v>
      </c>
      <c r="Q700" s="5">
        <v>15</v>
      </c>
      <c r="R700" s="4">
        <v>46400</v>
      </c>
      <c r="S700" s="5">
        <v>1</v>
      </c>
      <c r="T700" s="4">
        <v>696000</v>
      </c>
      <c r="U700" s="5">
        <v>0</v>
      </c>
      <c r="V700" s="4">
        <v>0</v>
      </c>
      <c r="W700" s="5">
        <v>0</v>
      </c>
      <c r="X700" s="4">
        <v>0</v>
      </c>
      <c r="Y700" s="4">
        <f t="shared" si="20"/>
        <v>696000</v>
      </c>
      <c r="Z700" s="6" t="s">
        <v>0</v>
      </c>
      <c r="AA700" t="s">
        <v>2</v>
      </c>
      <c r="AB700" t="s">
        <v>12</v>
      </c>
      <c r="AC700">
        <f>_xlfn.XLOOKUP(AB700,'[1]GST Codes'!$A:$A,'[1]GST Codes'!$C:$C,0,0)</f>
        <v>18</v>
      </c>
      <c r="AD700">
        <f t="shared" si="21"/>
        <v>821280</v>
      </c>
      <c r="AE700" t="s">
        <v>13</v>
      </c>
      <c r="AF700" t="s">
        <v>0</v>
      </c>
      <c r="AG700" t="s">
        <v>14</v>
      </c>
      <c r="AH700" t="s">
        <v>15</v>
      </c>
      <c r="AI700" t="s">
        <v>85</v>
      </c>
      <c r="AJ700" t="s">
        <v>17</v>
      </c>
      <c r="AK700" t="s">
        <v>18</v>
      </c>
      <c r="AL700" t="s">
        <v>19</v>
      </c>
      <c r="AM700" t="s">
        <v>363</v>
      </c>
      <c r="AN700" t="s">
        <v>0</v>
      </c>
      <c r="AO700" t="s">
        <v>0</v>
      </c>
      <c r="AP700" t="s">
        <v>0</v>
      </c>
      <c r="AQ700" s="5">
        <v>15</v>
      </c>
      <c r="AR700" t="s">
        <v>11</v>
      </c>
      <c r="AS700" t="s">
        <v>0</v>
      </c>
      <c r="AT700" t="s">
        <v>17</v>
      </c>
      <c r="AU700" s="4">
        <v>0</v>
      </c>
      <c r="AV700" s="4">
        <v>0</v>
      </c>
      <c r="AW700" s="4">
        <v>0</v>
      </c>
      <c r="AX700" s="4">
        <v>0</v>
      </c>
      <c r="AY700" s="5">
        <v>0</v>
      </c>
      <c r="AZ700" s="5">
        <v>0</v>
      </c>
      <c r="BA700" s="5">
        <v>0</v>
      </c>
      <c r="BB700" s="2"/>
      <c r="BC700" t="s">
        <v>0</v>
      </c>
      <c r="BD700" s="5">
        <v>1</v>
      </c>
      <c r="BE700" t="s">
        <v>0</v>
      </c>
      <c r="BF700" t="s">
        <v>371</v>
      </c>
      <c r="BG700" t="s">
        <v>17</v>
      </c>
      <c r="BH700" t="s">
        <v>0</v>
      </c>
      <c r="BI700" t="s">
        <v>11</v>
      </c>
      <c r="BJ700" t="s">
        <v>0</v>
      </c>
      <c r="BK700" t="s">
        <v>0</v>
      </c>
      <c r="BL700" s="5">
        <v>0</v>
      </c>
      <c r="BM700" t="s">
        <v>0</v>
      </c>
      <c r="BN700" t="s">
        <v>0</v>
      </c>
      <c r="BO700" t="s">
        <v>0</v>
      </c>
      <c r="BP700" t="s">
        <v>17</v>
      </c>
      <c r="BQ700" t="s">
        <v>0</v>
      </c>
      <c r="BR700" t="s">
        <v>17</v>
      </c>
      <c r="BS700" t="s">
        <v>17</v>
      </c>
      <c r="BT700" t="s">
        <v>0</v>
      </c>
      <c r="BU700" t="s">
        <v>0</v>
      </c>
      <c r="BV700" t="s">
        <v>0</v>
      </c>
      <c r="BW700" t="s">
        <v>0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</row>
    <row r="701" spans="1:80" ht="13.95" customHeight="1" x14ac:dyDescent="0.25">
      <c r="A701" t="s">
        <v>380</v>
      </c>
      <c r="B701" s="2">
        <v>46001</v>
      </c>
      <c r="C701" s="2">
        <v>46001</v>
      </c>
      <c r="D701" s="2">
        <v>46032</v>
      </c>
      <c r="E701" t="s">
        <v>2</v>
      </c>
      <c r="F701" t="s">
        <v>3</v>
      </c>
      <c r="G701" t="s">
        <v>0</v>
      </c>
      <c r="H701" t="s">
        <v>4</v>
      </c>
      <c r="I701" t="s">
        <v>363</v>
      </c>
      <c r="J701" t="s">
        <v>6</v>
      </c>
      <c r="K701" t="s">
        <v>205</v>
      </c>
      <c r="L701" t="s">
        <v>354</v>
      </c>
      <c r="M701" t="s">
        <v>338</v>
      </c>
      <c r="N701" t="s">
        <v>10</v>
      </c>
      <c r="O701" t="s">
        <v>0</v>
      </c>
      <c r="P701" t="s">
        <v>11</v>
      </c>
      <c r="Q701" s="5">
        <v>15</v>
      </c>
      <c r="R701" s="4">
        <v>46400</v>
      </c>
      <c r="S701" s="5">
        <v>1</v>
      </c>
      <c r="T701" s="4">
        <v>696000</v>
      </c>
      <c r="U701" s="5">
        <v>0</v>
      </c>
      <c r="V701" s="4">
        <v>0</v>
      </c>
      <c r="W701" s="5">
        <v>0</v>
      </c>
      <c r="X701" s="4">
        <v>0</v>
      </c>
      <c r="Y701" s="4">
        <f t="shared" si="20"/>
        <v>696000</v>
      </c>
      <c r="Z701" s="6" t="s">
        <v>0</v>
      </c>
      <c r="AA701" t="s">
        <v>2</v>
      </c>
      <c r="AB701" t="s">
        <v>12</v>
      </c>
      <c r="AC701">
        <f>_xlfn.XLOOKUP(AB701,'[1]GST Codes'!$A:$A,'[1]GST Codes'!$C:$C,0,0)</f>
        <v>18</v>
      </c>
      <c r="AD701">
        <f t="shared" si="21"/>
        <v>821280</v>
      </c>
      <c r="AE701" t="s">
        <v>13</v>
      </c>
      <c r="AF701" t="s">
        <v>0</v>
      </c>
      <c r="AG701" t="s">
        <v>14</v>
      </c>
      <c r="AH701" t="s">
        <v>15</v>
      </c>
      <c r="AI701" t="s">
        <v>85</v>
      </c>
      <c r="AJ701" t="s">
        <v>17</v>
      </c>
      <c r="AK701" t="s">
        <v>18</v>
      </c>
      <c r="AL701" t="s">
        <v>19</v>
      </c>
      <c r="AM701" t="s">
        <v>363</v>
      </c>
      <c r="AN701" t="s">
        <v>0</v>
      </c>
      <c r="AO701" t="s">
        <v>0</v>
      </c>
      <c r="AP701" t="s">
        <v>0</v>
      </c>
      <c r="AQ701" s="5">
        <v>15</v>
      </c>
      <c r="AR701" t="s">
        <v>11</v>
      </c>
      <c r="AS701" t="s">
        <v>0</v>
      </c>
      <c r="AT701" t="s">
        <v>17</v>
      </c>
      <c r="AU701" s="4">
        <v>0</v>
      </c>
      <c r="AV701" s="4">
        <v>0</v>
      </c>
      <c r="AW701" s="4">
        <v>0</v>
      </c>
      <c r="AX701" s="4">
        <v>0</v>
      </c>
      <c r="AY701" s="5">
        <v>0</v>
      </c>
      <c r="AZ701" s="5">
        <v>0</v>
      </c>
      <c r="BA701" s="5">
        <v>0</v>
      </c>
      <c r="BB701" s="2"/>
      <c r="BC701" t="s">
        <v>0</v>
      </c>
      <c r="BD701" s="5">
        <v>1</v>
      </c>
      <c r="BE701" t="s">
        <v>0</v>
      </c>
      <c r="BF701" t="s">
        <v>371</v>
      </c>
      <c r="BG701" t="s">
        <v>17</v>
      </c>
      <c r="BH701" t="s">
        <v>0</v>
      </c>
      <c r="BI701" t="s">
        <v>11</v>
      </c>
      <c r="BJ701" t="s">
        <v>0</v>
      </c>
      <c r="BK701" t="s">
        <v>0</v>
      </c>
      <c r="BL701" s="5">
        <v>0</v>
      </c>
      <c r="BM701" t="s">
        <v>0</v>
      </c>
      <c r="BN701" t="s">
        <v>0</v>
      </c>
      <c r="BO701" t="s">
        <v>0</v>
      </c>
      <c r="BP701" t="s">
        <v>17</v>
      </c>
      <c r="BQ701" t="s">
        <v>0</v>
      </c>
      <c r="BR701" t="s">
        <v>17</v>
      </c>
      <c r="BS701" t="s">
        <v>17</v>
      </c>
      <c r="BT701" t="s">
        <v>0</v>
      </c>
      <c r="BU701" t="s">
        <v>0</v>
      </c>
      <c r="BV701" t="s">
        <v>0</v>
      </c>
      <c r="BW701" t="s">
        <v>0</v>
      </c>
      <c r="BX701" t="s">
        <v>0</v>
      </c>
      <c r="BY701" t="s">
        <v>0</v>
      </c>
      <c r="BZ701" t="s">
        <v>0</v>
      </c>
      <c r="CA701" t="s">
        <v>0</v>
      </c>
      <c r="CB701" t="s">
        <v>0</v>
      </c>
    </row>
    <row r="702" spans="1:80" ht="13.95" customHeight="1" x14ac:dyDescent="0.25">
      <c r="A702" t="s">
        <v>380</v>
      </c>
      <c r="B702" s="2">
        <v>46001</v>
      </c>
      <c r="C702" s="2">
        <v>46001</v>
      </c>
      <c r="D702" s="2">
        <v>46032</v>
      </c>
      <c r="E702" t="s">
        <v>2</v>
      </c>
      <c r="F702" t="s">
        <v>3</v>
      </c>
      <c r="G702" t="s">
        <v>0</v>
      </c>
      <c r="H702" t="s">
        <v>4</v>
      </c>
      <c r="I702" t="s">
        <v>363</v>
      </c>
      <c r="J702" t="s">
        <v>6</v>
      </c>
      <c r="K702" t="s">
        <v>209</v>
      </c>
      <c r="L702" t="s">
        <v>354</v>
      </c>
      <c r="M702" t="s">
        <v>338</v>
      </c>
      <c r="N702" t="s">
        <v>10</v>
      </c>
      <c r="O702" t="s">
        <v>0</v>
      </c>
      <c r="P702" t="s">
        <v>11</v>
      </c>
      <c r="Q702" s="5">
        <v>15</v>
      </c>
      <c r="R702" s="4">
        <v>46400</v>
      </c>
      <c r="S702" s="5">
        <v>1</v>
      </c>
      <c r="T702" s="4">
        <v>696000</v>
      </c>
      <c r="U702" s="5">
        <v>0</v>
      </c>
      <c r="V702" s="4">
        <v>0</v>
      </c>
      <c r="W702" s="5">
        <v>0</v>
      </c>
      <c r="X702" s="4">
        <v>0</v>
      </c>
      <c r="Y702" s="4">
        <f t="shared" si="20"/>
        <v>696000</v>
      </c>
      <c r="Z702" s="6" t="s">
        <v>0</v>
      </c>
      <c r="AA702" t="s">
        <v>2</v>
      </c>
      <c r="AB702" t="s">
        <v>12</v>
      </c>
      <c r="AC702">
        <f>_xlfn.XLOOKUP(AB702,'[1]GST Codes'!$A:$A,'[1]GST Codes'!$C:$C,0,0)</f>
        <v>18</v>
      </c>
      <c r="AD702">
        <f t="shared" si="21"/>
        <v>821280</v>
      </c>
      <c r="AE702" t="s">
        <v>13</v>
      </c>
      <c r="AF702" t="s">
        <v>0</v>
      </c>
      <c r="AG702" t="s">
        <v>14</v>
      </c>
      <c r="AH702" t="s">
        <v>15</v>
      </c>
      <c r="AI702" t="s">
        <v>85</v>
      </c>
      <c r="AJ702" t="s">
        <v>17</v>
      </c>
      <c r="AK702" t="s">
        <v>18</v>
      </c>
      <c r="AL702" t="s">
        <v>19</v>
      </c>
      <c r="AM702" t="s">
        <v>363</v>
      </c>
      <c r="AN702" t="s">
        <v>0</v>
      </c>
      <c r="AO702" t="s">
        <v>0</v>
      </c>
      <c r="AP702" t="s">
        <v>0</v>
      </c>
      <c r="AQ702" s="5">
        <v>15</v>
      </c>
      <c r="AR702" t="s">
        <v>11</v>
      </c>
      <c r="AS702" t="s">
        <v>0</v>
      </c>
      <c r="AT702" t="s">
        <v>17</v>
      </c>
      <c r="AU702" s="4">
        <v>0</v>
      </c>
      <c r="AV702" s="4">
        <v>0</v>
      </c>
      <c r="AW702" s="4">
        <v>0</v>
      </c>
      <c r="AX702" s="4">
        <v>0</v>
      </c>
      <c r="AY702" s="5">
        <v>0</v>
      </c>
      <c r="AZ702" s="5">
        <v>0</v>
      </c>
      <c r="BA702" s="5">
        <v>0</v>
      </c>
      <c r="BB702" s="2"/>
      <c r="BC702" t="s">
        <v>0</v>
      </c>
      <c r="BD702" s="5">
        <v>1</v>
      </c>
      <c r="BE702" t="s">
        <v>0</v>
      </c>
      <c r="BF702" t="s">
        <v>371</v>
      </c>
      <c r="BG702" t="s">
        <v>17</v>
      </c>
      <c r="BH702" t="s">
        <v>0</v>
      </c>
      <c r="BI702" t="s">
        <v>11</v>
      </c>
      <c r="BJ702" t="s">
        <v>0</v>
      </c>
      <c r="BK702" t="s">
        <v>0</v>
      </c>
      <c r="BL702" s="5">
        <v>0</v>
      </c>
      <c r="BM702" t="s">
        <v>0</v>
      </c>
      <c r="BN702" t="s">
        <v>0</v>
      </c>
      <c r="BO702" t="s">
        <v>0</v>
      </c>
      <c r="BP702" t="s">
        <v>17</v>
      </c>
      <c r="BQ702" t="s">
        <v>0</v>
      </c>
      <c r="BR702" t="s">
        <v>17</v>
      </c>
      <c r="BS702" t="s">
        <v>17</v>
      </c>
      <c r="BT702" t="s">
        <v>0</v>
      </c>
      <c r="BU702" t="s">
        <v>0</v>
      </c>
      <c r="BV702" t="s">
        <v>0</v>
      </c>
      <c r="BW702" t="s">
        <v>0</v>
      </c>
      <c r="BX702" t="s">
        <v>0</v>
      </c>
      <c r="BY702" t="s">
        <v>0</v>
      </c>
      <c r="BZ702" t="s">
        <v>0</v>
      </c>
      <c r="CA702" t="s">
        <v>0</v>
      </c>
      <c r="CB702" t="s">
        <v>0</v>
      </c>
    </row>
    <row r="703" spans="1:80" ht="13.95" customHeight="1" x14ac:dyDescent="0.25">
      <c r="A703" t="s">
        <v>380</v>
      </c>
      <c r="B703" s="2">
        <v>46001</v>
      </c>
      <c r="C703" s="2">
        <v>46001</v>
      </c>
      <c r="D703" s="2">
        <v>46032</v>
      </c>
      <c r="E703" t="s">
        <v>2</v>
      </c>
      <c r="F703" t="s">
        <v>3</v>
      </c>
      <c r="G703" t="s">
        <v>0</v>
      </c>
      <c r="H703" t="s">
        <v>4</v>
      </c>
      <c r="I703" t="s">
        <v>363</v>
      </c>
      <c r="J703" t="s">
        <v>6</v>
      </c>
      <c r="K703" t="s">
        <v>213</v>
      </c>
      <c r="L703" t="s">
        <v>354</v>
      </c>
      <c r="M703" t="s">
        <v>338</v>
      </c>
      <c r="N703" t="s">
        <v>10</v>
      </c>
      <c r="O703" t="s">
        <v>0</v>
      </c>
      <c r="P703" t="s">
        <v>11</v>
      </c>
      <c r="Q703" s="5">
        <v>15</v>
      </c>
      <c r="R703" s="4">
        <v>46400</v>
      </c>
      <c r="S703" s="5">
        <v>1</v>
      </c>
      <c r="T703" s="4">
        <v>696000</v>
      </c>
      <c r="U703" s="5">
        <v>0</v>
      </c>
      <c r="V703" s="4">
        <v>0</v>
      </c>
      <c r="W703" s="5">
        <v>0</v>
      </c>
      <c r="X703" s="4">
        <v>0</v>
      </c>
      <c r="Y703" s="4">
        <f t="shared" si="20"/>
        <v>696000</v>
      </c>
      <c r="Z703" s="6" t="s">
        <v>0</v>
      </c>
      <c r="AA703" t="s">
        <v>2</v>
      </c>
      <c r="AB703" t="s">
        <v>12</v>
      </c>
      <c r="AC703">
        <f>_xlfn.XLOOKUP(AB703,'[1]GST Codes'!$A:$A,'[1]GST Codes'!$C:$C,0,0)</f>
        <v>18</v>
      </c>
      <c r="AD703">
        <f t="shared" si="21"/>
        <v>821280</v>
      </c>
      <c r="AE703" t="s">
        <v>13</v>
      </c>
      <c r="AF703" t="s">
        <v>0</v>
      </c>
      <c r="AG703" t="s">
        <v>14</v>
      </c>
      <c r="AH703" t="s">
        <v>15</v>
      </c>
      <c r="AI703" t="s">
        <v>85</v>
      </c>
      <c r="AJ703" t="s">
        <v>17</v>
      </c>
      <c r="AK703" t="s">
        <v>18</v>
      </c>
      <c r="AL703" t="s">
        <v>19</v>
      </c>
      <c r="AM703" t="s">
        <v>363</v>
      </c>
      <c r="AN703" t="s">
        <v>0</v>
      </c>
      <c r="AO703" t="s">
        <v>0</v>
      </c>
      <c r="AP703" t="s">
        <v>0</v>
      </c>
      <c r="AQ703" s="5">
        <v>15</v>
      </c>
      <c r="AR703" t="s">
        <v>11</v>
      </c>
      <c r="AS703" t="s">
        <v>0</v>
      </c>
      <c r="AT703" t="s">
        <v>17</v>
      </c>
      <c r="AU703" s="4">
        <v>0</v>
      </c>
      <c r="AV703" s="4">
        <v>0</v>
      </c>
      <c r="AW703" s="4">
        <v>0</v>
      </c>
      <c r="AX703" s="4">
        <v>0</v>
      </c>
      <c r="AY703" s="5">
        <v>0</v>
      </c>
      <c r="AZ703" s="5">
        <v>0</v>
      </c>
      <c r="BA703" s="5">
        <v>0</v>
      </c>
      <c r="BB703" s="2"/>
      <c r="BC703" t="s">
        <v>0</v>
      </c>
      <c r="BD703" s="5">
        <v>1</v>
      </c>
      <c r="BE703" t="s">
        <v>0</v>
      </c>
      <c r="BF703" t="s">
        <v>371</v>
      </c>
      <c r="BG703" t="s">
        <v>17</v>
      </c>
      <c r="BH703" t="s">
        <v>0</v>
      </c>
      <c r="BI703" t="s">
        <v>11</v>
      </c>
      <c r="BJ703" t="s">
        <v>0</v>
      </c>
      <c r="BK703" t="s">
        <v>0</v>
      </c>
      <c r="BL703" s="5">
        <v>0</v>
      </c>
      <c r="BM703" t="s">
        <v>0</v>
      </c>
      <c r="BN703" t="s">
        <v>0</v>
      </c>
      <c r="BO703" t="s">
        <v>0</v>
      </c>
      <c r="BP703" t="s">
        <v>17</v>
      </c>
      <c r="BQ703" t="s">
        <v>0</v>
      </c>
      <c r="BR703" t="s">
        <v>17</v>
      </c>
      <c r="BS703" t="s">
        <v>17</v>
      </c>
      <c r="BT703" t="s">
        <v>0</v>
      </c>
      <c r="BU703" t="s">
        <v>0</v>
      </c>
      <c r="BV703" t="s">
        <v>0</v>
      </c>
      <c r="BW703" t="s">
        <v>0</v>
      </c>
      <c r="BX703" t="s">
        <v>0</v>
      </c>
      <c r="BY703" t="s">
        <v>0</v>
      </c>
      <c r="BZ703" t="s">
        <v>0</v>
      </c>
      <c r="CA703" t="s">
        <v>0</v>
      </c>
      <c r="CB703" t="s">
        <v>0</v>
      </c>
    </row>
    <row r="704" spans="1:80" ht="13.95" customHeight="1" x14ac:dyDescent="0.25">
      <c r="A704" t="s">
        <v>380</v>
      </c>
      <c r="B704" s="2">
        <v>46001</v>
      </c>
      <c r="C704" s="2">
        <v>46001</v>
      </c>
      <c r="D704" s="2">
        <v>46032</v>
      </c>
      <c r="E704" t="s">
        <v>2</v>
      </c>
      <c r="F704" t="s">
        <v>3</v>
      </c>
      <c r="G704" t="s">
        <v>0</v>
      </c>
      <c r="H704" t="s">
        <v>4</v>
      </c>
      <c r="I704" t="s">
        <v>363</v>
      </c>
      <c r="J704" t="s">
        <v>6</v>
      </c>
      <c r="K704" t="s">
        <v>215</v>
      </c>
      <c r="L704" t="s">
        <v>354</v>
      </c>
      <c r="M704" t="s">
        <v>338</v>
      </c>
      <c r="N704" t="s">
        <v>10</v>
      </c>
      <c r="O704" t="s">
        <v>0</v>
      </c>
      <c r="P704" t="s">
        <v>11</v>
      </c>
      <c r="Q704" s="5">
        <v>15</v>
      </c>
      <c r="R704" s="4">
        <v>46400</v>
      </c>
      <c r="S704" s="5">
        <v>1</v>
      </c>
      <c r="T704" s="4">
        <v>696000</v>
      </c>
      <c r="U704" s="5">
        <v>0</v>
      </c>
      <c r="V704" s="4">
        <v>0</v>
      </c>
      <c r="W704" s="5">
        <v>0</v>
      </c>
      <c r="X704" s="4">
        <v>0</v>
      </c>
      <c r="Y704" s="4">
        <f t="shared" si="20"/>
        <v>696000</v>
      </c>
      <c r="Z704" s="6" t="s">
        <v>0</v>
      </c>
      <c r="AA704" t="s">
        <v>2</v>
      </c>
      <c r="AB704" t="s">
        <v>12</v>
      </c>
      <c r="AC704">
        <f>_xlfn.XLOOKUP(AB704,'[1]GST Codes'!$A:$A,'[1]GST Codes'!$C:$C,0,0)</f>
        <v>18</v>
      </c>
      <c r="AD704">
        <f t="shared" si="21"/>
        <v>821280</v>
      </c>
      <c r="AE704" t="s">
        <v>13</v>
      </c>
      <c r="AF704" t="s">
        <v>0</v>
      </c>
      <c r="AG704" t="s">
        <v>14</v>
      </c>
      <c r="AH704" t="s">
        <v>15</v>
      </c>
      <c r="AI704" t="s">
        <v>85</v>
      </c>
      <c r="AJ704" t="s">
        <v>17</v>
      </c>
      <c r="AK704" t="s">
        <v>18</v>
      </c>
      <c r="AL704" t="s">
        <v>19</v>
      </c>
      <c r="AM704" t="s">
        <v>363</v>
      </c>
      <c r="AN704" t="s">
        <v>0</v>
      </c>
      <c r="AO704" t="s">
        <v>0</v>
      </c>
      <c r="AP704" t="s">
        <v>0</v>
      </c>
      <c r="AQ704" s="5">
        <v>15</v>
      </c>
      <c r="AR704" t="s">
        <v>11</v>
      </c>
      <c r="AS704" t="s">
        <v>0</v>
      </c>
      <c r="AT704" t="s">
        <v>17</v>
      </c>
      <c r="AU704" s="4">
        <v>0</v>
      </c>
      <c r="AV704" s="4">
        <v>0</v>
      </c>
      <c r="AW704" s="4">
        <v>0</v>
      </c>
      <c r="AX704" s="4">
        <v>0</v>
      </c>
      <c r="AY704" s="5">
        <v>0</v>
      </c>
      <c r="AZ704" s="5">
        <v>0</v>
      </c>
      <c r="BA704" s="5">
        <v>0</v>
      </c>
      <c r="BB704" s="2"/>
      <c r="BC704" t="s">
        <v>0</v>
      </c>
      <c r="BD704" s="5">
        <v>1</v>
      </c>
      <c r="BE704" t="s">
        <v>0</v>
      </c>
      <c r="BF704" t="s">
        <v>371</v>
      </c>
      <c r="BG704" t="s">
        <v>17</v>
      </c>
      <c r="BH704" t="s">
        <v>0</v>
      </c>
      <c r="BI704" t="s">
        <v>11</v>
      </c>
      <c r="BJ704" t="s">
        <v>0</v>
      </c>
      <c r="BK704" t="s">
        <v>0</v>
      </c>
      <c r="BL704" s="5">
        <v>0</v>
      </c>
      <c r="BM704" t="s">
        <v>0</v>
      </c>
      <c r="BN704" t="s">
        <v>0</v>
      </c>
      <c r="BO704" t="s">
        <v>0</v>
      </c>
      <c r="BP704" t="s">
        <v>17</v>
      </c>
      <c r="BQ704" t="s">
        <v>0</v>
      </c>
      <c r="BR704" t="s">
        <v>17</v>
      </c>
      <c r="BS704" t="s">
        <v>17</v>
      </c>
      <c r="BT704" t="s">
        <v>0</v>
      </c>
      <c r="BU704" t="s">
        <v>0</v>
      </c>
      <c r="BV704" t="s">
        <v>0</v>
      </c>
      <c r="BW704" t="s">
        <v>0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</row>
    <row r="705" spans="1:80" ht="13.95" customHeight="1" x14ac:dyDescent="0.25">
      <c r="A705" t="s">
        <v>380</v>
      </c>
      <c r="B705" s="2">
        <v>46001</v>
      </c>
      <c r="C705" s="2">
        <v>46001</v>
      </c>
      <c r="D705" s="2">
        <v>46032</v>
      </c>
      <c r="E705" t="s">
        <v>2</v>
      </c>
      <c r="F705" t="s">
        <v>3</v>
      </c>
      <c r="G705" t="s">
        <v>0</v>
      </c>
      <c r="H705" t="s">
        <v>4</v>
      </c>
      <c r="I705" t="s">
        <v>363</v>
      </c>
      <c r="J705" t="s">
        <v>6</v>
      </c>
      <c r="K705" t="s">
        <v>216</v>
      </c>
      <c r="L705" t="s">
        <v>354</v>
      </c>
      <c r="M705" t="s">
        <v>338</v>
      </c>
      <c r="N705" t="s">
        <v>10</v>
      </c>
      <c r="O705" t="s">
        <v>0</v>
      </c>
      <c r="P705" t="s">
        <v>11</v>
      </c>
      <c r="Q705" s="5">
        <v>15</v>
      </c>
      <c r="R705" s="4">
        <v>46400</v>
      </c>
      <c r="S705" s="5">
        <v>1</v>
      </c>
      <c r="T705" s="4">
        <v>696000</v>
      </c>
      <c r="U705" s="5">
        <v>0</v>
      </c>
      <c r="V705" s="4">
        <v>0</v>
      </c>
      <c r="W705" s="5">
        <v>0</v>
      </c>
      <c r="X705" s="4">
        <v>0</v>
      </c>
      <c r="Y705" s="4">
        <f t="shared" si="20"/>
        <v>696000</v>
      </c>
      <c r="Z705" s="6" t="s">
        <v>0</v>
      </c>
      <c r="AA705" t="s">
        <v>2</v>
      </c>
      <c r="AB705" t="s">
        <v>12</v>
      </c>
      <c r="AC705">
        <f>_xlfn.XLOOKUP(AB705,'[1]GST Codes'!$A:$A,'[1]GST Codes'!$C:$C,0,0)</f>
        <v>18</v>
      </c>
      <c r="AD705">
        <f t="shared" si="21"/>
        <v>821280</v>
      </c>
      <c r="AE705" t="s">
        <v>13</v>
      </c>
      <c r="AF705" t="s">
        <v>0</v>
      </c>
      <c r="AG705" t="s">
        <v>14</v>
      </c>
      <c r="AH705" t="s">
        <v>15</v>
      </c>
      <c r="AI705" t="s">
        <v>85</v>
      </c>
      <c r="AJ705" t="s">
        <v>17</v>
      </c>
      <c r="AK705" t="s">
        <v>18</v>
      </c>
      <c r="AL705" t="s">
        <v>19</v>
      </c>
      <c r="AM705" t="s">
        <v>363</v>
      </c>
      <c r="AN705" t="s">
        <v>0</v>
      </c>
      <c r="AO705" t="s">
        <v>0</v>
      </c>
      <c r="AP705" t="s">
        <v>0</v>
      </c>
      <c r="AQ705" s="5">
        <v>15</v>
      </c>
      <c r="AR705" t="s">
        <v>11</v>
      </c>
      <c r="AS705" t="s">
        <v>0</v>
      </c>
      <c r="AT705" t="s">
        <v>17</v>
      </c>
      <c r="AU705" s="4">
        <v>0</v>
      </c>
      <c r="AV705" s="4">
        <v>0</v>
      </c>
      <c r="AW705" s="4">
        <v>0</v>
      </c>
      <c r="AX705" s="4">
        <v>0</v>
      </c>
      <c r="AY705" s="5">
        <v>0</v>
      </c>
      <c r="AZ705" s="5">
        <v>0</v>
      </c>
      <c r="BA705" s="5">
        <v>0</v>
      </c>
      <c r="BB705" s="2"/>
      <c r="BC705" t="s">
        <v>0</v>
      </c>
      <c r="BD705" s="5">
        <v>1</v>
      </c>
      <c r="BE705" t="s">
        <v>0</v>
      </c>
      <c r="BF705" t="s">
        <v>371</v>
      </c>
      <c r="BG705" t="s">
        <v>17</v>
      </c>
      <c r="BH705" t="s">
        <v>0</v>
      </c>
      <c r="BI705" t="s">
        <v>11</v>
      </c>
      <c r="BJ705" t="s">
        <v>0</v>
      </c>
      <c r="BK705" t="s">
        <v>0</v>
      </c>
      <c r="BL705" s="5">
        <v>0</v>
      </c>
      <c r="BM705" t="s">
        <v>0</v>
      </c>
      <c r="BN705" t="s">
        <v>0</v>
      </c>
      <c r="BO705" t="s">
        <v>0</v>
      </c>
      <c r="BP705" t="s">
        <v>17</v>
      </c>
      <c r="BQ705" t="s">
        <v>0</v>
      </c>
      <c r="BR705" t="s">
        <v>17</v>
      </c>
      <c r="BS705" t="s">
        <v>17</v>
      </c>
      <c r="BT705" t="s">
        <v>0</v>
      </c>
      <c r="BU705" t="s">
        <v>0</v>
      </c>
      <c r="BV705" t="s">
        <v>0</v>
      </c>
      <c r="BW705" t="s">
        <v>0</v>
      </c>
      <c r="BX705" t="s">
        <v>0</v>
      </c>
      <c r="BY705" t="s">
        <v>0</v>
      </c>
      <c r="BZ705" t="s">
        <v>0</v>
      </c>
      <c r="CA705" t="s">
        <v>0</v>
      </c>
      <c r="CB705" t="s">
        <v>0</v>
      </c>
    </row>
    <row r="706" spans="1:80" ht="13.95" customHeight="1" x14ac:dyDescent="0.25">
      <c r="A706" t="s">
        <v>381</v>
      </c>
      <c r="B706" s="2">
        <v>46060</v>
      </c>
      <c r="C706" s="2">
        <v>46060</v>
      </c>
      <c r="D706" s="2">
        <v>46088</v>
      </c>
      <c r="E706" t="s">
        <v>2</v>
      </c>
      <c r="F706" t="s">
        <v>3</v>
      </c>
      <c r="G706" t="s">
        <v>0</v>
      </c>
      <c r="H706" t="s">
        <v>4</v>
      </c>
      <c r="I706" t="s">
        <v>363</v>
      </c>
      <c r="J706" t="s">
        <v>6</v>
      </c>
      <c r="K706" t="s">
        <v>7</v>
      </c>
      <c r="L706" t="s">
        <v>74</v>
      </c>
      <c r="M706" t="s">
        <v>75</v>
      </c>
      <c r="N706" t="s">
        <v>10</v>
      </c>
      <c r="O706" t="s">
        <v>0</v>
      </c>
      <c r="P706" t="s">
        <v>11</v>
      </c>
      <c r="Q706" s="5">
        <v>27</v>
      </c>
      <c r="R706" s="4">
        <v>58500</v>
      </c>
      <c r="S706" s="5">
        <v>1</v>
      </c>
      <c r="T706" s="4">
        <v>1579500</v>
      </c>
      <c r="U706" s="5">
        <v>0</v>
      </c>
      <c r="V706" s="4">
        <v>0</v>
      </c>
      <c r="W706" s="5">
        <v>0</v>
      </c>
      <c r="X706" s="4">
        <v>0</v>
      </c>
      <c r="Y706" s="4">
        <f t="shared" si="20"/>
        <v>1579500</v>
      </c>
      <c r="Z706" s="6" t="s">
        <v>0</v>
      </c>
      <c r="AA706" t="s">
        <v>2</v>
      </c>
      <c r="AB706" t="s">
        <v>12</v>
      </c>
      <c r="AC706">
        <f>_xlfn.XLOOKUP(AB706,'[1]GST Codes'!$A:$A,'[1]GST Codes'!$C:$C,0,0)</f>
        <v>18</v>
      </c>
      <c r="AD706">
        <f t="shared" si="21"/>
        <v>1863810</v>
      </c>
      <c r="AE706" t="s">
        <v>13</v>
      </c>
      <c r="AF706" t="s">
        <v>0</v>
      </c>
      <c r="AG706" t="s">
        <v>14</v>
      </c>
      <c r="AH706" t="s">
        <v>15</v>
      </c>
      <c r="AI706" t="s">
        <v>85</v>
      </c>
      <c r="AJ706" t="s">
        <v>17</v>
      </c>
      <c r="AK706" t="s">
        <v>18</v>
      </c>
      <c r="AL706" t="s">
        <v>19</v>
      </c>
      <c r="AM706" t="s">
        <v>363</v>
      </c>
      <c r="AN706" t="s">
        <v>0</v>
      </c>
      <c r="AO706" t="s">
        <v>0</v>
      </c>
      <c r="AP706" t="s">
        <v>0</v>
      </c>
      <c r="AQ706" s="5">
        <v>27</v>
      </c>
      <c r="AR706" t="s">
        <v>11</v>
      </c>
      <c r="AS706" t="s">
        <v>0</v>
      </c>
      <c r="AT706" t="s">
        <v>17</v>
      </c>
      <c r="AU706" s="4">
        <v>0</v>
      </c>
      <c r="AV706" s="4">
        <v>0</v>
      </c>
      <c r="AW706" s="4">
        <v>0</v>
      </c>
      <c r="AX706" s="4">
        <v>0</v>
      </c>
      <c r="AY706" s="5">
        <v>0</v>
      </c>
      <c r="AZ706" s="5">
        <v>0</v>
      </c>
      <c r="BA706" s="5">
        <v>0</v>
      </c>
      <c r="BB706" s="2"/>
      <c r="BC706" t="s">
        <v>0</v>
      </c>
      <c r="BD706" s="5">
        <v>1</v>
      </c>
      <c r="BE706" t="s">
        <v>0</v>
      </c>
      <c r="BF706" t="s">
        <v>367</v>
      </c>
      <c r="BG706" t="s">
        <v>17</v>
      </c>
      <c r="BH706" t="s">
        <v>0</v>
      </c>
      <c r="BI706" t="s">
        <v>11</v>
      </c>
      <c r="BJ706" t="s">
        <v>0</v>
      </c>
      <c r="BK706" t="s">
        <v>0</v>
      </c>
      <c r="BL706" s="5">
        <v>0</v>
      </c>
      <c r="BM706" t="s">
        <v>0</v>
      </c>
      <c r="BN706" t="s">
        <v>0</v>
      </c>
      <c r="BO706" t="s">
        <v>0</v>
      </c>
      <c r="BP706" t="s">
        <v>17</v>
      </c>
      <c r="BQ706" t="s">
        <v>0</v>
      </c>
      <c r="BR706" t="s">
        <v>17</v>
      </c>
      <c r="BS706" t="s">
        <v>17</v>
      </c>
      <c r="BT706" t="s">
        <v>0</v>
      </c>
      <c r="BU706" t="s">
        <v>0</v>
      </c>
      <c r="BV706" t="s">
        <v>0</v>
      </c>
      <c r="BW706" t="s">
        <v>0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</row>
    <row r="707" spans="1:80" ht="13.95" customHeight="1" x14ac:dyDescent="0.25">
      <c r="A707" t="s">
        <v>381</v>
      </c>
      <c r="B707" s="2">
        <v>46060</v>
      </c>
      <c r="C707" s="2">
        <v>46060</v>
      </c>
      <c r="D707" s="2">
        <v>46088</v>
      </c>
      <c r="E707" t="s">
        <v>2</v>
      </c>
      <c r="F707" t="s">
        <v>3</v>
      </c>
      <c r="G707" t="s">
        <v>0</v>
      </c>
      <c r="H707" t="s">
        <v>4</v>
      </c>
      <c r="I707" t="s">
        <v>363</v>
      </c>
      <c r="J707" t="s">
        <v>6</v>
      </c>
      <c r="K707" t="s">
        <v>22</v>
      </c>
      <c r="L707" t="s">
        <v>74</v>
      </c>
      <c r="M707" t="s">
        <v>75</v>
      </c>
      <c r="N707" t="s">
        <v>10</v>
      </c>
      <c r="O707" t="s">
        <v>0</v>
      </c>
      <c r="P707" t="s">
        <v>11</v>
      </c>
      <c r="Q707" s="5">
        <v>27</v>
      </c>
      <c r="R707" s="4">
        <v>58500</v>
      </c>
      <c r="S707" s="5">
        <v>1</v>
      </c>
      <c r="T707" s="4">
        <v>1579500</v>
      </c>
      <c r="U707" s="5">
        <v>0</v>
      </c>
      <c r="V707" s="4">
        <v>0</v>
      </c>
      <c r="W707" s="5">
        <v>0</v>
      </c>
      <c r="X707" s="4">
        <v>0</v>
      </c>
      <c r="Y707" s="4">
        <f t="shared" ref="Y707:Y770" si="22">T707-V707</f>
        <v>1579500</v>
      </c>
      <c r="Z707" s="6" t="s">
        <v>0</v>
      </c>
      <c r="AA707" t="s">
        <v>2</v>
      </c>
      <c r="AB707" t="s">
        <v>12</v>
      </c>
      <c r="AC707">
        <f>_xlfn.XLOOKUP(AB707,'[1]GST Codes'!$A:$A,'[1]GST Codes'!$C:$C,0,0)</f>
        <v>18</v>
      </c>
      <c r="AD707">
        <f t="shared" ref="AD707:AD770" si="23">Y707+(Y707*AC707/100)</f>
        <v>1863810</v>
      </c>
      <c r="AE707" t="s">
        <v>13</v>
      </c>
      <c r="AF707" t="s">
        <v>0</v>
      </c>
      <c r="AG707" t="s">
        <v>14</v>
      </c>
      <c r="AH707" t="s">
        <v>15</v>
      </c>
      <c r="AI707" t="s">
        <v>85</v>
      </c>
      <c r="AJ707" t="s">
        <v>17</v>
      </c>
      <c r="AK707" t="s">
        <v>18</v>
      </c>
      <c r="AL707" t="s">
        <v>19</v>
      </c>
      <c r="AM707" t="s">
        <v>363</v>
      </c>
      <c r="AN707" t="s">
        <v>0</v>
      </c>
      <c r="AO707" t="s">
        <v>0</v>
      </c>
      <c r="AP707" t="s">
        <v>0</v>
      </c>
      <c r="AQ707" s="5">
        <v>27</v>
      </c>
      <c r="AR707" t="s">
        <v>11</v>
      </c>
      <c r="AS707" t="s">
        <v>0</v>
      </c>
      <c r="AT707" t="s">
        <v>17</v>
      </c>
      <c r="AU707" s="4">
        <v>0</v>
      </c>
      <c r="AV707" s="4">
        <v>0</v>
      </c>
      <c r="AW707" s="4">
        <v>0</v>
      </c>
      <c r="AX707" s="4">
        <v>0</v>
      </c>
      <c r="AY707" s="5">
        <v>0</v>
      </c>
      <c r="AZ707" s="5">
        <v>0</v>
      </c>
      <c r="BA707" s="5">
        <v>0</v>
      </c>
      <c r="BB707" s="2"/>
      <c r="BC707" t="s">
        <v>0</v>
      </c>
      <c r="BD707" s="5">
        <v>1</v>
      </c>
      <c r="BE707" t="s">
        <v>0</v>
      </c>
      <c r="BF707" t="s">
        <v>367</v>
      </c>
      <c r="BG707" t="s">
        <v>17</v>
      </c>
      <c r="BH707" t="s">
        <v>0</v>
      </c>
      <c r="BI707" t="s">
        <v>11</v>
      </c>
      <c r="BJ707" t="s">
        <v>0</v>
      </c>
      <c r="BK707" t="s">
        <v>0</v>
      </c>
      <c r="BL707" s="5">
        <v>0</v>
      </c>
      <c r="BM707" t="s">
        <v>0</v>
      </c>
      <c r="BN707" t="s">
        <v>0</v>
      </c>
      <c r="BO707" t="s">
        <v>0</v>
      </c>
      <c r="BP707" t="s">
        <v>17</v>
      </c>
      <c r="BQ707" t="s">
        <v>0</v>
      </c>
      <c r="BR707" t="s">
        <v>17</v>
      </c>
      <c r="BS707" t="s">
        <v>17</v>
      </c>
      <c r="BT707" t="s">
        <v>0</v>
      </c>
      <c r="BU707" t="s">
        <v>0</v>
      </c>
      <c r="BV707" t="s">
        <v>0</v>
      </c>
      <c r="BW707" t="s">
        <v>0</v>
      </c>
      <c r="BX707" t="s">
        <v>0</v>
      </c>
      <c r="BY707" t="s">
        <v>0</v>
      </c>
      <c r="BZ707" t="s">
        <v>0</v>
      </c>
      <c r="CA707" t="s">
        <v>0</v>
      </c>
      <c r="CB707" t="s">
        <v>0</v>
      </c>
    </row>
    <row r="708" spans="1:80" ht="13.95" customHeight="1" x14ac:dyDescent="0.25">
      <c r="A708" t="s">
        <v>381</v>
      </c>
      <c r="B708" s="2">
        <v>46060</v>
      </c>
      <c r="C708" s="2">
        <v>46060</v>
      </c>
      <c r="D708" s="2">
        <v>46088</v>
      </c>
      <c r="E708" t="s">
        <v>2</v>
      </c>
      <c r="F708" t="s">
        <v>3</v>
      </c>
      <c r="G708" t="s">
        <v>0</v>
      </c>
      <c r="H708" t="s">
        <v>4</v>
      </c>
      <c r="I708" t="s">
        <v>363</v>
      </c>
      <c r="J708" t="s">
        <v>6</v>
      </c>
      <c r="K708" t="s">
        <v>26</v>
      </c>
      <c r="L708" t="s">
        <v>74</v>
      </c>
      <c r="M708" t="s">
        <v>75</v>
      </c>
      <c r="N708" t="s">
        <v>10</v>
      </c>
      <c r="O708" t="s">
        <v>0</v>
      </c>
      <c r="P708" t="s">
        <v>11</v>
      </c>
      <c r="Q708" s="5">
        <v>27</v>
      </c>
      <c r="R708" s="4">
        <v>58500</v>
      </c>
      <c r="S708" s="5">
        <v>1</v>
      </c>
      <c r="T708" s="4">
        <v>1579500</v>
      </c>
      <c r="U708" s="5">
        <v>0</v>
      </c>
      <c r="V708" s="4">
        <v>0</v>
      </c>
      <c r="W708" s="5">
        <v>0</v>
      </c>
      <c r="X708" s="4">
        <v>0</v>
      </c>
      <c r="Y708" s="4">
        <f t="shared" si="22"/>
        <v>1579500</v>
      </c>
      <c r="Z708" s="6" t="s">
        <v>0</v>
      </c>
      <c r="AA708" t="s">
        <v>2</v>
      </c>
      <c r="AB708" t="s">
        <v>12</v>
      </c>
      <c r="AC708">
        <f>_xlfn.XLOOKUP(AB708,'[1]GST Codes'!$A:$A,'[1]GST Codes'!$C:$C,0,0)</f>
        <v>18</v>
      </c>
      <c r="AD708">
        <f t="shared" si="23"/>
        <v>1863810</v>
      </c>
      <c r="AE708" t="s">
        <v>13</v>
      </c>
      <c r="AF708" t="s">
        <v>0</v>
      </c>
      <c r="AG708" t="s">
        <v>14</v>
      </c>
      <c r="AH708" t="s">
        <v>15</v>
      </c>
      <c r="AI708" t="s">
        <v>85</v>
      </c>
      <c r="AJ708" t="s">
        <v>17</v>
      </c>
      <c r="AK708" t="s">
        <v>18</v>
      </c>
      <c r="AL708" t="s">
        <v>19</v>
      </c>
      <c r="AM708" t="s">
        <v>363</v>
      </c>
      <c r="AN708" t="s">
        <v>0</v>
      </c>
      <c r="AO708" t="s">
        <v>0</v>
      </c>
      <c r="AP708" t="s">
        <v>0</v>
      </c>
      <c r="AQ708" s="5">
        <v>27</v>
      </c>
      <c r="AR708" t="s">
        <v>11</v>
      </c>
      <c r="AS708" t="s">
        <v>0</v>
      </c>
      <c r="AT708" t="s">
        <v>17</v>
      </c>
      <c r="AU708" s="4">
        <v>0</v>
      </c>
      <c r="AV708" s="4">
        <v>0</v>
      </c>
      <c r="AW708" s="4">
        <v>0</v>
      </c>
      <c r="AX708" s="4">
        <v>0</v>
      </c>
      <c r="AY708" s="5">
        <v>0</v>
      </c>
      <c r="AZ708" s="5">
        <v>0</v>
      </c>
      <c r="BA708" s="5">
        <v>0</v>
      </c>
      <c r="BB708" s="2"/>
      <c r="BC708" t="s">
        <v>0</v>
      </c>
      <c r="BD708" s="5">
        <v>1</v>
      </c>
      <c r="BE708" t="s">
        <v>0</v>
      </c>
      <c r="BF708" t="s">
        <v>367</v>
      </c>
      <c r="BG708" t="s">
        <v>17</v>
      </c>
      <c r="BH708" t="s">
        <v>0</v>
      </c>
      <c r="BI708" t="s">
        <v>11</v>
      </c>
      <c r="BJ708" t="s">
        <v>0</v>
      </c>
      <c r="BK708" t="s">
        <v>0</v>
      </c>
      <c r="BL708" s="5">
        <v>0</v>
      </c>
      <c r="BM708" t="s">
        <v>0</v>
      </c>
      <c r="BN708" t="s">
        <v>0</v>
      </c>
      <c r="BO708" t="s">
        <v>0</v>
      </c>
      <c r="BP708" t="s">
        <v>17</v>
      </c>
      <c r="BQ708" t="s">
        <v>0</v>
      </c>
      <c r="BR708" t="s">
        <v>17</v>
      </c>
      <c r="BS708" t="s">
        <v>17</v>
      </c>
      <c r="BT708" t="s">
        <v>0</v>
      </c>
      <c r="BU708" t="s">
        <v>0</v>
      </c>
      <c r="BV708" t="s">
        <v>0</v>
      </c>
      <c r="BW708" t="s">
        <v>0</v>
      </c>
      <c r="BX708" t="s">
        <v>0</v>
      </c>
      <c r="BY708" t="s">
        <v>0</v>
      </c>
      <c r="BZ708" t="s">
        <v>0</v>
      </c>
      <c r="CA708" t="s">
        <v>0</v>
      </c>
      <c r="CB708" t="s">
        <v>0</v>
      </c>
    </row>
    <row r="709" spans="1:80" ht="13.95" customHeight="1" x14ac:dyDescent="0.25">
      <c r="A709" t="s">
        <v>381</v>
      </c>
      <c r="B709" s="2">
        <v>46060</v>
      </c>
      <c r="C709" s="2">
        <v>46060</v>
      </c>
      <c r="D709" s="2">
        <v>46088</v>
      </c>
      <c r="E709" t="s">
        <v>2</v>
      </c>
      <c r="F709" t="s">
        <v>3</v>
      </c>
      <c r="G709" t="s">
        <v>0</v>
      </c>
      <c r="H709" t="s">
        <v>4</v>
      </c>
      <c r="I709" t="s">
        <v>363</v>
      </c>
      <c r="J709" t="s">
        <v>6</v>
      </c>
      <c r="K709" t="s">
        <v>30</v>
      </c>
      <c r="L709" t="s">
        <v>74</v>
      </c>
      <c r="M709" t="s">
        <v>75</v>
      </c>
      <c r="N709" t="s">
        <v>10</v>
      </c>
      <c r="O709" t="s">
        <v>0</v>
      </c>
      <c r="P709" t="s">
        <v>11</v>
      </c>
      <c r="Q709" s="5">
        <v>27</v>
      </c>
      <c r="R709" s="4">
        <v>58500</v>
      </c>
      <c r="S709" s="5">
        <v>1</v>
      </c>
      <c r="T709" s="4">
        <v>1579500</v>
      </c>
      <c r="U709" s="5">
        <v>0</v>
      </c>
      <c r="V709" s="4">
        <v>0</v>
      </c>
      <c r="W709" s="5">
        <v>0</v>
      </c>
      <c r="X709" s="4">
        <v>0</v>
      </c>
      <c r="Y709" s="4">
        <f t="shared" si="22"/>
        <v>1579500</v>
      </c>
      <c r="Z709" s="6" t="s">
        <v>0</v>
      </c>
      <c r="AA709" t="s">
        <v>2</v>
      </c>
      <c r="AB709" t="s">
        <v>12</v>
      </c>
      <c r="AC709">
        <f>_xlfn.XLOOKUP(AB709,'[1]GST Codes'!$A:$A,'[1]GST Codes'!$C:$C,0,0)</f>
        <v>18</v>
      </c>
      <c r="AD709">
        <f t="shared" si="23"/>
        <v>1863810</v>
      </c>
      <c r="AE709" t="s">
        <v>13</v>
      </c>
      <c r="AF709" t="s">
        <v>0</v>
      </c>
      <c r="AG709" t="s">
        <v>14</v>
      </c>
      <c r="AH709" t="s">
        <v>15</v>
      </c>
      <c r="AI709" t="s">
        <v>85</v>
      </c>
      <c r="AJ709" t="s">
        <v>17</v>
      </c>
      <c r="AK709" t="s">
        <v>18</v>
      </c>
      <c r="AL709" t="s">
        <v>19</v>
      </c>
      <c r="AM709" t="s">
        <v>363</v>
      </c>
      <c r="AN709" t="s">
        <v>0</v>
      </c>
      <c r="AO709" t="s">
        <v>0</v>
      </c>
      <c r="AP709" t="s">
        <v>0</v>
      </c>
      <c r="AQ709" s="5">
        <v>27</v>
      </c>
      <c r="AR709" t="s">
        <v>11</v>
      </c>
      <c r="AS709" t="s">
        <v>0</v>
      </c>
      <c r="AT709" t="s">
        <v>17</v>
      </c>
      <c r="AU709" s="4">
        <v>0</v>
      </c>
      <c r="AV709" s="4">
        <v>0</v>
      </c>
      <c r="AW709" s="4">
        <v>0</v>
      </c>
      <c r="AX709" s="4">
        <v>0</v>
      </c>
      <c r="AY709" s="5">
        <v>0</v>
      </c>
      <c r="AZ709" s="5">
        <v>0</v>
      </c>
      <c r="BA709" s="5">
        <v>0</v>
      </c>
      <c r="BB709" s="2"/>
      <c r="BC709" t="s">
        <v>0</v>
      </c>
      <c r="BD709" s="5">
        <v>1</v>
      </c>
      <c r="BE709" t="s">
        <v>0</v>
      </c>
      <c r="BF709" t="s">
        <v>367</v>
      </c>
      <c r="BG709" t="s">
        <v>17</v>
      </c>
      <c r="BH709" t="s">
        <v>0</v>
      </c>
      <c r="BI709" t="s">
        <v>11</v>
      </c>
      <c r="BJ709" t="s">
        <v>0</v>
      </c>
      <c r="BK709" t="s">
        <v>0</v>
      </c>
      <c r="BL709" s="5">
        <v>0</v>
      </c>
      <c r="BM709" t="s">
        <v>0</v>
      </c>
      <c r="BN709" t="s">
        <v>0</v>
      </c>
      <c r="BO709" t="s">
        <v>0</v>
      </c>
      <c r="BP709" t="s">
        <v>17</v>
      </c>
      <c r="BQ709" t="s">
        <v>0</v>
      </c>
      <c r="BR709" t="s">
        <v>17</v>
      </c>
      <c r="BS709" t="s">
        <v>17</v>
      </c>
      <c r="BT709" t="s">
        <v>0</v>
      </c>
      <c r="BU709" t="s">
        <v>0</v>
      </c>
      <c r="BV709" t="s">
        <v>0</v>
      </c>
      <c r="BW709" t="s">
        <v>0</v>
      </c>
      <c r="BX709" t="s">
        <v>0</v>
      </c>
      <c r="BY709" t="s">
        <v>0</v>
      </c>
      <c r="BZ709" t="s">
        <v>0</v>
      </c>
      <c r="CA709" t="s">
        <v>0</v>
      </c>
      <c r="CB709" t="s">
        <v>0</v>
      </c>
    </row>
    <row r="710" spans="1:80" ht="13.95" customHeight="1" x14ac:dyDescent="0.25">
      <c r="A710" t="s">
        <v>381</v>
      </c>
      <c r="B710" s="2">
        <v>46060</v>
      </c>
      <c r="C710" s="2">
        <v>46060</v>
      </c>
      <c r="D710" s="2">
        <v>46088</v>
      </c>
      <c r="E710" t="s">
        <v>2</v>
      </c>
      <c r="F710" t="s">
        <v>3</v>
      </c>
      <c r="G710" t="s">
        <v>0</v>
      </c>
      <c r="H710" t="s">
        <v>4</v>
      </c>
      <c r="I710" t="s">
        <v>363</v>
      </c>
      <c r="J710" t="s">
        <v>6</v>
      </c>
      <c r="K710" t="s">
        <v>34</v>
      </c>
      <c r="L710" t="s">
        <v>74</v>
      </c>
      <c r="M710" t="s">
        <v>75</v>
      </c>
      <c r="N710" t="s">
        <v>10</v>
      </c>
      <c r="O710" t="s">
        <v>0</v>
      </c>
      <c r="P710" t="s">
        <v>11</v>
      </c>
      <c r="Q710" s="5">
        <v>26</v>
      </c>
      <c r="R710" s="4">
        <v>58500</v>
      </c>
      <c r="S710" s="5">
        <v>1</v>
      </c>
      <c r="T710" s="4">
        <v>1521000</v>
      </c>
      <c r="U710" s="5">
        <v>0</v>
      </c>
      <c r="V710" s="4">
        <v>0</v>
      </c>
      <c r="W710" s="5">
        <v>0</v>
      </c>
      <c r="X710" s="4">
        <v>0</v>
      </c>
      <c r="Y710" s="4">
        <f t="shared" si="22"/>
        <v>1521000</v>
      </c>
      <c r="Z710" s="6" t="s">
        <v>0</v>
      </c>
      <c r="AA710" t="s">
        <v>2</v>
      </c>
      <c r="AB710" t="s">
        <v>12</v>
      </c>
      <c r="AC710">
        <f>_xlfn.XLOOKUP(AB710,'[1]GST Codes'!$A:$A,'[1]GST Codes'!$C:$C,0,0)</f>
        <v>18</v>
      </c>
      <c r="AD710">
        <f t="shared" si="23"/>
        <v>1794780</v>
      </c>
      <c r="AE710" t="s">
        <v>13</v>
      </c>
      <c r="AF710" t="s">
        <v>0</v>
      </c>
      <c r="AG710" t="s">
        <v>14</v>
      </c>
      <c r="AH710" t="s">
        <v>15</v>
      </c>
      <c r="AI710" t="s">
        <v>85</v>
      </c>
      <c r="AJ710" t="s">
        <v>17</v>
      </c>
      <c r="AK710" t="s">
        <v>18</v>
      </c>
      <c r="AL710" t="s">
        <v>19</v>
      </c>
      <c r="AM710" t="s">
        <v>363</v>
      </c>
      <c r="AN710" t="s">
        <v>0</v>
      </c>
      <c r="AO710" t="s">
        <v>0</v>
      </c>
      <c r="AP710" t="s">
        <v>0</v>
      </c>
      <c r="AQ710" s="5">
        <v>26</v>
      </c>
      <c r="AR710" t="s">
        <v>11</v>
      </c>
      <c r="AS710" t="s">
        <v>0</v>
      </c>
      <c r="AT710" t="s">
        <v>17</v>
      </c>
      <c r="AU710" s="4">
        <v>0</v>
      </c>
      <c r="AV710" s="4">
        <v>0</v>
      </c>
      <c r="AW710" s="4">
        <v>0</v>
      </c>
      <c r="AX710" s="4">
        <v>0</v>
      </c>
      <c r="AY710" s="5">
        <v>0</v>
      </c>
      <c r="AZ710" s="5">
        <v>0</v>
      </c>
      <c r="BA710" s="5">
        <v>0</v>
      </c>
      <c r="BB710" s="2"/>
      <c r="BC710" t="s">
        <v>0</v>
      </c>
      <c r="BD710" s="5">
        <v>1</v>
      </c>
      <c r="BE710" t="s">
        <v>0</v>
      </c>
      <c r="BF710" t="s">
        <v>367</v>
      </c>
      <c r="BG710" t="s">
        <v>17</v>
      </c>
      <c r="BH710" t="s">
        <v>0</v>
      </c>
      <c r="BI710" t="s">
        <v>11</v>
      </c>
      <c r="BJ710" t="s">
        <v>0</v>
      </c>
      <c r="BK710" t="s">
        <v>0</v>
      </c>
      <c r="BL710" s="5">
        <v>0</v>
      </c>
      <c r="BM710" t="s">
        <v>0</v>
      </c>
      <c r="BN710" t="s">
        <v>0</v>
      </c>
      <c r="BO710" t="s">
        <v>0</v>
      </c>
      <c r="BP710" t="s">
        <v>17</v>
      </c>
      <c r="BQ710" t="s">
        <v>0</v>
      </c>
      <c r="BR710" t="s">
        <v>17</v>
      </c>
      <c r="BS710" t="s">
        <v>17</v>
      </c>
      <c r="BT710" t="s">
        <v>0</v>
      </c>
      <c r="BU710" t="s">
        <v>0</v>
      </c>
      <c r="BV710" t="s">
        <v>0</v>
      </c>
      <c r="BW710" t="s">
        <v>0</v>
      </c>
      <c r="BX710" t="s">
        <v>0</v>
      </c>
      <c r="BY710" t="s">
        <v>0</v>
      </c>
      <c r="BZ710" t="s">
        <v>0</v>
      </c>
      <c r="CA710" t="s">
        <v>0</v>
      </c>
      <c r="CB710" t="s">
        <v>0</v>
      </c>
    </row>
    <row r="711" spans="1:80" ht="13.95" customHeight="1" x14ac:dyDescent="0.25">
      <c r="A711" t="s">
        <v>381</v>
      </c>
      <c r="B711" s="2">
        <v>46060</v>
      </c>
      <c r="C711" s="2">
        <v>46060</v>
      </c>
      <c r="D711" s="2">
        <v>46088</v>
      </c>
      <c r="E711" t="s">
        <v>2</v>
      </c>
      <c r="F711" t="s">
        <v>3</v>
      </c>
      <c r="G711" t="s">
        <v>0</v>
      </c>
      <c r="H711" t="s">
        <v>4</v>
      </c>
      <c r="I711" t="s">
        <v>363</v>
      </c>
      <c r="J711" t="s">
        <v>6</v>
      </c>
      <c r="K711" t="s">
        <v>38</v>
      </c>
      <c r="L711" t="s">
        <v>74</v>
      </c>
      <c r="M711" t="s">
        <v>75</v>
      </c>
      <c r="N711" t="s">
        <v>10</v>
      </c>
      <c r="O711" t="s">
        <v>0</v>
      </c>
      <c r="P711" t="s">
        <v>11</v>
      </c>
      <c r="Q711" s="5">
        <v>26</v>
      </c>
      <c r="R711" s="4">
        <v>58500</v>
      </c>
      <c r="S711" s="5">
        <v>1</v>
      </c>
      <c r="T711" s="4">
        <v>1521000</v>
      </c>
      <c r="U711" s="5">
        <v>0</v>
      </c>
      <c r="V711" s="4">
        <v>0</v>
      </c>
      <c r="W711" s="5">
        <v>0</v>
      </c>
      <c r="X711" s="4">
        <v>0</v>
      </c>
      <c r="Y711" s="4">
        <f t="shared" si="22"/>
        <v>1521000</v>
      </c>
      <c r="Z711" s="6" t="s">
        <v>0</v>
      </c>
      <c r="AA711" t="s">
        <v>2</v>
      </c>
      <c r="AB711" t="s">
        <v>12</v>
      </c>
      <c r="AC711">
        <f>_xlfn.XLOOKUP(AB711,'[1]GST Codes'!$A:$A,'[1]GST Codes'!$C:$C,0,0)</f>
        <v>18</v>
      </c>
      <c r="AD711">
        <f t="shared" si="23"/>
        <v>1794780</v>
      </c>
      <c r="AE711" t="s">
        <v>13</v>
      </c>
      <c r="AF711" t="s">
        <v>0</v>
      </c>
      <c r="AG711" t="s">
        <v>14</v>
      </c>
      <c r="AH711" t="s">
        <v>15</v>
      </c>
      <c r="AI711" t="s">
        <v>85</v>
      </c>
      <c r="AJ711" t="s">
        <v>17</v>
      </c>
      <c r="AK711" t="s">
        <v>18</v>
      </c>
      <c r="AL711" t="s">
        <v>19</v>
      </c>
      <c r="AM711" t="s">
        <v>363</v>
      </c>
      <c r="AN711" t="s">
        <v>0</v>
      </c>
      <c r="AO711" t="s">
        <v>0</v>
      </c>
      <c r="AP711" t="s">
        <v>0</v>
      </c>
      <c r="AQ711" s="5">
        <v>26</v>
      </c>
      <c r="AR711" t="s">
        <v>11</v>
      </c>
      <c r="AS711" t="s">
        <v>0</v>
      </c>
      <c r="AT711" t="s">
        <v>17</v>
      </c>
      <c r="AU711" s="4">
        <v>0</v>
      </c>
      <c r="AV711" s="4">
        <v>0</v>
      </c>
      <c r="AW711" s="4">
        <v>0</v>
      </c>
      <c r="AX711" s="4">
        <v>0</v>
      </c>
      <c r="AY711" s="5">
        <v>0</v>
      </c>
      <c r="AZ711" s="5">
        <v>0</v>
      </c>
      <c r="BA711" s="5">
        <v>0</v>
      </c>
      <c r="BB711" s="2"/>
      <c r="BC711" t="s">
        <v>0</v>
      </c>
      <c r="BD711" s="5">
        <v>1</v>
      </c>
      <c r="BE711" t="s">
        <v>0</v>
      </c>
      <c r="BF711" t="s">
        <v>367</v>
      </c>
      <c r="BG711" t="s">
        <v>17</v>
      </c>
      <c r="BH711" t="s">
        <v>0</v>
      </c>
      <c r="BI711" t="s">
        <v>11</v>
      </c>
      <c r="BJ711" t="s">
        <v>0</v>
      </c>
      <c r="BK711" t="s">
        <v>0</v>
      </c>
      <c r="BL711" s="5">
        <v>0</v>
      </c>
      <c r="BM711" t="s">
        <v>0</v>
      </c>
      <c r="BN711" t="s">
        <v>0</v>
      </c>
      <c r="BO711" t="s">
        <v>0</v>
      </c>
      <c r="BP711" t="s">
        <v>17</v>
      </c>
      <c r="BQ711" t="s">
        <v>0</v>
      </c>
      <c r="BR711" t="s">
        <v>17</v>
      </c>
      <c r="BS711" t="s">
        <v>17</v>
      </c>
      <c r="BT711" t="s">
        <v>0</v>
      </c>
      <c r="BU711" t="s">
        <v>0</v>
      </c>
      <c r="BV711" t="s">
        <v>0</v>
      </c>
      <c r="BW711" t="s">
        <v>0</v>
      </c>
      <c r="BX711" t="s">
        <v>0</v>
      </c>
      <c r="BY711" t="s">
        <v>0</v>
      </c>
      <c r="BZ711" t="s">
        <v>0</v>
      </c>
      <c r="CA711" t="s">
        <v>0</v>
      </c>
      <c r="CB711" t="s">
        <v>0</v>
      </c>
    </row>
    <row r="712" spans="1:80" ht="13.95" customHeight="1" x14ac:dyDescent="0.25">
      <c r="A712" t="s">
        <v>381</v>
      </c>
      <c r="B712" s="2">
        <v>46060</v>
      </c>
      <c r="C712" s="2">
        <v>46060</v>
      </c>
      <c r="D712" s="2">
        <v>46088</v>
      </c>
      <c r="E712" t="s">
        <v>2</v>
      </c>
      <c r="F712" t="s">
        <v>3</v>
      </c>
      <c r="G712" t="s">
        <v>0</v>
      </c>
      <c r="H712" t="s">
        <v>4</v>
      </c>
      <c r="I712" t="s">
        <v>363</v>
      </c>
      <c r="J712" t="s">
        <v>6</v>
      </c>
      <c r="K712" t="s">
        <v>42</v>
      </c>
      <c r="L712" t="s">
        <v>39</v>
      </c>
      <c r="M712" t="s">
        <v>40</v>
      </c>
      <c r="N712" t="s">
        <v>10</v>
      </c>
      <c r="O712" t="s">
        <v>0</v>
      </c>
      <c r="P712" t="s">
        <v>11</v>
      </c>
      <c r="Q712" s="5">
        <v>30</v>
      </c>
      <c r="R712" s="4">
        <v>58500</v>
      </c>
      <c r="S712" s="5">
        <v>1</v>
      </c>
      <c r="T712" s="4">
        <v>1755000</v>
      </c>
      <c r="U712" s="5">
        <v>0</v>
      </c>
      <c r="V712" s="4">
        <v>0</v>
      </c>
      <c r="W712" s="5">
        <v>0</v>
      </c>
      <c r="X712" s="4">
        <v>0</v>
      </c>
      <c r="Y712" s="4">
        <f t="shared" si="22"/>
        <v>1755000</v>
      </c>
      <c r="Z712" s="6" t="s">
        <v>0</v>
      </c>
      <c r="AA712" t="s">
        <v>2</v>
      </c>
      <c r="AB712" t="s">
        <v>12</v>
      </c>
      <c r="AC712">
        <f>_xlfn.XLOOKUP(AB712,'[1]GST Codes'!$A:$A,'[1]GST Codes'!$C:$C,0,0)</f>
        <v>18</v>
      </c>
      <c r="AD712">
        <f t="shared" si="23"/>
        <v>2070900</v>
      </c>
      <c r="AE712" t="s">
        <v>13</v>
      </c>
      <c r="AF712" t="s">
        <v>0</v>
      </c>
      <c r="AG712" t="s">
        <v>14</v>
      </c>
      <c r="AH712" t="s">
        <v>15</v>
      </c>
      <c r="AI712" t="s">
        <v>85</v>
      </c>
      <c r="AJ712" t="s">
        <v>17</v>
      </c>
      <c r="AK712" t="s">
        <v>18</v>
      </c>
      <c r="AL712" t="s">
        <v>19</v>
      </c>
      <c r="AM712" t="s">
        <v>363</v>
      </c>
      <c r="AN712" t="s">
        <v>0</v>
      </c>
      <c r="AO712" t="s">
        <v>0</v>
      </c>
      <c r="AP712" t="s">
        <v>0</v>
      </c>
      <c r="AQ712" s="5">
        <v>30</v>
      </c>
      <c r="AR712" t="s">
        <v>11</v>
      </c>
      <c r="AS712" t="s">
        <v>0</v>
      </c>
      <c r="AT712" t="s">
        <v>17</v>
      </c>
      <c r="AU712" s="4">
        <v>0</v>
      </c>
      <c r="AV712" s="4">
        <v>0</v>
      </c>
      <c r="AW712" s="4">
        <v>0</v>
      </c>
      <c r="AX712" s="4">
        <v>0</v>
      </c>
      <c r="AY712" s="5">
        <v>0</v>
      </c>
      <c r="AZ712" s="5">
        <v>0</v>
      </c>
      <c r="BA712" s="5">
        <v>0</v>
      </c>
      <c r="BB712" s="2"/>
      <c r="BC712" t="s">
        <v>0</v>
      </c>
      <c r="BD712" s="5">
        <v>1</v>
      </c>
      <c r="BE712" t="s">
        <v>0</v>
      </c>
      <c r="BF712" t="s">
        <v>368</v>
      </c>
      <c r="BG712" t="s">
        <v>17</v>
      </c>
      <c r="BH712" t="s">
        <v>0</v>
      </c>
      <c r="BI712" t="s">
        <v>11</v>
      </c>
      <c r="BJ712" t="s">
        <v>0</v>
      </c>
      <c r="BK712" t="s">
        <v>0</v>
      </c>
      <c r="BL712" s="5">
        <v>0</v>
      </c>
      <c r="BM712" t="s">
        <v>0</v>
      </c>
      <c r="BN712" t="s">
        <v>0</v>
      </c>
      <c r="BO712" t="s">
        <v>0</v>
      </c>
      <c r="BP712" t="s">
        <v>17</v>
      </c>
      <c r="BQ712" t="s">
        <v>0</v>
      </c>
      <c r="BR712" t="s">
        <v>17</v>
      </c>
      <c r="BS712" t="s">
        <v>17</v>
      </c>
      <c r="BT712" t="s">
        <v>0</v>
      </c>
      <c r="BU712" t="s">
        <v>0</v>
      </c>
      <c r="BV712" t="s">
        <v>0</v>
      </c>
      <c r="BW712" t="s">
        <v>0</v>
      </c>
      <c r="BX712" t="s">
        <v>0</v>
      </c>
      <c r="BY712" t="s">
        <v>0</v>
      </c>
      <c r="BZ712" t="s">
        <v>0</v>
      </c>
      <c r="CA712" t="s">
        <v>0</v>
      </c>
      <c r="CB712" t="s">
        <v>0</v>
      </c>
    </row>
    <row r="713" spans="1:80" ht="13.95" customHeight="1" x14ac:dyDescent="0.25">
      <c r="A713" t="s">
        <v>381</v>
      </c>
      <c r="B713" s="2">
        <v>46060</v>
      </c>
      <c r="C713" s="2">
        <v>46060</v>
      </c>
      <c r="D713" s="2">
        <v>46088</v>
      </c>
      <c r="E713" t="s">
        <v>2</v>
      </c>
      <c r="F713" t="s">
        <v>3</v>
      </c>
      <c r="G713" t="s">
        <v>0</v>
      </c>
      <c r="H713" t="s">
        <v>4</v>
      </c>
      <c r="I713" t="s">
        <v>363</v>
      </c>
      <c r="J713" t="s">
        <v>6</v>
      </c>
      <c r="K713" t="s">
        <v>86</v>
      </c>
      <c r="L713" t="s">
        <v>39</v>
      </c>
      <c r="M713" t="s">
        <v>40</v>
      </c>
      <c r="N713" t="s">
        <v>10</v>
      </c>
      <c r="O713" t="s">
        <v>0</v>
      </c>
      <c r="P713" t="s">
        <v>11</v>
      </c>
      <c r="Q713" s="5">
        <v>30</v>
      </c>
      <c r="R713" s="4">
        <v>58500</v>
      </c>
      <c r="S713" s="5">
        <v>1</v>
      </c>
      <c r="T713" s="4">
        <v>1755000</v>
      </c>
      <c r="U713" s="5">
        <v>0</v>
      </c>
      <c r="V713" s="4">
        <v>0</v>
      </c>
      <c r="W713" s="5">
        <v>0</v>
      </c>
      <c r="X713" s="4">
        <v>0</v>
      </c>
      <c r="Y713" s="4">
        <f t="shared" si="22"/>
        <v>1755000</v>
      </c>
      <c r="Z713" s="6" t="s">
        <v>0</v>
      </c>
      <c r="AA713" t="s">
        <v>2</v>
      </c>
      <c r="AB713" t="s">
        <v>12</v>
      </c>
      <c r="AC713">
        <f>_xlfn.XLOOKUP(AB713,'[1]GST Codes'!$A:$A,'[1]GST Codes'!$C:$C,0,0)</f>
        <v>18</v>
      </c>
      <c r="AD713">
        <f t="shared" si="23"/>
        <v>2070900</v>
      </c>
      <c r="AE713" t="s">
        <v>13</v>
      </c>
      <c r="AF713" t="s">
        <v>0</v>
      </c>
      <c r="AG713" t="s">
        <v>14</v>
      </c>
      <c r="AH713" t="s">
        <v>15</v>
      </c>
      <c r="AI713" t="s">
        <v>85</v>
      </c>
      <c r="AJ713" t="s">
        <v>17</v>
      </c>
      <c r="AK713" t="s">
        <v>18</v>
      </c>
      <c r="AL713" t="s">
        <v>19</v>
      </c>
      <c r="AM713" t="s">
        <v>363</v>
      </c>
      <c r="AN713" t="s">
        <v>0</v>
      </c>
      <c r="AO713" t="s">
        <v>0</v>
      </c>
      <c r="AP713" t="s">
        <v>0</v>
      </c>
      <c r="AQ713" s="5">
        <v>30</v>
      </c>
      <c r="AR713" t="s">
        <v>11</v>
      </c>
      <c r="AS713" t="s">
        <v>0</v>
      </c>
      <c r="AT713" t="s">
        <v>17</v>
      </c>
      <c r="AU713" s="4">
        <v>0</v>
      </c>
      <c r="AV713" s="4">
        <v>0</v>
      </c>
      <c r="AW713" s="4">
        <v>0</v>
      </c>
      <c r="AX713" s="4">
        <v>0</v>
      </c>
      <c r="AY713" s="5">
        <v>0</v>
      </c>
      <c r="AZ713" s="5">
        <v>0</v>
      </c>
      <c r="BA713" s="5">
        <v>0</v>
      </c>
      <c r="BB713" s="2"/>
      <c r="BC713" t="s">
        <v>0</v>
      </c>
      <c r="BD713" s="5">
        <v>1</v>
      </c>
      <c r="BE713" t="s">
        <v>0</v>
      </c>
      <c r="BF713" t="s">
        <v>368</v>
      </c>
      <c r="BG713" t="s">
        <v>17</v>
      </c>
      <c r="BH713" t="s">
        <v>0</v>
      </c>
      <c r="BI713" t="s">
        <v>11</v>
      </c>
      <c r="BJ713" t="s">
        <v>0</v>
      </c>
      <c r="BK713" t="s">
        <v>0</v>
      </c>
      <c r="BL713" s="5">
        <v>0</v>
      </c>
      <c r="BM713" t="s">
        <v>0</v>
      </c>
      <c r="BN713" t="s">
        <v>0</v>
      </c>
      <c r="BO713" t="s">
        <v>0</v>
      </c>
      <c r="BP713" t="s">
        <v>17</v>
      </c>
      <c r="BQ713" t="s">
        <v>0</v>
      </c>
      <c r="BR713" t="s">
        <v>17</v>
      </c>
      <c r="BS713" t="s">
        <v>17</v>
      </c>
      <c r="BT713" t="s">
        <v>0</v>
      </c>
      <c r="BU713" t="s">
        <v>0</v>
      </c>
      <c r="BV713" t="s">
        <v>0</v>
      </c>
      <c r="BW713" t="s">
        <v>0</v>
      </c>
      <c r="BX713" t="s">
        <v>0</v>
      </c>
      <c r="BY713" t="s">
        <v>0</v>
      </c>
      <c r="BZ713" t="s">
        <v>0</v>
      </c>
      <c r="CA713" t="s">
        <v>0</v>
      </c>
      <c r="CB713" t="s">
        <v>0</v>
      </c>
    </row>
    <row r="714" spans="1:80" ht="13.95" customHeight="1" x14ac:dyDescent="0.25">
      <c r="A714" t="s">
        <v>381</v>
      </c>
      <c r="B714" s="2">
        <v>46060</v>
      </c>
      <c r="C714" s="2">
        <v>46060</v>
      </c>
      <c r="D714" s="2">
        <v>46088</v>
      </c>
      <c r="E714" t="s">
        <v>2</v>
      </c>
      <c r="F714" t="s">
        <v>3</v>
      </c>
      <c r="G714" t="s">
        <v>0</v>
      </c>
      <c r="H714" t="s">
        <v>4</v>
      </c>
      <c r="I714" t="s">
        <v>363</v>
      </c>
      <c r="J714" t="s">
        <v>6</v>
      </c>
      <c r="K714" t="s">
        <v>87</v>
      </c>
      <c r="L714" t="s">
        <v>39</v>
      </c>
      <c r="M714" t="s">
        <v>40</v>
      </c>
      <c r="N714" t="s">
        <v>10</v>
      </c>
      <c r="O714" t="s">
        <v>0</v>
      </c>
      <c r="P714" t="s">
        <v>11</v>
      </c>
      <c r="Q714" s="5">
        <v>30</v>
      </c>
      <c r="R714" s="4">
        <v>58500</v>
      </c>
      <c r="S714" s="5">
        <v>1</v>
      </c>
      <c r="T714" s="4">
        <v>1755000</v>
      </c>
      <c r="U714" s="5">
        <v>0</v>
      </c>
      <c r="V714" s="4">
        <v>0</v>
      </c>
      <c r="W714" s="5">
        <v>0</v>
      </c>
      <c r="X714" s="4">
        <v>0</v>
      </c>
      <c r="Y714" s="4">
        <f t="shared" si="22"/>
        <v>1755000</v>
      </c>
      <c r="Z714" s="6" t="s">
        <v>0</v>
      </c>
      <c r="AA714" t="s">
        <v>2</v>
      </c>
      <c r="AB714" t="s">
        <v>12</v>
      </c>
      <c r="AC714">
        <f>_xlfn.XLOOKUP(AB714,'[1]GST Codes'!$A:$A,'[1]GST Codes'!$C:$C,0,0)</f>
        <v>18</v>
      </c>
      <c r="AD714">
        <f t="shared" si="23"/>
        <v>2070900</v>
      </c>
      <c r="AE714" t="s">
        <v>13</v>
      </c>
      <c r="AF714" t="s">
        <v>0</v>
      </c>
      <c r="AG714" t="s">
        <v>14</v>
      </c>
      <c r="AH714" t="s">
        <v>15</v>
      </c>
      <c r="AI714" t="s">
        <v>85</v>
      </c>
      <c r="AJ714" t="s">
        <v>17</v>
      </c>
      <c r="AK714" t="s">
        <v>18</v>
      </c>
      <c r="AL714" t="s">
        <v>19</v>
      </c>
      <c r="AM714" t="s">
        <v>363</v>
      </c>
      <c r="AN714" t="s">
        <v>0</v>
      </c>
      <c r="AO714" t="s">
        <v>0</v>
      </c>
      <c r="AP714" t="s">
        <v>0</v>
      </c>
      <c r="AQ714" s="5">
        <v>30</v>
      </c>
      <c r="AR714" t="s">
        <v>11</v>
      </c>
      <c r="AS714" t="s">
        <v>0</v>
      </c>
      <c r="AT714" t="s">
        <v>17</v>
      </c>
      <c r="AU714" s="4">
        <v>0</v>
      </c>
      <c r="AV714" s="4">
        <v>0</v>
      </c>
      <c r="AW714" s="4">
        <v>0</v>
      </c>
      <c r="AX714" s="4">
        <v>0</v>
      </c>
      <c r="AY714" s="5">
        <v>0</v>
      </c>
      <c r="AZ714" s="5">
        <v>0</v>
      </c>
      <c r="BA714" s="5">
        <v>0</v>
      </c>
      <c r="BB714" s="2"/>
      <c r="BC714" t="s">
        <v>0</v>
      </c>
      <c r="BD714" s="5">
        <v>1</v>
      </c>
      <c r="BE714" t="s">
        <v>0</v>
      </c>
      <c r="BF714" t="s">
        <v>368</v>
      </c>
      <c r="BG714" t="s">
        <v>17</v>
      </c>
      <c r="BH714" t="s">
        <v>0</v>
      </c>
      <c r="BI714" t="s">
        <v>11</v>
      </c>
      <c r="BJ714" t="s">
        <v>0</v>
      </c>
      <c r="BK714" t="s">
        <v>0</v>
      </c>
      <c r="BL714" s="5">
        <v>0</v>
      </c>
      <c r="BM714" t="s">
        <v>0</v>
      </c>
      <c r="BN714" t="s">
        <v>0</v>
      </c>
      <c r="BO714" t="s">
        <v>0</v>
      </c>
      <c r="BP714" t="s">
        <v>17</v>
      </c>
      <c r="BQ714" t="s">
        <v>0</v>
      </c>
      <c r="BR714" t="s">
        <v>17</v>
      </c>
      <c r="BS714" t="s">
        <v>17</v>
      </c>
      <c r="BT714" t="s">
        <v>0</v>
      </c>
      <c r="BU714" t="s">
        <v>0</v>
      </c>
      <c r="BV714" t="s">
        <v>0</v>
      </c>
      <c r="BW714" t="s">
        <v>0</v>
      </c>
      <c r="BX714" t="s">
        <v>0</v>
      </c>
      <c r="BY714" t="s">
        <v>0</v>
      </c>
      <c r="BZ714" t="s">
        <v>0</v>
      </c>
      <c r="CA714" t="s">
        <v>0</v>
      </c>
      <c r="CB714" t="s">
        <v>0</v>
      </c>
    </row>
    <row r="715" spans="1:80" ht="13.95" customHeight="1" x14ac:dyDescent="0.25">
      <c r="A715" t="s">
        <v>381</v>
      </c>
      <c r="B715" s="2">
        <v>46060</v>
      </c>
      <c r="C715" s="2">
        <v>46060</v>
      </c>
      <c r="D715" s="2">
        <v>46088</v>
      </c>
      <c r="E715" t="s">
        <v>2</v>
      </c>
      <c r="F715" t="s">
        <v>3</v>
      </c>
      <c r="G715" t="s">
        <v>0</v>
      </c>
      <c r="H715" t="s">
        <v>4</v>
      </c>
      <c r="I715" t="s">
        <v>363</v>
      </c>
      <c r="J715" t="s">
        <v>6</v>
      </c>
      <c r="K715" t="s">
        <v>88</v>
      </c>
      <c r="L715" t="s">
        <v>39</v>
      </c>
      <c r="M715" t="s">
        <v>40</v>
      </c>
      <c r="N715" t="s">
        <v>10</v>
      </c>
      <c r="O715" t="s">
        <v>0</v>
      </c>
      <c r="P715" t="s">
        <v>11</v>
      </c>
      <c r="Q715" s="5">
        <v>30</v>
      </c>
      <c r="R715" s="4">
        <v>58500</v>
      </c>
      <c r="S715" s="5">
        <v>1</v>
      </c>
      <c r="T715" s="4">
        <v>1755000</v>
      </c>
      <c r="U715" s="5">
        <v>0</v>
      </c>
      <c r="V715" s="4">
        <v>0</v>
      </c>
      <c r="W715" s="5">
        <v>0</v>
      </c>
      <c r="X715" s="4">
        <v>0</v>
      </c>
      <c r="Y715" s="4">
        <f t="shared" si="22"/>
        <v>1755000</v>
      </c>
      <c r="Z715" s="6" t="s">
        <v>0</v>
      </c>
      <c r="AA715" t="s">
        <v>2</v>
      </c>
      <c r="AB715" t="s">
        <v>12</v>
      </c>
      <c r="AC715">
        <f>_xlfn.XLOOKUP(AB715,'[1]GST Codes'!$A:$A,'[1]GST Codes'!$C:$C,0,0)</f>
        <v>18</v>
      </c>
      <c r="AD715">
        <f t="shared" si="23"/>
        <v>2070900</v>
      </c>
      <c r="AE715" t="s">
        <v>13</v>
      </c>
      <c r="AF715" t="s">
        <v>0</v>
      </c>
      <c r="AG715" t="s">
        <v>14</v>
      </c>
      <c r="AH715" t="s">
        <v>15</v>
      </c>
      <c r="AI715" t="s">
        <v>85</v>
      </c>
      <c r="AJ715" t="s">
        <v>17</v>
      </c>
      <c r="AK715" t="s">
        <v>18</v>
      </c>
      <c r="AL715" t="s">
        <v>19</v>
      </c>
      <c r="AM715" t="s">
        <v>363</v>
      </c>
      <c r="AN715" t="s">
        <v>0</v>
      </c>
      <c r="AO715" t="s">
        <v>0</v>
      </c>
      <c r="AP715" t="s">
        <v>0</v>
      </c>
      <c r="AQ715" s="5">
        <v>30</v>
      </c>
      <c r="AR715" t="s">
        <v>11</v>
      </c>
      <c r="AS715" t="s">
        <v>0</v>
      </c>
      <c r="AT715" t="s">
        <v>17</v>
      </c>
      <c r="AU715" s="4">
        <v>0</v>
      </c>
      <c r="AV715" s="4">
        <v>0</v>
      </c>
      <c r="AW715" s="4">
        <v>0</v>
      </c>
      <c r="AX715" s="4">
        <v>0</v>
      </c>
      <c r="AY715" s="5">
        <v>0</v>
      </c>
      <c r="AZ715" s="5">
        <v>0</v>
      </c>
      <c r="BA715" s="5">
        <v>0</v>
      </c>
      <c r="BB715" s="2"/>
      <c r="BC715" t="s">
        <v>0</v>
      </c>
      <c r="BD715" s="5">
        <v>1</v>
      </c>
      <c r="BE715" t="s">
        <v>0</v>
      </c>
      <c r="BF715" t="s">
        <v>368</v>
      </c>
      <c r="BG715" t="s">
        <v>17</v>
      </c>
      <c r="BH715" t="s">
        <v>0</v>
      </c>
      <c r="BI715" t="s">
        <v>11</v>
      </c>
      <c r="BJ715" t="s">
        <v>0</v>
      </c>
      <c r="BK715" t="s">
        <v>0</v>
      </c>
      <c r="BL715" s="5">
        <v>0</v>
      </c>
      <c r="BM715" t="s">
        <v>0</v>
      </c>
      <c r="BN715" t="s">
        <v>0</v>
      </c>
      <c r="BO715" t="s">
        <v>0</v>
      </c>
      <c r="BP715" t="s">
        <v>17</v>
      </c>
      <c r="BQ715" t="s">
        <v>0</v>
      </c>
      <c r="BR715" t="s">
        <v>17</v>
      </c>
      <c r="BS715" t="s">
        <v>17</v>
      </c>
      <c r="BT715" t="s">
        <v>0</v>
      </c>
      <c r="BU715" t="s">
        <v>0</v>
      </c>
      <c r="BV715" t="s">
        <v>0</v>
      </c>
      <c r="BW715" t="s">
        <v>0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</row>
    <row r="716" spans="1:80" ht="13.95" customHeight="1" x14ac:dyDescent="0.25">
      <c r="A716" t="s">
        <v>381</v>
      </c>
      <c r="B716" s="2">
        <v>46060</v>
      </c>
      <c r="C716" s="2">
        <v>46060</v>
      </c>
      <c r="D716" s="2">
        <v>46088</v>
      </c>
      <c r="E716" t="s">
        <v>2</v>
      </c>
      <c r="F716" t="s">
        <v>3</v>
      </c>
      <c r="G716" t="s">
        <v>0</v>
      </c>
      <c r="H716" t="s">
        <v>4</v>
      </c>
      <c r="I716" t="s">
        <v>363</v>
      </c>
      <c r="J716" t="s">
        <v>6</v>
      </c>
      <c r="K716" t="s">
        <v>89</v>
      </c>
      <c r="L716" t="s">
        <v>39</v>
      </c>
      <c r="M716" t="s">
        <v>40</v>
      </c>
      <c r="N716" t="s">
        <v>10</v>
      </c>
      <c r="O716" t="s">
        <v>0</v>
      </c>
      <c r="P716" t="s">
        <v>11</v>
      </c>
      <c r="Q716" s="5">
        <v>30</v>
      </c>
      <c r="R716" s="4">
        <v>58500</v>
      </c>
      <c r="S716" s="5">
        <v>1</v>
      </c>
      <c r="T716" s="4">
        <v>1755000</v>
      </c>
      <c r="U716" s="5">
        <v>0</v>
      </c>
      <c r="V716" s="4">
        <v>0</v>
      </c>
      <c r="W716" s="5">
        <v>0</v>
      </c>
      <c r="X716" s="4">
        <v>0</v>
      </c>
      <c r="Y716" s="4">
        <f t="shared" si="22"/>
        <v>1755000</v>
      </c>
      <c r="Z716" s="6" t="s">
        <v>0</v>
      </c>
      <c r="AA716" t="s">
        <v>2</v>
      </c>
      <c r="AB716" t="s">
        <v>12</v>
      </c>
      <c r="AC716">
        <f>_xlfn.XLOOKUP(AB716,'[1]GST Codes'!$A:$A,'[1]GST Codes'!$C:$C,0,0)</f>
        <v>18</v>
      </c>
      <c r="AD716">
        <f t="shared" si="23"/>
        <v>2070900</v>
      </c>
      <c r="AE716" t="s">
        <v>13</v>
      </c>
      <c r="AF716" t="s">
        <v>0</v>
      </c>
      <c r="AG716" t="s">
        <v>14</v>
      </c>
      <c r="AH716" t="s">
        <v>15</v>
      </c>
      <c r="AI716" t="s">
        <v>85</v>
      </c>
      <c r="AJ716" t="s">
        <v>17</v>
      </c>
      <c r="AK716" t="s">
        <v>18</v>
      </c>
      <c r="AL716" t="s">
        <v>19</v>
      </c>
      <c r="AM716" t="s">
        <v>363</v>
      </c>
      <c r="AN716" t="s">
        <v>0</v>
      </c>
      <c r="AO716" t="s">
        <v>0</v>
      </c>
      <c r="AP716" t="s">
        <v>0</v>
      </c>
      <c r="AQ716" s="5">
        <v>30</v>
      </c>
      <c r="AR716" t="s">
        <v>11</v>
      </c>
      <c r="AS716" t="s">
        <v>0</v>
      </c>
      <c r="AT716" t="s">
        <v>17</v>
      </c>
      <c r="AU716" s="4">
        <v>0</v>
      </c>
      <c r="AV716" s="4">
        <v>0</v>
      </c>
      <c r="AW716" s="4">
        <v>0</v>
      </c>
      <c r="AX716" s="4">
        <v>0</v>
      </c>
      <c r="AY716" s="5">
        <v>0</v>
      </c>
      <c r="AZ716" s="5">
        <v>0</v>
      </c>
      <c r="BA716" s="5">
        <v>0</v>
      </c>
      <c r="BB716" s="2"/>
      <c r="BC716" t="s">
        <v>0</v>
      </c>
      <c r="BD716" s="5">
        <v>1</v>
      </c>
      <c r="BE716" t="s">
        <v>0</v>
      </c>
      <c r="BF716" t="s">
        <v>368</v>
      </c>
      <c r="BG716" t="s">
        <v>17</v>
      </c>
      <c r="BH716" t="s">
        <v>0</v>
      </c>
      <c r="BI716" t="s">
        <v>11</v>
      </c>
      <c r="BJ716" t="s">
        <v>0</v>
      </c>
      <c r="BK716" t="s">
        <v>0</v>
      </c>
      <c r="BL716" s="5">
        <v>0</v>
      </c>
      <c r="BM716" t="s">
        <v>0</v>
      </c>
      <c r="BN716" t="s">
        <v>0</v>
      </c>
      <c r="BO716" t="s">
        <v>0</v>
      </c>
      <c r="BP716" t="s">
        <v>17</v>
      </c>
      <c r="BQ716" t="s">
        <v>0</v>
      </c>
      <c r="BR716" t="s">
        <v>17</v>
      </c>
      <c r="BS716" t="s">
        <v>17</v>
      </c>
      <c r="BT716" t="s">
        <v>0</v>
      </c>
      <c r="BU716" t="s">
        <v>0</v>
      </c>
      <c r="BV716" t="s">
        <v>0</v>
      </c>
      <c r="BW716" t="s">
        <v>0</v>
      </c>
      <c r="BX716" t="s">
        <v>0</v>
      </c>
      <c r="BY716" t="s">
        <v>0</v>
      </c>
      <c r="BZ716" t="s">
        <v>0</v>
      </c>
      <c r="CA716" t="s">
        <v>0</v>
      </c>
      <c r="CB716" t="s">
        <v>0</v>
      </c>
    </row>
    <row r="717" spans="1:80" ht="13.95" customHeight="1" x14ac:dyDescent="0.25">
      <c r="A717" t="s">
        <v>381</v>
      </c>
      <c r="B717" s="2">
        <v>46060</v>
      </c>
      <c r="C717" s="2">
        <v>46060</v>
      </c>
      <c r="D717" s="2">
        <v>46088</v>
      </c>
      <c r="E717" t="s">
        <v>2</v>
      </c>
      <c r="F717" t="s">
        <v>3</v>
      </c>
      <c r="G717" t="s">
        <v>0</v>
      </c>
      <c r="H717" t="s">
        <v>4</v>
      </c>
      <c r="I717" t="s">
        <v>363</v>
      </c>
      <c r="J717" t="s">
        <v>6</v>
      </c>
      <c r="K717" t="s">
        <v>90</v>
      </c>
      <c r="L717" t="s">
        <v>39</v>
      </c>
      <c r="M717" t="s">
        <v>40</v>
      </c>
      <c r="N717" t="s">
        <v>10</v>
      </c>
      <c r="O717" t="s">
        <v>0</v>
      </c>
      <c r="P717" t="s">
        <v>11</v>
      </c>
      <c r="Q717" s="5">
        <v>30</v>
      </c>
      <c r="R717" s="4">
        <v>58500</v>
      </c>
      <c r="S717" s="5">
        <v>1</v>
      </c>
      <c r="T717" s="4">
        <v>1755000</v>
      </c>
      <c r="U717" s="5">
        <v>0</v>
      </c>
      <c r="V717" s="4">
        <v>0</v>
      </c>
      <c r="W717" s="5">
        <v>0</v>
      </c>
      <c r="X717" s="4">
        <v>0</v>
      </c>
      <c r="Y717" s="4">
        <f t="shared" si="22"/>
        <v>1755000</v>
      </c>
      <c r="Z717" s="6" t="s">
        <v>0</v>
      </c>
      <c r="AA717" t="s">
        <v>2</v>
      </c>
      <c r="AB717" t="s">
        <v>12</v>
      </c>
      <c r="AC717">
        <f>_xlfn.XLOOKUP(AB717,'[1]GST Codes'!$A:$A,'[1]GST Codes'!$C:$C,0,0)</f>
        <v>18</v>
      </c>
      <c r="AD717">
        <f t="shared" si="23"/>
        <v>2070900</v>
      </c>
      <c r="AE717" t="s">
        <v>13</v>
      </c>
      <c r="AF717" t="s">
        <v>0</v>
      </c>
      <c r="AG717" t="s">
        <v>14</v>
      </c>
      <c r="AH717" t="s">
        <v>15</v>
      </c>
      <c r="AI717" t="s">
        <v>85</v>
      </c>
      <c r="AJ717" t="s">
        <v>17</v>
      </c>
      <c r="AK717" t="s">
        <v>18</v>
      </c>
      <c r="AL717" t="s">
        <v>19</v>
      </c>
      <c r="AM717" t="s">
        <v>363</v>
      </c>
      <c r="AN717" t="s">
        <v>0</v>
      </c>
      <c r="AO717" t="s">
        <v>0</v>
      </c>
      <c r="AP717" t="s">
        <v>0</v>
      </c>
      <c r="AQ717" s="5">
        <v>30</v>
      </c>
      <c r="AR717" t="s">
        <v>11</v>
      </c>
      <c r="AS717" t="s">
        <v>0</v>
      </c>
      <c r="AT717" t="s">
        <v>17</v>
      </c>
      <c r="AU717" s="4">
        <v>0</v>
      </c>
      <c r="AV717" s="4">
        <v>0</v>
      </c>
      <c r="AW717" s="4">
        <v>0</v>
      </c>
      <c r="AX717" s="4">
        <v>0</v>
      </c>
      <c r="AY717" s="5">
        <v>0</v>
      </c>
      <c r="AZ717" s="5">
        <v>0</v>
      </c>
      <c r="BA717" s="5">
        <v>0</v>
      </c>
      <c r="BB717" s="2"/>
      <c r="BC717" t="s">
        <v>0</v>
      </c>
      <c r="BD717" s="5">
        <v>1</v>
      </c>
      <c r="BE717" t="s">
        <v>0</v>
      </c>
      <c r="BF717" t="s">
        <v>368</v>
      </c>
      <c r="BG717" t="s">
        <v>17</v>
      </c>
      <c r="BH717" t="s">
        <v>0</v>
      </c>
      <c r="BI717" t="s">
        <v>11</v>
      </c>
      <c r="BJ717" t="s">
        <v>0</v>
      </c>
      <c r="BK717" t="s">
        <v>0</v>
      </c>
      <c r="BL717" s="5">
        <v>0</v>
      </c>
      <c r="BM717" t="s">
        <v>0</v>
      </c>
      <c r="BN717" t="s">
        <v>0</v>
      </c>
      <c r="BO717" t="s">
        <v>0</v>
      </c>
      <c r="BP717" t="s">
        <v>17</v>
      </c>
      <c r="BQ717" t="s">
        <v>0</v>
      </c>
      <c r="BR717" t="s">
        <v>17</v>
      </c>
      <c r="BS717" t="s">
        <v>17</v>
      </c>
      <c r="BT717" t="s">
        <v>0</v>
      </c>
      <c r="BU717" t="s">
        <v>0</v>
      </c>
      <c r="BV717" t="s">
        <v>0</v>
      </c>
      <c r="BW717" t="s">
        <v>0</v>
      </c>
      <c r="BX717" t="s">
        <v>0</v>
      </c>
      <c r="BY717" t="s">
        <v>0</v>
      </c>
      <c r="BZ717" t="s">
        <v>0</v>
      </c>
      <c r="CA717" t="s">
        <v>0</v>
      </c>
      <c r="CB717" t="s">
        <v>0</v>
      </c>
    </row>
    <row r="718" spans="1:80" ht="13.95" customHeight="1" x14ac:dyDescent="0.25">
      <c r="A718" t="s">
        <v>381</v>
      </c>
      <c r="B718" s="2">
        <v>46060</v>
      </c>
      <c r="C718" s="2">
        <v>46060</v>
      </c>
      <c r="D718" s="2">
        <v>46088</v>
      </c>
      <c r="E718" t="s">
        <v>2</v>
      </c>
      <c r="F718" t="s">
        <v>3</v>
      </c>
      <c r="G718" t="s">
        <v>0</v>
      </c>
      <c r="H718" t="s">
        <v>4</v>
      </c>
      <c r="I718" t="s">
        <v>363</v>
      </c>
      <c r="J718" t="s">
        <v>6</v>
      </c>
      <c r="K718" t="s">
        <v>177</v>
      </c>
      <c r="L718" t="s">
        <v>43</v>
      </c>
      <c r="M718" t="s">
        <v>44</v>
      </c>
      <c r="N718" t="s">
        <v>10</v>
      </c>
      <c r="O718" t="s">
        <v>0</v>
      </c>
      <c r="P718" t="s">
        <v>11</v>
      </c>
      <c r="Q718" s="5">
        <v>30</v>
      </c>
      <c r="R718" s="4">
        <v>58500</v>
      </c>
      <c r="S718" s="5">
        <v>1</v>
      </c>
      <c r="T718" s="4">
        <v>1755000</v>
      </c>
      <c r="U718" s="5">
        <v>0</v>
      </c>
      <c r="V718" s="4">
        <v>0</v>
      </c>
      <c r="W718" s="5">
        <v>0</v>
      </c>
      <c r="X718" s="4">
        <v>0</v>
      </c>
      <c r="Y718" s="4">
        <f t="shared" si="22"/>
        <v>1755000</v>
      </c>
      <c r="Z718" s="6" t="s">
        <v>0</v>
      </c>
      <c r="AA718" t="s">
        <v>2</v>
      </c>
      <c r="AB718" t="s">
        <v>12</v>
      </c>
      <c r="AC718">
        <f>_xlfn.XLOOKUP(AB718,'[1]GST Codes'!$A:$A,'[1]GST Codes'!$C:$C,0,0)</f>
        <v>18</v>
      </c>
      <c r="AD718">
        <f t="shared" si="23"/>
        <v>2070900</v>
      </c>
      <c r="AE718" t="s">
        <v>13</v>
      </c>
      <c r="AF718" t="s">
        <v>0</v>
      </c>
      <c r="AG718" t="s">
        <v>14</v>
      </c>
      <c r="AH718" t="s">
        <v>15</v>
      </c>
      <c r="AI718" t="s">
        <v>85</v>
      </c>
      <c r="AJ718" t="s">
        <v>17</v>
      </c>
      <c r="AK718" t="s">
        <v>18</v>
      </c>
      <c r="AL718" t="s">
        <v>19</v>
      </c>
      <c r="AM718" t="s">
        <v>363</v>
      </c>
      <c r="AN718" t="s">
        <v>0</v>
      </c>
      <c r="AO718" t="s">
        <v>0</v>
      </c>
      <c r="AP718" t="s">
        <v>0</v>
      </c>
      <c r="AQ718" s="5">
        <v>30</v>
      </c>
      <c r="AR718" t="s">
        <v>11</v>
      </c>
      <c r="AS718" t="s">
        <v>0</v>
      </c>
      <c r="AT718" t="s">
        <v>17</v>
      </c>
      <c r="AU718" s="4">
        <v>0</v>
      </c>
      <c r="AV718" s="4">
        <v>0</v>
      </c>
      <c r="AW718" s="4">
        <v>0</v>
      </c>
      <c r="AX718" s="4">
        <v>0</v>
      </c>
      <c r="AY718" s="5">
        <v>0</v>
      </c>
      <c r="AZ718" s="5">
        <v>0</v>
      </c>
      <c r="BA718" s="5">
        <v>0</v>
      </c>
      <c r="BB718" s="2"/>
      <c r="BC718" t="s">
        <v>0</v>
      </c>
      <c r="BD718" s="5">
        <v>1</v>
      </c>
      <c r="BE718" t="s">
        <v>0</v>
      </c>
      <c r="BF718" t="s">
        <v>364</v>
      </c>
      <c r="BG718" t="s">
        <v>17</v>
      </c>
      <c r="BH718" t="s">
        <v>0</v>
      </c>
      <c r="BI718" t="s">
        <v>11</v>
      </c>
      <c r="BJ718" t="s">
        <v>0</v>
      </c>
      <c r="BK718" t="s">
        <v>0</v>
      </c>
      <c r="BL718" s="5">
        <v>0</v>
      </c>
      <c r="BM718" t="s">
        <v>0</v>
      </c>
      <c r="BN718" t="s">
        <v>0</v>
      </c>
      <c r="BO718" t="s">
        <v>0</v>
      </c>
      <c r="BP718" t="s">
        <v>17</v>
      </c>
      <c r="BQ718" t="s">
        <v>0</v>
      </c>
      <c r="BR718" t="s">
        <v>17</v>
      </c>
      <c r="BS718" t="s">
        <v>17</v>
      </c>
      <c r="BT718" t="s">
        <v>0</v>
      </c>
      <c r="BU718" t="s">
        <v>0</v>
      </c>
      <c r="BV718" t="s">
        <v>0</v>
      </c>
      <c r="BW718" t="s">
        <v>0</v>
      </c>
      <c r="BX718" t="s">
        <v>0</v>
      </c>
      <c r="BY718" t="s">
        <v>0</v>
      </c>
      <c r="BZ718" t="s">
        <v>0</v>
      </c>
      <c r="CA718" t="s">
        <v>0</v>
      </c>
      <c r="CB718" t="s">
        <v>0</v>
      </c>
    </row>
    <row r="719" spans="1:80" ht="13.95" customHeight="1" x14ac:dyDescent="0.25">
      <c r="A719" t="s">
        <v>381</v>
      </c>
      <c r="B719" s="2">
        <v>46060</v>
      </c>
      <c r="C719" s="2">
        <v>46060</v>
      </c>
      <c r="D719" s="2">
        <v>46088</v>
      </c>
      <c r="E719" t="s">
        <v>2</v>
      </c>
      <c r="F719" t="s">
        <v>3</v>
      </c>
      <c r="G719" t="s">
        <v>0</v>
      </c>
      <c r="H719" t="s">
        <v>4</v>
      </c>
      <c r="I719" t="s">
        <v>363</v>
      </c>
      <c r="J719" t="s">
        <v>6</v>
      </c>
      <c r="K719" t="s">
        <v>181</v>
      </c>
      <c r="L719" t="s">
        <v>43</v>
      </c>
      <c r="M719" t="s">
        <v>44</v>
      </c>
      <c r="N719" t="s">
        <v>10</v>
      </c>
      <c r="O719" t="s">
        <v>0</v>
      </c>
      <c r="P719" t="s">
        <v>11</v>
      </c>
      <c r="Q719" s="5">
        <v>13</v>
      </c>
      <c r="R719" s="4">
        <v>58500</v>
      </c>
      <c r="S719" s="5">
        <v>1</v>
      </c>
      <c r="T719" s="4">
        <v>760500</v>
      </c>
      <c r="U719" s="3">
        <v>0.28000000000000003</v>
      </c>
      <c r="V719" s="4">
        <v>16380</v>
      </c>
      <c r="W719" s="3">
        <v>0.28000000000000003</v>
      </c>
      <c r="X719" s="4">
        <v>16380</v>
      </c>
      <c r="Y719" s="4">
        <f t="shared" si="22"/>
        <v>744120</v>
      </c>
      <c r="Z719" s="6" t="s">
        <v>0</v>
      </c>
      <c r="AA719" t="s">
        <v>2</v>
      </c>
      <c r="AB719" t="s">
        <v>12</v>
      </c>
      <c r="AC719">
        <f>_xlfn.XLOOKUP(AB719,'[1]GST Codes'!$A:$A,'[1]GST Codes'!$C:$C,0,0)</f>
        <v>18</v>
      </c>
      <c r="AD719">
        <f t="shared" si="23"/>
        <v>878061.6</v>
      </c>
      <c r="AE719" t="s">
        <v>13</v>
      </c>
      <c r="AF719" t="s">
        <v>0</v>
      </c>
      <c r="AG719" t="s">
        <v>14</v>
      </c>
      <c r="AH719" t="s">
        <v>15</v>
      </c>
      <c r="AI719" t="s">
        <v>85</v>
      </c>
      <c r="AJ719" t="s">
        <v>17</v>
      </c>
      <c r="AK719" t="s">
        <v>18</v>
      </c>
      <c r="AL719" t="s">
        <v>19</v>
      </c>
      <c r="AM719" t="s">
        <v>363</v>
      </c>
      <c r="AN719" t="s">
        <v>0</v>
      </c>
      <c r="AO719" t="s">
        <v>0</v>
      </c>
      <c r="AP719" t="s">
        <v>0</v>
      </c>
      <c r="AQ719" s="5">
        <v>13</v>
      </c>
      <c r="AR719" t="s">
        <v>11</v>
      </c>
      <c r="AS719" t="s">
        <v>0</v>
      </c>
      <c r="AT719" t="s">
        <v>17</v>
      </c>
      <c r="AU719" s="4">
        <v>0</v>
      </c>
      <c r="AV719" s="4">
        <v>0</v>
      </c>
      <c r="AW719" s="4">
        <v>0</v>
      </c>
      <c r="AX719" s="4">
        <v>0</v>
      </c>
      <c r="AY719" s="5">
        <v>0</v>
      </c>
      <c r="AZ719" s="5">
        <v>0</v>
      </c>
      <c r="BA719" s="5">
        <v>0</v>
      </c>
      <c r="BB719" s="2"/>
      <c r="BC719" t="s">
        <v>0</v>
      </c>
      <c r="BD719" s="5">
        <v>1</v>
      </c>
      <c r="BE719" t="s">
        <v>0</v>
      </c>
      <c r="BF719" t="s">
        <v>364</v>
      </c>
      <c r="BG719" t="s">
        <v>17</v>
      </c>
      <c r="BH719" t="s">
        <v>0</v>
      </c>
      <c r="BI719" t="s">
        <v>11</v>
      </c>
      <c r="BJ719" t="s">
        <v>0</v>
      </c>
      <c r="BK719" t="s">
        <v>0</v>
      </c>
      <c r="BL719" s="5">
        <v>0</v>
      </c>
      <c r="BM719" t="s">
        <v>0</v>
      </c>
      <c r="BN719" t="s">
        <v>0</v>
      </c>
      <c r="BO719" t="s">
        <v>0</v>
      </c>
      <c r="BP719" t="s">
        <v>17</v>
      </c>
      <c r="BQ719" t="s">
        <v>0</v>
      </c>
      <c r="BR719" t="s">
        <v>17</v>
      </c>
      <c r="BS719" t="s">
        <v>17</v>
      </c>
      <c r="BT719" t="s">
        <v>0</v>
      </c>
      <c r="BU719" t="s">
        <v>0</v>
      </c>
      <c r="BV719" t="s">
        <v>0</v>
      </c>
      <c r="BW719" t="s">
        <v>0</v>
      </c>
      <c r="BX719" t="s">
        <v>0</v>
      </c>
      <c r="BY719" t="s">
        <v>0</v>
      </c>
      <c r="BZ719" t="s">
        <v>0</v>
      </c>
      <c r="CA719" t="s">
        <v>0</v>
      </c>
      <c r="CB719" t="s">
        <v>0</v>
      </c>
    </row>
    <row r="720" spans="1:80" x14ac:dyDescent="0.25">
      <c r="A720" t="s">
        <v>381</v>
      </c>
      <c r="B720" s="2">
        <v>46060</v>
      </c>
      <c r="C720" s="2">
        <v>46060</v>
      </c>
      <c r="D720" s="2">
        <v>46088</v>
      </c>
      <c r="E720" t="s">
        <v>2</v>
      </c>
      <c r="F720" t="s">
        <v>3</v>
      </c>
      <c r="G720" t="s">
        <v>0</v>
      </c>
      <c r="H720" t="s">
        <v>4</v>
      </c>
      <c r="I720" t="s">
        <v>363</v>
      </c>
      <c r="J720" t="s">
        <v>6</v>
      </c>
      <c r="K720" t="s">
        <v>185</v>
      </c>
      <c r="L720" t="s">
        <v>43</v>
      </c>
      <c r="M720" t="s">
        <v>44</v>
      </c>
      <c r="N720" t="s">
        <v>10</v>
      </c>
      <c r="O720" t="s">
        <v>0</v>
      </c>
      <c r="P720" t="s">
        <v>11</v>
      </c>
      <c r="Q720" s="5">
        <v>3</v>
      </c>
      <c r="R720" s="4">
        <v>58500</v>
      </c>
      <c r="S720" s="5">
        <v>1</v>
      </c>
      <c r="T720" s="4">
        <v>175500</v>
      </c>
      <c r="U720" s="5">
        <v>3</v>
      </c>
      <c r="V720" s="4">
        <v>175500</v>
      </c>
      <c r="W720" s="5">
        <v>3</v>
      </c>
      <c r="X720" s="4">
        <v>175500</v>
      </c>
      <c r="Y720" s="4">
        <f t="shared" si="22"/>
        <v>0</v>
      </c>
      <c r="Z720" t="s">
        <v>0</v>
      </c>
      <c r="AA720" t="s">
        <v>2</v>
      </c>
      <c r="AB720" t="s">
        <v>12</v>
      </c>
      <c r="AC720">
        <f>_xlfn.XLOOKUP(AB720,'[1]GST Codes'!$A:$A,'[1]GST Codes'!$C:$C,0,0)</f>
        <v>18</v>
      </c>
      <c r="AD720">
        <f t="shared" si="23"/>
        <v>0</v>
      </c>
      <c r="AE720" t="s">
        <v>13</v>
      </c>
      <c r="AF720" t="s">
        <v>0</v>
      </c>
      <c r="AG720" t="s">
        <v>14</v>
      </c>
      <c r="AH720" t="s">
        <v>15</v>
      </c>
      <c r="AI720" t="s">
        <v>85</v>
      </c>
      <c r="AJ720" t="s">
        <v>17</v>
      </c>
      <c r="AK720" t="s">
        <v>18</v>
      </c>
      <c r="AL720" t="s">
        <v>19</v>
      </c>
      <c r="AM720" t="s">
        <v>363</v>
      </c>
      <c r="AN720" t="s">
        <v>0</v>
      </c>
      <c r="AO720" t="s">
        <v>0</v>
      </c>
      <c r="AP720" t="s">
        <v>0</v>
      </c>
      <c r="AQ720" s="5">
        <v>3</v>
      </c>
      <c r="AR720" t="s">
        <v>11</v>
      </c>
      <c r="AS720" t="s">
        <v>0</v>
      </c>
      <c r="AT720" t="s">
        <v>17</v>
      </c>
      <c r="AU720" s="4">
        <v>0</v>
      </c>
      <c r="AV720" s="4">
        <v>0</v>
      </c>
      <c r="AW720" s="4">
        <v>0</v>
      </c>
      <c r="AX720" s="4">
        <v>0</v>
      </c>
      <c r="AY720" s="5">
        <v>0</v>
      </c>
      <c r="AZ720" s="5">
        <v>0</v>
      </c>
      <c r="BA720" s="5">
        <v>0</v>
      </c>
      <c r="BB720" s="2"/>
      <c r="BC720" t="s">
        <v>0</v>
      </c>
      <c r="BD720" s="5">
        <v>1</v>
      </c>
      <c r="BE720" t="s">
        <v>0</v>
      </c>
      <c r="BF720" t="s">
        <v>364</v>
      </c>
      <c r="BG720" t="s">
        <v>17</v>
      </c>
      <c r="BH720" t="s">
        <v>0</v>
      </c>
      <c r="BI720" t="s">
        <v>11</v>
      </c>
      <c r="BJ720" t="s">
        <v>0</v>
      </c>
      <c r="BK720" t="s">
        <v>0</v>
      </c>
      <c r="BL720" s="5">
        <v>0</v>
      </c>
      <c r="BM720" t="s">
        <v>0</v>
      </c>
      <c r="BN720" t="s">
        <v>0</v>
      </c>
      <c r="BO720" t="s">
        <v>0</v>
      </c>
      <c r="BP720" t="s">
        <v>17</v>
      </c>
      <c r="BQ720" t="s">
        <v>0</v>
      </c>
      <c r="BR720" t="s">
        <v>17</v>
      </c>
      <c r="BS720" t="s">
        <v>17</v>
      </c>
      <c r="BT720" t="s">
        <v>0</v>
      </c>
      <c r="BU720" t="s">
        <v>0</v>
      </c>
      <c r="BV720" t="s">
        <v>0</v>
      </c>
      <c r="BW720" t="s">
        <v>0</v>
      </c>
      <c r="BX720" t="s">
        <v>0</v>
      </c>
      <c r="BY720" t="s">
        <v>0</v>
      </c>
      <c r="BZ720" t="s">
        <v>0</v>
      </c>
      <c r="CA720" t="s">
        <v>0</v>
      </c>
      <c r="CB720" t="s">
        <v>0</v>
      </c>
    </row>
    <row r="721" spans="1:80" x14ac:dyDescent="0.25">
      <c r="A721" t="s">
        <v>381</v>
      </c>
      <c r="B721" s="2">
        <v>46060</v>
      </c>
      <c r="C721" s="2">
        <v>46060</v>
      </c>
      <c r="D721" s="2">
        <v>46088</v>
      </c>
      <c r="E721" t="s">
        <v>2</v>
      </c>
      <c r="F721" t="s">
        <v>3</v>
      </c>
      <c r="G721" t="s">
        <v>0</v>
      </c>
      <c r="H721" t="s">
        <v>4</v>
      </c>
      <c r="I721" t="s">
        <v>363</v>
      </c>
      <c r="J721" t="s">
        <v>6</v>
      </c>
      <c r="K721" t="s">
        <v>189</v>
      </c>
      <c r="L721" t="s">
        <v>43</v>
      </c>
      <c r="M721" t="s">
        <v>44</v>
      </c>
      <c r="N721" t="s">
        <v>10</v>
      </c>
      <c r="O721" t="s">
        <v>0</v>
      </c>
      <c r="P721" t="s">
        <v>11</v>
      </c>
      <c r="Q721" s="5">
        <v>3</v>
      </c>
      <c r="R721" s="4">
        <v>58500</v>
      </c>
      <c r="S721" s="5">
        <v>1</v>
      </c>
      <c r="T721" s="4">
        <v>175500</v>
      </c>
      <c r="U721" s="5">
        <v>3</v>
      </c>
      <c r="V721" s="4">
        <v>175500</v>
      </c>
      <c r="W721" s="5">
        <v>3</v>
      </c>
      <c r="X721" s="4">
        <v>175500</v>
      </c>
      <c r="Y721" s="4">
        <f t="shared" si="22"/>
        <v>0</v>
      </c>
      <c r="Z721" t="s">
        <v>0</v>
      </c>
      <c r="AA721" t="s">
        <v>2</v>
      </c>
      <c r="AB721" t="s">
        <v>12</v>
      </c>
      <c r="AC721">
        <f>_xlfn.XLOOKUP(AB721,'[1]GST Codes'!$A:$A,'[1]GST Codes'!$C:$C,0,0)</f>
        <v>18</v>
      </c>
      <c r="AD721">
        <f t="shared" si="23"/>
        <v>0</v>
      </c>
      <c r="AE721" t="s">
        <v>13</v>
      </c>
      <c r="AF721" t="s">
        <v>0</v>
      </c>
      <c r="AG721" t="s">
        <v>14</v>
      </c>
      <c r="AH721" t="s">
        <v>15</v>
      </c>
      <c r="AI721" t="s">
        <v>85</v>
      </c>
      <c r="AJ721" t="s">
        <v>17</v>
      </c>
      <c r="AK721" t="s">
        <v>18</v>
      </c>
      <c r="AL721" t="s">
        <v>19</v>
      </c>
      <c r="AM721" t="s">
        <v>363</v>
      </c>
      <c r="AN721" t="s">
        <v>0</v>
      </c>
      <c r="AO721" t="s">
        <v>0</v>
      </c>
      <c r="AP721" t="s">
        <v>0</v>
      </c>
      <c r="AQ721" s="5">
        <v>3</v>
      </c>
      <c r="AR721" t="s">
        <v>11</v>
      </c>
      <c r="AS721" t="s">
        <v>0</v>
      </c>
      <c r="AT721" t="s">
        <v>17</v>
      </c>
      <c r="AU721" s="4">
        <v>0</v>
      </c>
      <c r="AV721" s="4">
        <v>0</v>
      </c>
      <c r="AW721" s="4">
        <v>0</v>
      </c>
      <c r="AX721" s="4">
        <v>0</v>
      </c>
      <c r="AY721" s="5">
        <v>0</v>
      </c>
      <c r="AZ721" s="5">
        <v>0</v>
      </c>
      <c r="BA721" s="5">
        <v>0</v>
      </c>
      <c r="BB721" s="2"/>
      <c r="BC721" t="s">
        <v>0</v>
      </c>
      <c r="BD721" s="5">
        <v>1</v>
      </c>
      <c r="BE721" t="s">
        <v>0</v>
      </c>
      <c r="BF721" t="s">
        <v>364</v>
      </c>
      <c r="BG721" t="s">
        <v>17</v>
      </c>
      <c r="BH721" t="s">
        <v>0</v>
      </c>
      <c r="BI721" t="s">
        <v>11</v>
      </c>
      <c r="BJ721" t="s">
        <v>0</v>
      </c>
      <c r="BK721" t="s">
        <v>0</v>
      </c>
      <c r="BL721" s="5">
        <v>0</v>
      </c>
      <c r="BM721" t="s">
        <v>0</v>
      </c>
      <c r="BN721" t="s">
        <v>0</v>
      </c>
      <c r="BO721" t="s">
        <v>0</v>
      </c>
      <c r="BP721" t="s">
        <v>17</v>
      </c>
      <c r="BQ721" t="s">
        <v>0</v>
      </c>
      <c r="BR721" t="s">
        <v>17</v>
      </c>
      <c r="BS721" t="s">
        <v>17</v>
      </c>
      <c r="BT721" t="s">
        <v>0</v>
      </c>
      <c r="BU721" t="s">
        <v>0</v>
      </c>
      <c r="BV721" t="s">
        <v>0</v>
      </c>
      <c r="BW721" t="s">
        <v>0</v>
      </c>
      <c r="BX721" t="s">
        <v>0</v>
      </c>
      <c r="BY721" t="s">
        <v>0</v>
      </c>
      <c r="BZ721" t="s">
        <v>0</v>
      </c>
      <c r="CA721" t="s">
        <v>0</v>
      </c>
      <c r="CB721" t="s">
        <v>0</v>
      </c>
    </row>
    <row r="722" spans="1:80" x14ac:dyDescent="0.25">
      <c r="A722" t="s">
        <v>381</v>
      </c>
      <c r="B722" s="2">
        <v>46060</v>
      </c>
      <c r="C722" s="2">
        <v>46060</v>
      </c>
      <c r="D722" s="2">
        <v>46088</v>
      </c>
      <c r="E722" t="s">
        <v>2</v>
      </c>
      <c r="F722" t="s">
        <v>3</v>
      </c>
      <c r="G722" t="s">
        <v>0</v>
      </c>
      <c r="H722" t="s">
        <v>4</v>
      </c>
      <c r="I722" t="s">
        <v>363</v>
      </c>
      <c r="J722" t="s">
        <v>6</v>
      </c>
      <c r="K722" t="s">
        <v>193</v>
      </c>
      <c r="L722" t="s">
        <v>43</v>
      </c>
      <c r="M722" t="s">
        <v>44</v>
      </c>
      <c r="N722" t="s">
        <v>10</v>
      </c>
      <c r="O722" t="s">
        <v>0</v>
      </c>
      <c r="P722" t="s">
        <v>11</v>
      </c>
      <c r="Q722" s="5">
        <v>3</v>
      </c>
      <c r="R722" s="4">
        <v>58500</v>
      </c>
      <c r="S722" s="5">
        <v>1</v>
      </c>
      <c r="T722" s="4">
        <v>175500</v>
      </c>
      <c r="U722" s="5">
        <v>3</v>
      </c>
      <c r="V722" s="4">
        <v>175500</v>
      </c>
      <c r="W722" s="5">
        <v>3</v>
      </c>
      <c r="X722" s="4">
        <v>175500</v>
      </c>
      <c r="Y722" s="4">
        <f t="shared" si="22"/>
        <v>0</v>
      </c>
      <c r="Z722" t="s">
        <v>0</v>
      </c>
      <c r="AA722" t="s">
        <v>2</v>
      </c>
      <c r="AB722" t="s">
        <v>12</v>
      </c>
      <c r="AC722">
        <f>_xlfn.XLOOKUP(AB722,'[1]GST Codes'!$A:$A,'[1]GST Codes'!$C:$C,0,0)</f>
        <v>18</v>
      </c>
      <c r="AD722">
        <f t="shared" si="23"/>
        <v>0</v>
      </c>
      <c r="AE722" t="s">
        <v>13</v>
      </c>
      <c r="AF722" t="s">
        <v>0</v>
      </c>
      <c r="AG722" t="s">
        <v>14</v>
      </c>
      <c r="AH722" t="s">
        <v>15</v>
      </c>
      <c r="AI722" t="s">
        <v>85</v>
      </c>
      <c r="AJ722" t="s">
        <v>17</v>
      </c>
      <c r="AK722" t="s">
        <v>18</v>
      </c>
      <c r="AL722" t="s">
        <v>19</v>
      </c>
      <c r="AM722" t="s">
        <v>363</v>
      </c>
      <c r="AN722" t="s">
        <v>0</v>
      </c>
      <c r="AO722" t="s">
        <v>0</v>
      </c>
      <c r="AP722" t="s">
        <v>0</v>
      </c>
      <c r="AQ722" s="5">
        <v>3</v>
      </c>
      <c r="AR722" t="s">
        <v>11</v>
      </c>
      <c r="AS722" t="s">
        <v>0</v>
      </c>
      <c r="AT722" t="s">
        <v>17</v>
      </c>
      <c r="AU722" s="4">
        <v>0</v>
      </c>
      <c r="AV722" s="4">
        <v>0</v>
      </c>
      <c r="AW722" s="4">
        <v>0</v>
      </c>
      <c r="AX722" s="4">
        <v>0</v>
      </c>
      <c r="AY722" s="5">
        <v>0</v>
      </c>
      <c r="AZ722" s="5">
        <v>0</v>
      </c>
      <c r="BA722" s="5">
        <v>0</v>
      </c>
      <c r="BB722" s="2"/>
      <c r="BC722" t="s">
        <v>0</v>
      </c>
      <c r="BD722" s="5">
        <v>1</v>
      </c>
      <c r="BE722" t="s">
        <v>0</v>
      </c>
      <c r="BF722" t="s">
        <v>364</v>
      </c>
      <c r="BG722" t="s">
        <v>17</v>
      </c>
      <c r="BH722" t="s">
        <v>0</v>
      </c>
      <c r="BI722" t="s">
        <v>11</v>
      </c>
      <c r="BJ722" t="s">
        <v>0</v>
      </c>
      <c r="BK722" t="s">
        <v>0</v>
      </c>
      <c r="BL722" s="5">
        <v>0</v>
      </c>
      <c r="BM722" t="s">
        <v>0</v>
      </c>
      <c r="BN722" t="s">
        <v>0</v>
      </c>
      <c r="BO722" t="s">
        <v>0</v>
      </c>
      <c r="BP722" t="s">
        <v>17</v>
      </c>
      <c r="BQ722" t="s">
        <v>0</v>
      </c>
      <c r="BR722" t="s">
        <v>17</v>
      </c>
      <c r="BS722" t="s">
        <v>17</v>
      </c>
      <c r="BT722" t="s">
        <v>0</v>
      </c>
      <c r="BU722" t="s">
        <v>0</v>
      </c>
      <c r="BV722" t="s">
        <v>0</v>
      </c>
      <c r="BW722" t="s">
        <v>0</v>
      </c>
      <c r="BX722" t="s">
        <v>0</v>
      </c>
      <c r="BY722" t="s">
        <v>0</v>
      </c>
      <c r="BZ722" t="s">
        <v>0</v>
      </c>
      <c r="CA722" t="s">
        <v>0</v>
      </c>
      <c r="CB722" t="s">
        <v>0</v>
      </c>
    </row>
    <row r="723" spans="1:80" x14ac:dyDescent="0.25">
      <c r="A723" t="s">
        <v>381</v>
      </c>
      <c r="B723" s="2">
        <v>46060</v>
      </c>
      <c r="C723" s="2">
        <v>46060</v>
      </c>
      <c r="D723" s="2">
        <v>46088</v>
      </c>
      <c r="E723" t="s">
        <v>2</v>
      </c>
      <c r="F723" t="s">
        <v>3</v>
      </c>
      <c r="G723" t="s">
        <v>0</v>
      </c>
      <c r="H723" t="s">
        <v>4</v>
      </c>
      <c r="I723" t="s">
        <v>363</v>
      </c>
      <c r="J723" t="s">
        <v>6</v>
      </c>
      <c r="K723" t="s">
        <v>197</v>
      </c>
      <c r="L723" t="s">
        <v>43</v>
      </c>
      <c r="M723" t="s">
        <v>44</v>
      </c>
      <c r="N723" t="s">
        <v>10</v>
      </c>
      <c r="O723" t="s">
        <v>0</v>
      </c>
      <c r="P723" t="s">
        <v>11</v>
      </c>
      <c r="Q723" s="5">
        <v>3</v>
      </c>
      <c r="R723" s="4">
        <v>58500</v>
      </c>
      <c r="S723" s="5">
        <v>1</v>
      </c>
      <c r="T723" s="4">
        <v>175500</v>
      </c>
      <c r="U723" s="5">
        <v>3</v>
      </c>
      <c r="V723" s="4">
        <v>175500</v>
      </c>
      <c r="W723" s="5">
        <v>3</v>
      </c>
      <c r="X723" s="4">
        <v>175500</v>
      </c>
      <c r="Y723" s="4">
        <f t="shared" si="22"/>
        <v>0</v>
      </c>
      <c r="Z723" t="s">
        <v>0</v>
      </c>
      <c r="AA723" t="s">
        <v>2</v>
      </c>
      <c r="AB723" t="s">
        <v>12</v>
      </c>
      <c r="AC723">
        <f>_xlfn.XLOOKUP(AB723,'[1]GST Codes'!$A:$A,'[1]GST Codes'!$C:$C,0,0)</f>
        <v>18</v>
      </c>
      <c r="AD723">
        <f t="shared" si="23"/>
        <v>0</v>
      </c>
      <c r="AE723" t="s">
        <v>13</v>
      </c>
      <c r="AF723" t="s">
        <v>0</v>
      </c>
      <c r="AG723" t="s">
        <v>14</v>
      </c>
      <c r="AH723" t="s">
        <v>15</v>
      </c>
      <c r="AI723" t="s">
        <v>85</v>
      </c>
      <c r="AJ723" t="s">
        <v>17</v>
      </c>
      <c r="AK723" t="s">
        <v>18</v>
      </c>
      <c r="AL723" t="s">
        <v>19</v>
      </c>
      <c r="AM723" t="s">
        <v>363</v>
      </c>
      <c r="AN723" t="s">
        <v>0</v>
      </c>
      <c r="AO723" t="s">
        <v>0</v>
      </c>
      <c r="AP723" t="s">
        <v>0</v>
      </c>
      <c r="AQ723" s="5">
        <v>3</v>
      </c>
      <c r="AR723" t="s">
        <v>11</v>
      </c>
      <c r="AS723" t="s">
        <v>0</v>
      </c>
      <c r="AT723" t="s">
        <v>17</v>
      </c>
      <c r="AU723" s="4">
        <v>0</v>
      </c>
      <c r="AV723" s="4">
        <v>0</v>
      </c>
      <c r="AW723" s="4">
        <v>0</v>
      </c>
      <c r="AX723" s="4">
        <v>0</v>
      </c>
      <c r="AY723" s="5">
        <v>0</v>
      </c>
      <c r="AZ723" s="5">
        <v>0</v>
      </c>
      <c r="BA723" s="5">
        <v>0</v>
      </c>
      <c r="BB723" s="2"/>
      <c r="BC723" t="s">
        <v>0</v>
      </c>
      <c r="BD723" s="5">
        <v>1</v>
      </c>
      <c r="BE723" t="s">
        <v>0</v>
      </c>
      <c r="BF723" t="s">
        <v>364</v>
      </c>
      <c r="BG723" t="s">
        <v>17</v>
      </c>
      <c r="BH723" t="s">
        <v>0</v>
      </c>
      <c r="BI723" t="s">
        <v>11</v>
      </c>
      <c r="BJ723" t="s">
        <v>0</v>
      </c>
      <c r="BK723" t="s">
        <v>0</v>
      </c>
      <c r="BL723" s="5">
        <v>0</v>
      </c>
      <c r="BM723" t="s">
        <v>0</v>
      </c>
      <c r="BN723" t="s">
        <v>0</v>
      </c>
      <c r="BO723" t="s">
        <v>0</v>
      </c>
      <c r="BP723" t="s">
        <v>17</v>
      </c>
      <c r="BQ723" t="s">
        <v>0</v>
      </c>
      <c r="BR723" t="s">
        <v>17</v>
      </c>
      <c r="BS723" t="s">
        <v>17</v>
      </c>
      <c r="BT723" t="s">
        <v>0</v>
      </c>
      <c r="BU723" t="s">
        <v>0</v>
      </c>
      <c r="BV723" t="s">
        <v>0</v>
      </c>
      <c r="BW723" t="s">
        <v>0</v>
      </c>
      <c r="BX723" t="s">
        <v>0</v>
      </c>
      <c r="BY723" t="s">
        <v>0</v>
      </c>
      <c r="BZ723" t="s">
        <v>0</v>
      </c>
      <c r="CA723" t="s">
        <v>0</v>
      </c>
      <c r="CB723" t="s">
        <v>0</v>
      </c>
    </row>
    <row r="724" spans="1:80" ht="13.95" customHeight="1" x14ac:dyDescent="0.25">
      <c r="A724" t="s">
        <v>381</v>
      </c>
      <c r="B724" s="2">
        <v>46060</v>
      </c>
      <c r="C724" s="2">
        <v>46060</v>
      </c>
      <c r="D724" s="2">
        <v>46088</v>
      </c>
      <c r="E724" t="s">
        <v>2</v>
      </c>
      <c r="F724" t="s">
        <v>3</v>
      </c>
      <c r="G724" t="s">
        <v>0</v>
      </c>
      <c r="H724" t="s">
        <v>4</v>
      </c>
      <c r="I724" t="s">
        <v>363</v>
      </c>
      <c r="J724" t="s">
        <v>6</v>
      </c>
      <c r="K724" t="s">
        <v>201</v>
      </c>
      <c r="L724" t="s">
        <v>354</v>
      </c>
      <c r="M724" t="s">
        <v>338</v>
      </c>
      <c r="N724" t="s">
        <v>10</v>
      </c>
      <c r="O724" t="s">
        <v>0</v>
      </c>
      <c r="P724" t="s">
        <v>11</v>
      </c>
      <c r="Q724" s="5">
        <v>20</v>
      </c>
      <c r="R724" s="4">
        <v>58500</v>
      </c>
      <c r="S724" s="5">
        <v>1</v>
      </c>
      <c r="T724" s="4">
        <v>1170000</v>
      </c>
      <c r="U724" s="5">
        <v>0</v>
      </c>
      <c r="V724" s="4">
        <v>0</v>
      </c>
      <c r="W724" s="5">
        <v>0</v>
      </c>
      <c r="X724" s="4">
        <v>0</v>
      </c>
      <c r="Y724" s="4">
        <f t="shared" si="22"/>
        <v>1170000</v>
      </c>
      <c r="Z724" s="6" t="s">
        <v>0</v>
      </c>
      <c r="AA724" t="s">
        <v>2</v>
      </c>
      <c r="AB724" t="s">
        <v>12</v>
      </c>
      <c r="AC724">
        <f>_xlfn.XLOOKUP(AB724,'[1]GST Codes'!$A:$A,'[1]GST Codes'!$C:$C,0,0)</f>
        <v>18</v>
      </c>
      <c r="AD724">
        <f t="shared" si="23"/>
        <v>1380600</v>
      </c>
      <c r="AE724" t="s">
        <v>13</v>
      </c>
      <c r="AF724" t="s">
        <v>0</v>
      </c>
      <c r="AG724" t="s">
        <v>14</v>
      </c>
      <c r="AH724" t="s">
        <v>15</v>
      </c>
      <c r="AI724" t="s">
        <v>85</v>
      </c>
      <c r="AJ724" t="s">
        <v>17</v>
      </c>
      <c r="AK724" t="s">
        <v>18</v>
      </c>
      <c r="AL724" t="s">
        <v>19</v>
      </c>
      <c r="AM724" t="s">
        <v>363</v>
      </c>
      <c r="AN724" t="s">
        <v>0</v>
      </c>
      <c r="AO724" t="s">
        <v>0</v>
      </c>
      <c r="AP724" t="s">
        <v>0</v>
      </c>
      <c r="AQ724" s="5">
        <v>20</v>
      </c>
      <c r="AR724" t="s">
        <v>11</v>
      </c>
      <c r="AS724" t="s">
        <v>0</v>
      </c>
      <c r="AT724" t="s">
        <v>17</v>
      </c>
      <c r="AU724" s="4">
        <v>0</v>
      </c>
      <c r="AV724" s="4">
        <v>0</v>
      </c>
      <c r="AW724" s="4">
        <v>0</v>
      </c>
      <c r="AX724" s="4">
        <v>0</v>
      </c>
      <c r="AY724" s="5">
        <v>0</v>
      </c>
      <c r="AZ724" s="5">
        <v>0</v>
      </c>
      <c r="BA724" s="5">
        <v>0</v>
      </c>
      <c r="BB724" s="2"/>
      <c r="BC724" t="s">
        <v>0</v>
      </c>
      <c r="BD724" s="5">
        <v>1</v>
      </c>
      <c r="BE724" t="s">
        <v>0</v>
      </c>
      <c r="BF724" t="s">
        <v>371</v>
      </c>
      <c r="BG724" t="s">
        <v>17</v>
      </c>
      <c r="BH724" t="s">
        <v>0</v>
      </c>
      <c r="BI724" t="s">
        <v>11</v>
      </c>
      <c r="BJ724" t="s">
        <v>0</v>
      </c>
      <c r="BK724" t="s">
        <v>0</v>
      </c>
      <c r="BL724" s="5">
        <v>0</v>
      </c>
      <c r="BM724" t="s">
        <v>0</v>
      </c>
      <c r="BN724" t="s">
        <v>0</v>
      </c>
      <c r="BO724" t="s">
        <v>0</v>
      </c>
      <c r="BP724" t="s">
        <v>17</v>
      </c>
      <c r="BQ724" t="s">
        <v>0</v>
      </c>
      <c r="BR724" t="s">
        <v>17</v>
      </c>
      <c r="BS724" t="s">
        <v>17</v>
      </c>
      <c r="BT724" t="s">
        <v>0</v>
      </c>
      <c r="BU724" t="s">
        <v>0</v>
      </c>
      <c r="BV724" t="s">
        <v>0</v>
      </c>
      <c r="BW724" t="s">
        <v>0</v>
      </c>
      <c r="BX724" t="s">
        <v>0</v>
      </c>
      <c r="BY724" t="s">
        <v>0</v>
      </c>
      <c r="BZ724" t="s">
        <v>0</v>
      </c>
      <c r="CA724" t="s">
        <v>0</v>
      </c>
      <c r="CB724" t="s">
        <v>0</v>
      </c>
    </row>
    <row r="725" spans="1:80" ht="13.95" customHeight="1" x14ac:dyDescent="0.25">
      <c r="A725" t="s">
        <v>381</v>
      </c>
      <c r="B725" s="2">
        <v>46060</v>
      </c>
      <c r="C725" s="2">
        <v>46060</v>
      </c>
      <c r="D725" s="2">
        <v>46088</v>
      </c>
      <c r="E725" t="s">
        <v>2</v>
      </c>
      <c r="F725" t="s">
        <v>3</v>
      </c>
      <c r="G725" t="s">
        <v>0</v>
      </c>
      <c r="H725" t="s">
        <v>4</v>
      </c>
      <c r="I725" t="s">
        <v>363</v>
      </c>
      <c r="J725" t="s">
        <v>6</v>
      </c>
      <c r="K725" t="s">
        <v>205</v>
      </c>
      <c r="L725" t="s">
        <v>354</v>
      </c>
      <c r="M725" t="s">
        <v>338</v>
      </c>
      <c r="N725" t="s">
        <v>10</v>
      </c>
      <c r="O725" t="s">
        <v>0</v>
      </c>
      <c r="P725" t="s">
        <v>11</v>
      </c>
      <c r="Q725" s="5">
        <v>20</v>
      </c>
      <c r="R725" s="4">
        <v>58500</v>
      </c>
      <c r="S725" s="5">
        <v>1</v>
      </c>
      <c r="T725" s="4">
        <v>1170000</v>
      </c>
      <c r="U725" s="5">
        <v>0</v>
      </c>
      <c r="V725" s="4">
        <v>0</v>
      </c>
      <c r="W725" s="5">
        <v>0</v>
      </c>
      <c r="X725" s="4">
        <v>0</v>
      </c>
      <c r="Y725" s="4">
        <f t="shared" si="22"/>
        <v>1170000</v>
      </c>
      <c r="Z725" s="6" t="s">
        <v>0</v>
      </c>
      <c r="AA725" t="s">
        <v>2</v>
      </c>
      <c r="AB725" t="s">
        <v>12</v>
      </c>
      <c r="AC725">
        <f>_xlfn.XLOOKUP(AB725,'[1]GST Codes'!$A:$A,'[1]GST Codes'!$C:$C,0,0)</f>
        <v>18</v>
      </c>
      <c r="AD725">
        <f t="shared" si="23"/>
        <v>1380600</v>
      </c>
      <c r="AE725" t="s">
        <v>13</v>
      </c>
      <c r="AF725" t="s">
        <v>0</v>
      </c>
      <c r="AG725" t="s">
        <v>14</v>
      </c>
      <c r="AH725" t="s">
        <v>15</v>
      </c>
      <c r="AI725" t="s">
        <v>85</v>
      </c>
      <c r="AJ725" t="s">
        <v>17</v>
      </c>
      <c r="AK725" t="s">
        <v>18</v>
      </c>
      <c r="AL725" t="s">
        <v>19</v>
      </c>
      <c r="AM725" t="s">
        <v>363</v>
      </c>
      <c r="AN725" t="s">
        <v>0</v>
      </c>
      <c r="AO725" t="s">
        <v>0</v>
      </c>
      <c r="AP725" t="s">
        <v>0</v>
      </c>
      <c r="AQ725" s="5">
        <v>20</v>
      </c>
      <c r="AR725" t="s">
        <v>11</v>
      </c>
      <c r="AS725" t="s">
        <v>0</v>
      </c>
      <c r="AT725" t="s">
        <v>17</v>
      </c>
      <c r="AU725" s="4">
        <v>0</v>
      </c>
      <c r="AV725" s="4">
        <v>0</v>
      </c>
      <c r="AW725" s="4">
        <v>0</v>
      </c>
      <c r="AX725" s="4">
        <v>0</v>
      </c>
      <c r="AY725" s="5">
        <v>0</v>
      </c>
      <c r="AZ725" s="5">
        <v>0</v>
      </c>
      <c r="BA725" s="5">
        <v>0</v>
      </c>
      <c r="BB725" s="2"/>
      <c r="BC725" t="s">
        <v>0</v>
      </c>
      <c r="BD725" s="5">
        <v>1</v>
      </c>
      <c r="BE725" t="s">
        <v>0</v>
      </c>
      <c r="BF725" t="s">
        <v>371</v>
      </c>
      <c r="BG725" t="s">
        <v>17</v>
      </c>
      <c r="BH725" t="s">
        <v>0</v>
      </c>
      <c r="BI725" t="s">
        <v>11</v>
      </c>
      <c r="BJ725" t="s">
        <v>0</v>
      </c>
      <c r="BK725" t="s">
        <v>0</v>
      </c>
      <c r="BL725" s="5">
        <v>0</v>
      </c>
      <c r="BM725" t="s">
        <v>0</v>
      </c>
      <c r="BN725" t="s">
        <v>0</v>
      </c>
      <c r="BO725" t="s">
        <v>0</v>
      </c>
      <c r="BP725" t="s">
        <v>17</v>
      </c>
      <c r="BQ725" t="s">
        <v>0</v>
      </c>
      <c r="BR725" t="s">
        <v>17</v>
      </c>
      <c r="BS725" t="s">
        <v>17</v>
      </c>
      <c r="BT725" t="s">
        <v>0</v>
      </c>
      <c r="BU725" t="s">
        <v>0</v>
      </c>
      <c r="BV725" t="s">
        <v>0</v>
      </c>
      <c r="BW725" t="s">
        <v>0</v>
      </c>
      <c r="BX725" t="s">
        <v>0</v>
      </c>
      <c r="BY725" t="s">
        <v>0</v>
      </c>
      <c r="BZ725" t="s">
        <v>0</v>
      </c>
      <c r="CA725" t="s">
        <v>0</v>
      </c>
      <c r="CB725" t="s">
        <v>0</v>
      </c>
    </row>
    <row r="726" spans="1:80" ht="13.95" customHeight="1" x14ac:dyDescent="0.25">
      <c r="A726" t="s">
        <v>381</v>
      </c>
      <c r="B726" s="2">
        <v>46060</v>
      </c>
      <c r="C726" s="2">
        <v>46060</v>
      </c>
      <c r="D726" s="2">
        <v>46088</v>
      </c>
      <c r="E726" t="s">
        <v>2</v>
      </c>
      <c r="F726" t="s">
        <v>3</v>
      </c>
      <c r="G726" t="s">
        <v>0</v>
      </c>
      <c r="H726" t="s">
        <v>4</v>
      </c>
      <c r="I726" t="s">
        <v>363</v>
      </c>
      <c r="J726" t="s">
        <v>6</v>
      </c>
      <c r="K726" t="s">
        <v>209</v>
      </c>
      <c r="L726" t="s">
        <v>354</v>
      </c>
      <c r="M726" t="s">
        <v>338</v>
      </c>
      <c r="N726" t="s">
        <v>10</v>
      </c>
      <c r="O726" t="s">
        <v>0</v>
      </c>
      <c r="P726" t="s">
        <v>11</v>
      </c>
      <c r="Q726" s="5">
        <v>20</v>
      </c>
      <c r="R726" s="4">
        <v>58500</v>
      </c>
      <c r="S726" s="5">
        <v>1</v>
      </c>
      <c r="T726" s="4">
        <v>1170000</v>
      </c>
      <c r="U726" s="5">
        <v>0</v>
      </c>
      <c r="V726" s="4">
        <v>0</v>
      </c>
      <c r="W726" s="5">
        <v>0</v>
      </c>
      <c r="X726" s="4">
        <v>0</v>
      </c>
      <c r="Y726" s="4">
        <f t="shared" si="22"/>
        <v>1170000</v>
      </c>
      <c r="Z726" s="6" t="s">
        <v>0</v>
      </c>
      <c r="AA726" t="s">
        <v>2</v>
      </c>
      <c r="AB726" t="s">
        <v>12</v>
      </c>
      <c r="AC726">
        <f>_xlfn.XLOOKUP(AB726,'[1]GST Codes'!$A:$A,'[1]GST Codes'!$C:$C,0,0)</f>
        <v>18</v>
      </c>
      <c r="AD726">
        <f t="shared" si="23"/>
        <v>1380600</v>
      </c>
      <c r="AE726" t="s">
        <v>13</v>
      </c>
      <c r="AF726" t="s">
        <v>0</v>
      </c>
      <c r="AG726" t="s">
        <v>14</v>
      </c>
      <c r="AH726" t="s">
        <v>15</v>
      </c>
      <c r="AI726" t="s">
        <v>85</v>
      </c>
      <c r="AJ726" t="s">
        <v>17</v>
      </c>
      <c r="AK726" t="s">
        <v>18</v>
      </c>
      <c r="AL726" t="s">
        <v>19</v>
      </c>
      <c r="AM726" t="s">
        <v>363</v>
      </c>
      <c r="AN726" t="s">
        <v>0</v>
      </c>
      <c r="AO726" t="s">
        <v>0</v>
      </c>
      <c r="AP726" t="s">
        <v>0</v>
      </c>
      <c r="AQ726" s="5">
        <v>20</v>
      </c>
      <c r="AR726" t="s">
        <v>11</v>
      </c>
      <c r="AS726" t="s">
        <v>0</v>
      </c>
      <c r="AT726" t="s">
        <v>17</v>
      </c>
      <c r="AU726" s="4">
        <v>0</v>
      </c>
      <c r="AV726" s="4">
        <v>0</v>
      </c>
      <c r="AW726" s="4">
        <v>0</v>
      </c>
      <c r="AX726" s="4">
        <v>0</v>
      </c>
      <c r="AY726" s="5">
        <v>0</v>
      </c>
      <c r="AZ726" s="5">
        <v>0</v>
      </c>
      <c r="BA726" s="5">
        <v>0</v>
      </c>
      <c r="BB726" s="2"/>
      <c r="BC726" t="s">
        <v>0</v>
      </c>
      <c r="BD726" s="5">
        <v>1</v>
      </c>
      <c r="BE726" t="s">
        <v>0</v>
      </c>
      <c r="BF726" t="s">
        <v>371</v>
      </c>
      <c r="BG726" t="s">
        <v>17</v>
      </c>
      <c r="BH726" t="s">
        <v>0</v>
      </c>
      <c r="BI726" t="s">
        <v>11</v>
      </c>
      <c r="BJ726" t="s">
        <v>0</v>
      </c>
      <c r="BK726" t="s">
        <v>0</v>
      </c>
      <c r="BL726" s="5">
        <v>0</v>
      </c>
      <c r="BM726" t="s">
        <v>0</v>
      </c>
      <c r="BN726" t="s">
        <v>0</v>
      </c>
      <c r="BO726" t="s">
        <v>0</v>
      </c>
      <c r="BP726" t="s">
        <v>17</v>
      </c>
      <c r="BQ726" t="s">
        <v>0</v>
      </c>
      <c r="BR726" t="s">
        <v>17</v>
      </c>
      <c r="BS726" t="s">
        <v>17</v>
      </c>
      <c r="BT726" t="s">
        <v>0</v>
      </c>
      <c r="BU726" t="s">
        <v>0</v>
      </c>
      <c r="BV726" t="s">
        <v>0</v>
      </c>
      <c r="BW726" t="s">
        <v>0</v>
      </c>
      <c r="BX726" t="s">
        <v>0</v>
      </c>
      <c r="BY726" t="s">
        <v>0</v>
      </c>
      <c r="BZ726" t="s">
        <v>0</v>
      </c>
      <c r="CA726" t="s">
        <v>0</v>
      </c>
      <c r="CB726" t="s">
        <v>0</v>
      </c>
    </row>
    <row r="727" spans="1:80" ht="13.95" customHeight="1" x14ac:dyDescent="0.25">
      <c r="A727" t="s">
        <v>381</v>
      </c>
      <c r="B727" s="2">
        <v>46060</v>
      </c>
      <c r="C727" s="2">
        <v>46060</v>
      </c>
      <c r="D727" s="2">
        <v>46088</v>
      </c>
      <c r="E727" t="s">
        <v>2</v>
      </c>
      <c r="F727" t="s">
        <v>3</v>
      </c>
      <c r="G727" t="s">
        <v>0</v>
      </c>
      <c r="H727" t="s">
        <v>4</v>
      </c>
      <c r="I727" t="s">
        <v>363</v>
      </c>
      <c r="J727" t="s">
        <v>6</v>
      </c>
      <c r="K727" t="s">
        <v>213</v>
      </c>
      <c r="L727" t="s">
        <v>354</v>
      </c>
      <c r="M727" t="s">
        <v>338</v>
      </c>
      <c r="N727" t="s">
        <v>10</v>
      </c>
      <c r="O727" t="s">
        <v>0</v>
      </c>
      <c r="P727" t="s">
        <v>11</v>
      </c>
      <c r="Q727" s="5">
        <v>20</v>
      </c>
      <c r="R727" s="4">
        <v>58500</v>
      </c>
      <c r="S727" s="5">
        <v>1</v>
      </c>
      <c r="T727" s="4">
        <v>1170000</v>
      </c>
      <c r="U727" s="5">
        <v>0</v>
      </c>
      <c r="V727" s="4">
        <v>0</v>
      </c>
      <c r="W727" s="5">
        <v>0</v>
      </c>
      <c r="X727" s="4">
        <v>0</v>
      </c>
      <c r="Y727" s="4">
        <f t="shared" si="22"/>
        <v>1170000</v>
      </c>
      <c r="Z727" s="6" t="s">
        <v>0</v>
      </c>
      <c r="AA727" t="s">
        <v>2</v>
      </c>
      <c r="AB727" t="s">
        <v>12</v>
      </c>
      <c r="AC727">
        <f>_xlfn.XLOOKUP(AB727,'[1]GST Codes'!$A:$A,'[1]GST Codes'!$C:$C,0,0)</f>
        <v>18</v>
      </c>
      <c r="AD727">
        <f t="shared" si="23"/>
        <v>1380600</v>
      </c>
      <c r="AE727" t="s">
        <v>13</v>
      </c>
      <c r="AF727" t="s">
        <v>0</v>
      </c>
      <c r="AG727" t="s">
        <v>14</v>
      </c>
      <c r="AH727" t="s">
        <v>15</v>
      </c>
      <c r="AI727" t="s">
        <v>85</v>
      </c>
      <c r="AJ727" t="s">
        <v>17</v>
      </c>
      <c r="AK727" t="s">
        <v>18</v>
      </c>
      <c r="AL727" t="s">
        <v>19</v>
      </c>
      <c r="AM727" t="s">
        <v>363</v>
      </c>
      <c r="AN727" t="s">
        <v>0</v>
      </c>
      <c r="AO727" t="s">
        <v>0</v>
      </c>
      <c r="AP727" t="s">
        <v>0</v>
      </c>
      <c r="AQ727" s="5">
        <v>20</v>
      </c>
      <c r="AR727" t="s">
        <v>11</v>
      </c>
      <c r="AS727" t="s">
        <v>0</v>
      </c>
      <c r="AT727" t="s">
        <v>17</v>
      </c>
      <c r="AU727" s="4">
        <v>0</v>
      </c>
      <c r="AV727" s="4">
        <v>0</v>
      </c>
      <c r="AW727" s="4">
        <v>0</v>
      </c>
      <c r="AX727" s="4">
        <v>0</v>
      </c>
      <c r="AY727" s="5">
        <v>0</v>
      </c>
      <c r="AZ727" s="5">
        <v>0</v>
      </c>
      <c r="BA727" s="5">
        <v>0</v>
      </c>
      <c r="BB727" s="2"/>
      <c r="BC727" t="s">
        <v>0</v>
      </c>
      <c r="BD727" s="5">
        <v>1</v>
      </c>
      <c r="BE727" t="s">
        <v>0</v>
      </c>
      <c r="BF727" t="s">
        <v>371</v>
      </c>
      <c r="BG727" t="s">
        <v>17</v>
      </c>
      <c r="BH727" t="s">
        <v>0</v>
      </c>
      <c r="BI727" t="s">
        <v>11</v>
      </c>
      <c r="BJ727" t="s">
        <v>0</v>
      </c>
      <c r="BK727" t="s">
        <v>0</v>
      </c>
      <c r="BL727" s="5">
        <v>0</v>
      </c>
      <c r="BM727" t="s">
        <v>0</v>
      </c>
      <c r="BN727" t="s">
        <v>0</v>
      </c>
      <c r="BO727" t="s">
        <v>0</v>
      </c>
      <c r="BP727" t="s">
        <v>17</v>
      </c>
      <c r="BQ727" t="s">
        <v>0</v>
      </c>
      <c r="BR727" t="s">
        <v>17</v>
      </c>
      <c r="BS727" t="s">
        <v>17</v>
      </c>
      <c r="BT727" t="s">
        <v>0</v>
      </c>
      <c r="BU727" t="s">
        <v>0</v>
      </c>
      <c r="BV727" t="s">
        <v>0</v>
      </c>
      <c r="BW727" t="s">
        <v>0</v>
      </c>
      <c r="BX727" t="s">
        <v>0</v>
      </c>
      <c r="BY727" t="s">
        <v>0</v>
      </c>
      <c r="BZ727" t="s">
        <v>0</v>
      </c>
      <c r="CA727" t="s">
        <v>0</v>
      </c>
      <c r="CB727" t="s">
        <v>0</v>
      </c>
    </row>
    <row r="728" spans="1:80" ht="13.95" customHeight="1" x14ac:dyDescent="0.25">
      <c r="A728" t="s">
        <v>381</v>
      </c>
      <c r="B728" s="2">
        <v>46060</v>
      </c>
      <c r="C728" s="2">
        <v>46060</v>
      </c>
      <c r="D728" s="2">
        <v>46088</v>
      </c>
      <c r="E728" t="s">
        <v>2</v>
      </c>
      <c r="F728" t="s">
        <v>3</v>
      </c>
      <c r="G728" t="s">
        <v>0</v>
      </c>
      <c r="H728" t="s">
        <v>4</v>
      </c>
      <c r="I728" t="s">
        <v>363</v>
      </c>
      <c r="J728" t="s">
        <v>6</v>
      </c>
      <c r="K728" t="s">
        <v>215</v>
      </c>
      <c r="L728" t="s">
        <v>354</v>
      </c>
      <c r="M728" t="s">
        <v>338</v>
      </c>
      <c r="N728" t="s">
        <v>10</v>
      </c>
      <c r="O728" t="s">
        <v>0</v>
      </c>
      <c r="P728" t="s">
        <v>11</v>
      </c>
      <c r="Q728" s="5">
        <v>20</v>
      </c>
      <c r="R728" s="4">
        <v>58500</v>
      </c>
      <c r="S728" s="5">
        <v>1</v>
      </c>
      <c r="T728" s="4">
        <v>1170000</v>
      </c>
      <c r="U728" s="5">
        <v>0</v>
      </c>
      <c r="V728" s="4">
        <v>0</v>
      </c>
      <c r="W728" s="5">
        <v>0</v>
      </c>
      <c r="X728" s="4">
        <v>0</v>
      </c>
      <c r="Y728" s="4">
        <f t="shared" si="22"/>
        <v>1170000</v>
      </c>
      <c r="Z728" s="6" t="s">
        <v>0</v>
      </c>
      <c r="AA728" t="s">
        <v>2</v>
      </c>
      <c r="AB728" t="s">
        <v>12</v>
      </c>
      <c r="AC728">
        <f>_xlfn.XLOOKUP(AB728,'[1]GST Codes'!$A:$A,'[1]GST Codes'!$C:$C,0,0)</f>
        <v>18</v>
      </c>
      <c r="AD728">
        <f t="shared" si="23"/>
        <v>1380600</v>
      </c>
      <c r="AE728" t="s">
        <v>13</v>
      </c>
      <c r="AF728" t="s">
        <v>0</v>
      </c>
      <c r="AG728" t="s">
        <v>14</v>
      </c>
      <c r="AH728" t="s">
        <v>15</v>
      </c>
      <c r="AI728" t="s">
        <v>85</v>
      </c>
      <c r="AJ728" t="s">
        <v>17</v>
      </c>
      <c r="AK728" t="s">
        <v>18</v>
      </c>
      <c r="AL728" t="s">
        <v>19</v>
      </c>
      <c r="AM728" t="s">
        <v>363</v>
      </c>
      <c r="AN728" t="s">
        <v>0</v>
      </c>
      <c r="AO728" t="s">
        <v>0</v>
      </c>
      <c r="AP728" t="s">
        <v>0</v>
      </c>
      <c r="AQ728" s="5">
        <v>20</v>
      </c>
      <c r="AR728" t="s">
        <v>11</v>
      </c>
      <c r="AS728" t="s">
        <v>0</v>
      </c>
      <c r="AT728" t="s">
        <v>17</v>
      </c>
      <c r="AU728" s="4">
        <v>0</v>
      </c>
      <c r="AV728" s="4">
        <v>0</v>
      </c>
      <c r="AW728" s="4">
        <v>0</v>
      </c>
      <c r="AX728" s="4">
        <v>0</v>
      </c>
      <c r="AY728" s="5">
        <v>0</v>
      </c>
      <c r="AZ728" s="5">
        <v>0</v>
      </c>
      <c r="BA728" s="5">
        <v>0</v>
      </c>
      <c r="BB728" s="2"/>
      <c r="BC728" t="s">
        <v>0</v>
      </c>
      <c r="BD728" s="5">
        <v>1</v>
      </c>
      <c r="BE728" t="s">
        <v>0</v>
      </c>
      <c r="BF728" t="s">
        <v>371</v>
      </c>
      <c r="BG728" t="s">
        <v>17</v>
      </c>
      <c r="BH728" t="s">
        <v>0</v>
      </c>
      <c r="BI728" t="s">
        <v>11</v>
      </c>
      <c r="BJ728" t="s">
        <v>0</v>
      </c>
      <c r="BK728" t="s">
        <v>0</v>
      </c>
      <c r="BL728" s="5">
        <v>0</v>
      </c>
      <c r="BM728" t="s">
        <v>0</v>
      </c>
      <c r="BN728" t="s">
        <v>0</v>
      </c>
      <c r="BO728" t="s">
        <v>0</v>
      </c>
      <c r="BP728" t="s">
        <v>17</v>
      </c>
      <c r="BQ728" t="s">
        <v>0</v>
      </c>
      <c r="BR728" t="s">
        <v>17</v>
      </c>
      <c r="BS728" t="s">
        <v>17</v>
      </c>
      <c r="BT728" t="s">
        <v>0</v>
      </c>
      <c r="BU728" t="s">
        <v>0</v>
      </c>
      <c r="BV728" t="s">
        <v>0</v>
      </c>
      <c r="BW728" t="s">
        <v>0</v>
      </c>
      <c r="BX728" t="s">
        <v>0</v>
      </c>
      <c r="BY728" t="s">
        <v>0</v>
      </c>
      <c r="BZ728" t="s">
        <v>0</v>
      </c>
      <c r="CA728" t="s">
        <v>0</v>
      </c>
      <c r="CB728" t="s">
        <v>0</v>
      </c>
    </row>
    <row r="729" spans="1:80" ht="13.95" customHeight="1" x14ac:dyDescent="0.25">
      <c r="A729" t="s">
        <v>381</v>
      </c>
      <c r="B729" s="2">
        <v>46060</v>
      </c>
      <c r="C729" s="2">
        <v>46060</v>
      </c>
      <c r="D729" s="2">
        <v>46088</v>
      </c>
      <c r="E729" t="s">
        <v>2</v>
      </c>
      <c r="F729" t="s">
        <v>3</v>
      </c>
      <c r="G729" t="s">
        <v>0</v>
      </c>
      <c r="H729" t="s">
        <v>4</v>
      </c>
      <c r="I729" t="s">
        <v>363</v>
      </c>
      <c r="J729" t="s">
        <v>6</v>
      </c>
      <c r="K729" t="s">
        <v>216</v>
      </c>
      <c r="L729" t="s">
        <v>354</v>
      </c>
      <c r="M729" t="s">
        <v>338</v>
      </c>
      <c r="N729" t="s">
        <v>10</v>
      </c>
      <c r="O729" t="s">
        <v>0</v>
      </c>
      <c r="P729" t="s">
        <v>11</v>
      </c>
      <c r="Q729" s="5">
        <v>20</v>
      </c>
      <c r="R729" s="4">
        <v>58500</v>
      </c>
      <c r="S729" s="5">
        <v>1</v>
      </c>
      <c r="T729" s="4">
        <v>1170000</v>
      </c>
      <c r="U729" s="5">
        <v>0</v>
      </c>
      <c r="V729" s="4">
        <v>0</v>
      </c>
      <c r="W729" s="5">
        <v>0</v>
      </c>
      <c r="X729" s="4">
        <v>0</v>
      </c>
      <c r="Y729" s="4">
        <f t="shared" si="22"/>
        <v>1170000</v>
      </c>
      <c r="Z729" s="6" t="s">
        <v>0</v>
      </c>
      <c r="AA729" t="s">
        <v>2</v>
      </c>
      <c r="AB729" t="s">
        <v>12</v>
      </c>
      <c r="AC729">
        <f>_xlfn.XLOOKUP(AB729,'[1]GST Codes'!$A:$A,'[1]GST Codes'!$C:$C,0,0)</f>
        <v>18</v>
      </c>
      <c r="AD729">
        <f t="shared" si="23"/>
        <v>1380600</v>
      </c>
      <c r="AE729" t="s">
        <v>13</v>
      </c>
      <c r="AF729" t="s">
        <v>0</v>
      </c>
      <c r="AG729" t="s">
        <v>14</v>
      </c>
      <c r="AH729" t="s">
        <v>15</v>
      </c>
      <c r="AI729" t="s">
        <v>85</v>
      </c>
      <c r="AJ729" t="s">
        <v>17</v>
      </c>
      <c r="AK729" t="s">
        <v>18</v>
      </c>
      <c r="AL729" t="s">
        <v>19</v>
      </c>
      <c r="AM729" t="s">
        <v>363</v>
      </c>
      <c r="AN729" t="s">
        <v>0</v>
      </c>
      <c r="AO729" t="s">
        <v>0</v>
      </c>
      <c r="AP729" t="s">
        <v>0</v>
      </c>
      <c r="AQ729" s="5">
        <v>20</v>
      </c>
      <c r="AR729" t="s">
        <v>11</v>
      </c>
      <c r="AS729" t="s">
        <v>0</v>
      </c>
      <c r="AT729" t="s">
        <v>17</v>
      </c>
      <c r="AU729" s="4">
        <v>0</v>
      </c>
      <c r="AV729" s="4">
        <v>0</v>
      </c>
      <c r="AW729" s="4">
        <v>0</v>
      </c>
      <c r="AX729" s="4">
        <v>0</v>
      </c>
      <c r="AY729" s="5">
        <v>0</v>
      </c>
      <c r="AZ729" s="5">
        <v>0</v>
      </c>
      <c r="BA729" s="5">
        <v>0</v>
      </c>
      <c r="BB729" s="2"/>
      <c r="BC729" t="s">
        <v>0</v>
      </c>
      <c r="BD729" s="5">
        <v>1</v>
      </c>
      <c r="BE729" t="s">
        <v>0</v>
      </c>
      <c r="BF729" t="s">
        <v>371</v>
      </c>
      <c r="BG729" t="s">
        <v>17</v>
      </c>
      <c r="BH729" t="s">
        <v>0</v>
      </c>
      <c r="BI729" t="s">
        <v>11</v>
      </c>
      <c r="BJ729" t="s">
        <v>0</v>
      </c>
      <c r="BK729" t="s">
        <v>0</v>
      </c>
      <c r="BL729" s="5">
        <v>0</v>
      </c>
      <c r="BM729" t="s">
        <v>0</v>
      </c>
      <c r="BN729" t="s">
        <v>0</v>
      </c>
      <c r="BO729" t="s">
        <v>0</v>
      </c>
      <c r="BP729" t="s">
        <v>17</v>
      </c>
      <c r="BQ729" t="s">
        <v>0</v>
      </c>
      <c r="BR729" t="s">
        <v>17</v>
      </c>
      <c r="BS729" t="s">
        <v>17</v>
      </c>
      <c r="BT729" t="s">
        <v>0</v>
      </c>
      <c r="BU729" t="s">
        <v>0</v>
      </c>
      <c r="BV729" t="s">
        <v>0</v>
      </c>
      <c r="BW729" t="s">
        <v>0</v>
      </c>
      <c r="BX729" t="s">
        <v>0</v>
      </c>
      <c r="BY729" t="s">
        <v>0</v>
      </c>
      <c r="BZ729" t="s">
        <v>0</v>
      </c>
      <c r="CA729" t="s">
        <v>0</v>
      </c>
      <c r="CB729" t="s">
        <v>0</v>
      </c>
    </row>
    <row r="730" spans="1:80" ht="13.95" customHeight="1" x14ac:dyDescent="0.25">
      <c r="A730" t="s">
        <v>382</v>
      </c>
      <c r="B730" s="2">
        <v>46063</v>
      </c>
      <c r="C730" s="2">
        <v>46063</v>
      </c>
      <c r="D730" s="2">
        <v>46091</v>
      </c>
      <c r="E730" t="s">
        <v>2</v>
      </c>
      <c r="F730" t="s">
        <v>3</v>
      </c>
      <c r="G730" t="s">
        <v>0</v>
      </c>
      <c r="H730" t="s">
        <v>4</v>
      </c>
      <c r="I730" t="s">
        <v>363</v>
      </c>
      <c r="J730" t="s">
        <v>6</v>
      </c>
      <c r="K730" t="s">
        <v>7</v>
      </c>
      <c r="L730" t="s">
        <v>74</v>
      </c>
      <c r="M730" t="s">
        <v>75</v>
      </c>
      <c r="N730" t="s">
        <v>10</v>
      </c>
      <c r="O730" t="s">
        <v>0</v>
      </c>
      <c r="P730" t="s">
        <v>11</v>
      </c>
      <c r="Q730" s="5">
        <v>26</v>
      </c>
      <c r="R730" s="4">
        <v>58500</v>
      </c>
      <c r="S730" s="5">
        <v>1</v>
      </c>
      <c r="T730" s="4">
        <v>1521000</v>
      </c>
      <c r="U730" s="5">
        <v>0</v>
      </c>
      <c r="V730" s="4">
        <v>0</v>
      </c>
      <c r="W730" s="5">
        <v>0</v>
      </c>
      <c r="X730" s="4">
        <v>0</v>
      </c>
      <c r="Y730" s="4">
        <f t="shared" si="22"/>
        <v>1521000</v>
      </c>
      <c r="Z730" s="6" t="s">
        <v>0</v>
      </c>
      <c r="AA730" t="s">
        <v>2</v>
      </c>
      <c r="AB730" t="s">
        <v>12</v>
      </c>
      <c r="AC730">
        <f>_xlfn.XLOOKUP(AB730,'[1]GST Codes'!$A:$A,'[1]GST Codes'!$C:$C,0,0)</f>
        <v>18</v>
      </c>
      <c r="AD730">
        <f t="shared" si="23"/>
        <v>1794780</v>
      </c>
      <c r="AE730" t="s">
        <v>13</v>
      </c>
      <c r="AF730" t="s">
        <v>0</v>
      </c>
      <c r="AG730" t="s">
        <v>14</v>
      </c>
      <c r="AH730" t="s">
        <v>15</v>
      </c>
      <c r="AI730" t="s">
        <v>85</v>
      </c>
      <c r="AJ730" t="s">
        <v>17</v>
      </c>
      <c r="AK730" t="s">
        <v>18</v>
      </c>
      <c r="AL730" t="s">
        <v>19</v>
      </c>
      <c r="AM730" t="s">
        <v>363</v>
      </c>
      <c r="AN730" t="s">
        <v>0</v>
      </c>
      <c r="AO730" t="s">
        <v>0</v>
      </c>
      <c r="AP730" t="s">
        <v>0</v>
      </c>
      <c r="AQ730" s="5">
        <v>26</v>
      </c>
      <c r="AR730" t="s">
        <v>11</v>
      </c>
      <c r="AS730" t="s">
        <v>0</v>
      </c>
      <c r="AT730" t="s">
        <v>17</v>
      </c>
      <c r="AU730" s="4">
        <v>0</v>
      </c>
      <c r="AV730" s="4">
        <v>0</v>
      </c>
      <c r="AW730" s="4">
        <v>0</v>
      </c>
      <c r="AX730" s="4">
        <v>0</v>
      </c>
      <c r="AY730" s="5">
        <v>0</v>
      </c>
      <c r="AZ730" s="5">
        <v>0</v>
      </c>
      <c r="BA730" s="5">
        <v>0</v>
      </c>
      <c r="BB730" s="2"/>
      <c r="BC730" t="s">
        <v>0</v>
      </c>
      <c r="BD730" s="5">
        <v>1</v>
      </c>
      <c r="BE730" t="s">
        <v>0</v>
      </c>
      <c r="BF730" t="s">
        <v>367</v>
      </c>
      <c r="BG730" t="s">
        <v>17</v>
      </c>
      <c r="BH730" t="s">
        <v>0</v>
      </c>
      <c r="BI730" t="s">
        <v>11</v>
      </c>
      <c r="BJ730" t="s">
        <v>0</v>
      </c>
      <c r="BK730" t="s">
        <v>0</v>
      </c>
      <c r="BL730" s="5">
        <v>0</v>
      </c>
      <c r="BM730" t="s">
        <v>0</v>
      </c>
      <c r="BN730" t="s">
        <v>0</v>
      </c>
      <c r="BO730" t="s">
        <v>0</v>
      </c>
      <c r="BP730" t="s">
        <v>17</v>
      </c>
      <c r="BQ730" t="s">
        <v>0</v>
      </c>
      <c r="BR730" t="s">
        <v>17</v>
      </c>
      <c r="BS730" t="s">
        <v>17</v>
      </c>
      <c r="BT730" t="s">
        <v>0</v>
      </c>
      <c r="BU730" t="s">
        <v>0</v>
      </c>
      <c r="BV730" t="s">
        <v>0</v>
      </c>
      <c r="BW730" t="s">
        <v>0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</row>
    <row r="731" spans="1:80" ht="13.95" customHeight="1" x14ac:dyDescent="0.25">
      <c r="A731" t="s">
        <v>382</v>
      </c>
      <c r="B731" s="2">
        <v>46063</v>
      </c>
      <c r="C731" s="2">
        <v>46063</v>
      </c>
      <c r="D731" s="2">
        <v>46091</v>
      </c>
      <c r="E731" t="s">
        <v>2</v>
      </c>
      <c r="F731" t="s">
        <v>3</v>
      </c>
      <c r="G731" t="s">
        <v>0</v>
      </c>
      <c r="H731" t="s">
        <v>4</v>
      </c>
      <c r="I731" t="s">
        <v>363</v>
      </c>
      <c r="J731" t="s">
        <v>6</v>
      </c>
      <c r="K731" t="s">
        <v>22</v>
      </c>
      <c r="L731" t="s">
        <v>74</v>
      </c>
      <c r="M731" t="s">
        <v>75</v>
      </c>
      <c r="N731" t="s">
        <v>10</v>
      </c>
      <c r="O731" t="s">
        <v>0</v>
      </c>
      <c r="P731" t="s">
        <v>11</v>
      </c>
      <c r="Q731" s="5">
        <v>26</v>
      </c>
      <c r="R731" s="4">
        <v>58500</v>
      </c>
      <c r="S731" s="5">
        <v>1</v>
      </c>
      <c r="T731" s="4">
        <v>1521000</v>
      </c>
      <c r="U731" s="5">
        <v>0</v>
      </c>
      <c r="V731" s="4">
        <v>0</v>
      </c>
      <c r="W731" s="5">
        <v>0</v>
      </c>
      <c r="X731" s="4">
        <v>0</v>
      </c>
      <c r="Y731" s="4">
        <f t="shared" si="22"/>
        <v>1521000</v>
      </c>
      <c r="Z731" s="6" t="s">
        <v>0</v>
      </c>
      <c r="AA731" t="s">
        <v>2</v>
      </c>
      <c r="AB731" t="s">
        <v>12</v>
      </c>
      <c r="AC731">
        <f>_xlfn.XLOOKUP(AB731,'[1]GST Codes'!$A:$A,'[1]GST Codes'!$C:$C,0,0)</f>
        <v>18</v>
      </c>
      <c r="AD731">
        <f t="shared" si="23"/>
        <v>1794780</v>
      </c>
      <c r="AE731" t="s">
        <v>13</v>
      </c>
      <c r="AF731" t="s">
        <v>0</v>
      </c>
      <c r="AG731" t="s">
        <v>14</v>
      </c>
      <c r="AH731" t="s">
        <v>15</v>
      </c>
      <c r="AI731" t="s">
        <v>85</v>
      </c>
      <c r="AJ731" t="s">
        <v>17</v>
      </c>
      <c r="AK731" t="s">
        <v>18</v>
      </c>
      <c r="AL731" t="s">
        <v>19</v>
      </c>
      <c r="AM731" t="s">
        <v>363</v>
      </c>
      <c r="AN731" t="s">
        <v>0</v>
      </c>
      <c r="AO731" t="s">
        <v>0</v>
      </c>
      <c r="AP731" t="s">
        <v>0</v>
      </c>
      <c r="AQ731" s="5">
        <v>26</v>
      </c>
      <c r="AR731" t="s">
        <v>11</v>
      </c>
      <c r="AS731" t="s">
        <v>0</v>
      </c>
      <c r="AT731" t="s">
        <v>17</v>
      </c>
      <c r="AU731" s="4">
        <v>0</v>
      </c>
      <c r="AV731" s="4">
        <v>0</v>
      </c>
      <c r="AW731" s="4">
        <v>0</v>
      </c>
      <c r="AX731" s="4">
        <v>0</v>
      </c>
      <c r="AY731" s="5">
        <v>0</v>
      </c>
      <c r="AZ731" s="5">
        <v>0</v>
      </c>
      <c r="BA731" s="5">
        <v>0</v>
      </c>
      <c r="BB731" s="2"/>
      <c r="BC731" t="s">
        <v>0</v>
      </c>
      <c r="BD731" s="5">
        <v>1</v>
      </c>
      <c r="BE731" t="s">
        <v>0</v>
      </c>
      <c r="BF731" t="s">
        <v>367</v>
      </c>
      <c r="BG731" t="s">
        <v>17</v>
      </c>
      <c r="BH731" t="s">
        <v>0</v>
      </c>
      <c r="BI731" t="s">
        <v>11</v>
      </c>
      <c r="BJ731" t="s">
        <v>0</v>
      </c>
      <c r="BK731" t="s">
        <v>0</v>
      </c>
      <c r="BL731" s="5">
        <v>0</v>
      </c>
      <c r="BM731" t="s">
        <v>0</v>
      </c>
      <c r="BN731" t="s">
        <v>0</v>
      </c>
      <c r="BO731" t="s">
        <v>0</v>
      </c>
      <c r="BP731" t="s">
        <v>17</v>
      </c>
      <c r="BQ731" t="s">
        <v>0</v>
      </c>
      <c r="BR731" t="s">
        <v>17</v>
      </c>
      <c r="BS731" t="s">
        <v>17</v>
      </c>
      <c r="BT731" t="s">
        <v>0</v>
      </c>
      <c r="BU731" t="s">
        <v>0</v>
      </c>
      <c r="BV731" t="s">
        <v>0</v>
      </c>
      <c r="BW731" t="s">
        <v>0</v>
      </c>
      <c r="BX731" t="s">
        <v>0</v>
      </c>
      <c r="BY731" t="s">
        <v>0</v>
      </c>
      <c r="BZ731" t="s">
        <v>0</v>
      </c>
      <c r="CA731" t="s">
        <v>0</v>
      </c>
      <c r="CB731" t="s">
        <v>0</v>
      </c>
    </row>
    <row r="732" spans="1:80" ht="13.95" customHeight="1" x14ac:dyDescent="0.25">
      <c r="A732" t="s">
        <v>382</v>
      </c>
      <c r="B732" s="2">
        <v>46063</v>
      </c>
      <c r="C732" s="2">
        <v>46063</v>
      </c>
      <c r="D732" s="2">
        <v>46091</v>
      </c>
      <c r="E732" t="s">
        <v>2</v>
      </c>
      <c r="F732" t="s">
        <v>3</v>
      </c>
      <c r="G732" t="s">
        <v>0</v>
      </c>
      <c r="H732" t="s">
        <v>4</v>
      </c>
      <c r="I732" t="s">
        <v>363</v>
      </c>
      <c r="J732" t="s">
        <v>6</v>
      </c>
      <c r="K732" t="s">
        <v>26</v>
      </c>
      <c r="L732" t="s">
        <v>74</v>
      </c>
      <c r="M732" t="s">
        <v>75</v>
      </c>
      <c r="N732" t="s">
        <v>10</v>
      </c>
      <c r="O732" t="s">
        <v>0</v>
      </c>
      <c r="P732" t="s">
        <v>11</v>
      </c>
      <c r="Q732" s="5">
        <v>27</v>
      </c>
      <c r="R732" s="4">
        <v>58500</v>
      </c>
      <c r="S732" s="5">
        <v>1</v>
      </c>
      <c r="T732" s="4">
        <v>1579500</v>
      </c>
      <c r="U732" s="5">
        <v>0</v>
      </c>
      <c r="V732" s="4">
        <v>0</v>
      </c>
      <c r="W732" s="5">
        <v>0</v>
      </c>
      <c r="X732" s="4">
        <v>0</v>
      </c>
      <c r="Y732" s="4">
        <f t="shared" si="22"/>
        <v>1579500</v>
      </c>
      <c r="Z732" s="6" t="s">
        <v>0</v>
      </c>
      <c r="AA732" t="s">
        <v>2</v>
      </c>
      <c r="AB732" t="s">
        <v>12</v>
      </c>
      <c r="AC732">
        <f>_xlfn.XLOOKUP(AB732,'[1]GST Codes'!$A:$A,'[1]GST Codes'!$C:$C,0,0)</f>
        <v>18</v>
      </c>
      <c r="AD732">
        <f t="shared" si="23"/>
        <v>1863810</v>
      </c>
      <c r="AE732" t="s">
        <v>13</v>
      </c>
      <c r="AF732" t="s">
        <v>0</v>
      </c>
      <c r="AG732" t="s">
        <v>14</v>
      </c>
      <c r="AH732" t="s">
        <v>15</v>
      </c>
      <c r="AI732" t="s">
        <v>85</v>
      </c>
      <c r="AJ732" t="s">
        <v>17</v>
      </c>
      <c r="AK732" t="s">
        <v>18</v>
      </c>
      <c r="AL732" t="s">
        <v>19</v>
      </c>
      <c r="AM732" t="s">
        <v>363</v>
      </c>
      <c r="AN732" t="s">
        <v>0</v>
      </c>
      <c r="AO732" t="s">
        <v>0</v>
      </c>
      <c r="AP732" t="s">
        <v>0</v>
      </c>
      <c r="AQ732" s="5">
        <v>27</v>
      </c>
      <c r="AR732" t="s">
        <v>11</v>
      </c>
      <c r="AS732" t="s">
        <v>0</v>
      </c>
      <c r="AT732" t="s">
        <v>17</v>
      </c>
      <c r="AU732" s="4">
        <v>0</v>
      </c>
      <c r="AV732" s="4">
        <v>0</v>
      </c>
      <c r="AW732" s="4">
        <v>0</v>
      </c>
      <c r="AX732" s="4">
        <v>0</v>
      </c>
      <c r="AY732" s="5">
        <v>0</v>
      </c>
      <c r="AZ732" s="5">
        <v>0</v>
      </c>
      <c r="BA732" s="5">
        <v>0</v>
      </c>
      <c r="BB732" s="2"/>
      <c r="BC732" t="s">
        <v>0</v>
      </c>
      <c r="BD732" s="5">
        <v>1</v>
      </c>
      <c r="BE732" t="s">
        <v>0</v>
      </c>
      <c r="BF732" t="s">
        <v>367</v>
      </c>
      <c r="BG732" t="s">
        <v>17</v>
      </c>
      <c r="BH732" t="s">
        <v>0</v>
      </c>
      <c r="BI732" t="s">
        <v>11</v>
      </c>
      <c r="BJ732" t="s">
        <v>0</v>
      </c>
      <c r="BK732" t="s">
        <v>0</v>
      </c>
      <c r="BL732" s="5">
        <v>0</v>
      </c>
      <c r="BM732" t="s">
        <v>0</v>
      </c>
      <c r="BN732" t="s">
        <v>0</v>
      </c>
      <c r="BO732" t="s">
        <v>0</v>
      </c>
      <c r="BP732" t="s">
        <v>17</v>
      </c>
      <c r="BQ732" t="s">
        <v>0</v>
      </c>
      <c r="BR732" t="s">
        <v>17</v>
      </c>
      <c r="BS732" t="s">
        <v>17</v>
      </c>
      <c r="BT732" t="s">
        <v>0</v>
      </c>
      <c r="BU732" t="s">
        <v>0</v>
      </c>
      <c r="BV732" t="s">
        <v>0</v>
      </c>
      <c r="BW732" t="s">
        <v>0</v>
      </c>
      <c r="BX732" t="s">
        <v>0</v>
      </c>
      <c r="BY732" t="s">
        <v>0</v>
      </c>
      <c r="BZ732" t="s">
        <v>0</v>
      </c>
      <c r="CA732" t="s">
        <v>0</v>
      </c>
      <c r="CB732" t="s">
        <v>0</v>
      </c>
    </row>
    <row r="733" spans="1:80" ht="13.95" customHeight="1" x14ac:dyDescent="0.25">
      <c r="A733" t="s">
        <v>382</v>
      </c>
      <c r="B733" s="2">
        <v>46063</v>
      </c>
      <c r="C733" s="2">
        <v>46063</v>
      </c>
      <c r="D733" s="2">
        <v>46091</v>
      </c>
      <c r="E733" t="s">
        <v>2</v>
      </c>
      <c r="F733" t="s">
        <v>3</v>
      </c>
      <c r="G733" t="s">
        <v>0</v>
      </c>
      <c r="H733" t="s">
        <v>4</v>
      </c>
      <c r="I733" t="s">
        <v>363</v>
      </c>
      <c r="J733" t="s">
        <v>6</v>
      </c>
      <c r="K733" t="s">
        <v>30</v>
      </c>
      <c r="L733" t="s">
        <v>74</v>
      </c>
      <c r="M733" t="s">
        <v>75</v>
      </c>
      <c r="N733" t="s">
        <v>10</v>
      </c>
      <c r="O733" t="s">
        <v>0</v>
      </c>
      <c r="P733" t="s">
        <v>11</v>
      </c>
      <c r="Q733" s="5">
        <v>27</v>
      </c>
      <c r="R733" s="4">
        <v>58500</v>
      </c>
      <c r="S733" s="5">
        <v>1</v>
      </c>
      <c r="T733" s="4">
        <v>1579500</v>
      </c>
      <c r="U733" s="5">
        <v>0</v>
      </c>
      <c r="V733" s="4">
        <v>0</v>
      </c>
      <c r="W733" s="5">
        <v>0</v>
      </c>
      <c r="X733" s="4">
        <v>0</v>
      </c>
      <c r="Y733" s="4">
        <f t="shared" si="22"/>
        <v>1579500</v>
      </c>
      <c r="Z733" s="6" t="s">
        <v>0</v>
      </c>
      <c r="AA733" t="s">
        <v>2</v>
      </c>
      <c r="AB733" t="s">
        <v>12</v>
      </c>
      <c r="AC733">
        <f>_xlfn.XLOOKUP(AB733,'[1]GST Codes'!$A:$A,'[1]GST Codes'!$C:$C,0,0)</f>
        <v>18</v>
      </c>
      <c r="AD733">
        <f t="shared" si="23"/>
        <v>1863810</v>
      </c>
      <c r="AE733" t="s">
        <v>13</v>
      </c>
      <c r="AF733" t="s">
        <v>0</v>
      </c>
      <c r="AG733" t="s">
        <v>14</v>
      </c>
      <c r="AH733" t="s">
        <v>15</v>
      </c>
      <c r="AI733" t="s">
        <v>85</v>
      </c>
      <c r="AJ733" t="s">
        <v>17</v>
      </c>
      <c r="AK733" t="s">
        <v>18</v>
      </c>
      <c r="AL733" t="s">
        <v>19</v>
      </c>
      <c r="AM733" t="s">
        <v>363</v>
      </c>
      <c r="AN733" t="s">
        <v>0</v>
      </c>
      <c r="AO733" t="s">
        <v>0</v>
      </c>
      <c r="AP733" t="s">
        <v>0</v>
      </c>
      <c r="AQ733" s="5">
        <v>27</v>
      </c>
      <c r="AR733" t="s">
        <v>11</v>
      </c>
      <c r="AS733" t="s">
        <v>0</v>
      </c>
      <c r="AT733" t="s">
        <v>17</v>
      </c>
      <c r="AU733" s="4">
        <v>0</v>
      </c>
      <c r="AV733" s="4">
        <v>0</v>
      </c>
      <c r="AW733" s="4">
        <v>0</v>
      </c>
      <c r="AX733" s="4">
        <v>0</v>
      </c>
      <c r="AY733" s="5">
        <v>0</v>
      </c>
      <c r="AZ733" s="5">
        <v>0</v>
      </c>
      <c r="BA733" s="5">
        <v>0</v>
      </c>
      <c r="BB733" s="2"/>
      <c r="BC733" t="s">
        <v>0</v>
      </c>
      <c r="BD733" s="5">
        <v>1</v>
      </c>
      <c r="BE733" t="s">
        <v>0</v>
      </c>
      <c r="BF733" t="s">
        <v>367</v>
      </c>
      <c r="BG733" t="s">
        <v>17</v>
      </c>
      <c r="BH733" t="s">
        <v>0</v>
      </c>
      <c r="BI733" t="s">
        <v>11</v>
      </c>
      <c r="BJ733" t="s">
        <v>0</v>
      </c>
      <c r="BK733" t="s">
        <v>0</v>
      </c>
      <c r="BL733" s="5">
        <v>0</v>
      </c>
      <c r="BM733" t="s">
        <v>0</v>
      </c>
      <c r="BN733" t="s">
        <v>0</v>
      </c>
      <c r="BO733" t="s">
        <v>0</v>
      </c>
      <c r="BP733" t="s">
        <v>17</v>
      </c>
      <c r="BQ733" t="s">
        <v>0</v>
      </c>
      <c r="BR733" t="s">
        <v>17</v>
      </c>
      <c r="BS733" t="s">
        <v>17</v>
      </c>
      <c r="BT733" t="s">
        <v>0</v>
      </c>
      <c r="BU733" t="s">
        <v>0</v>
      </c>
      <c r="BV733" t="s">
        <v>0</v>
      </c>
      <c r="BW733" t="s">
        <v>0</v>
      </c>
      <c r="BX733" t="s">
        <v>0</v>
      </c>
      <c r="BY733" t="s">
        <v>0</v>
      </c>
      <c r="BZ733" t="s">
        <v>0</v>
      </c>
      <c r="CA733" t="s">
        <v>0</v>
      </c>
      <c r="CB733" t="s">
        <v>0</v>
      </c>
    </row>
    <row r="734" spans="1:80" ht="13.95" customHeight="1" x14ac:dyDescent="0.25">
      <c r="A734" t="s">
        <v>382</v>
      </c>
      <c r="B734" s="2">
        <v>46063</v>
      </c>
      <c r="C734" s="2">
        <v>46063</v>
      </c>
      <c r="D734" s="2">
        <v>46091</v>
      </c>
      <c r="E734" t="s">
        <v>2</v>
      </c>
      <c r="F734" t="s">
        <v>3</v>
      </c>
      <c r="G734" t="s">
        <v>0</v>
      </c>
      <c r="H734" t="s">
        <v>4</v>
      </c>
      <c r="I734" t="s">
        <v>363</v>
      </c>
      <c r="J734" t="s">
        <v>6</v>
      </c>
      <c r="K734" t="s">
        <v>34</v>
      </c>
      <c r="L734" t="s">
        <v>74</v>
      </c>
      <c r="M734" t="s">
        <v>75</v>
      </c>
      <c r="N734" t="s">
        <v>10</v>
      </c>
      <c r="O734" t="s">
        <v>0</v>
      </c>
      <c r="P734" t="s">
        <v>11</v>
      </c>
      <c r="Q734" s="5">
        <v>27</v>
      </c>
      <c r="R734" s="4">
        <v>58500</v>
      </c>
      <c r="S734" s="5">
        <v>1</v>
      </c>
      <c r="T734" s="4">
        <v>1579500</v>
      </c>
      <c r="U734" s="5">
        <v>0</v>
      </c>
      <c r="V734" s="4">
        <v>0</v>
      </c>
      <c r="W734" s="5">
        <v>0</v>
      </c>
      <c r="X734" s="4">
        <v>0</v>
      </c>
      <c r="Y734" s="4">
        <f t="shared" si="22"/>
        <v>1579500</v>
      </c>
      <c r="Z734" s="6" t="s">
        <v>0</v>
      </c>
      <c r="AA734" t="s">
        <v>2</v>
      </c>
      <c r="AB734" t="s">
        <v>12</v>
      </c>
      <c r="AC734">
        <f>_xlfn.XLOOKUP(AB734,'[1]GST Codes'!$A:$A,'[1]GST Codes'!$C:$C,0,0)</f>
        <v>18</v>
      </c>
      <c r="AD734">
        <f t="shared" si="23"/>
        <v>1863810</v>
      </c>
      <c r="AE734" t="s">
        <v>13</v>
      </c>
      <c r="AF734" t="s">
        <v>0</v>
      </c>
      <c r="AG734" t="s">
        <v>14</v>
      </c>
      <c r="AH734" t="s">
        <v>15</v>
      </c>
      <c r="AI734" t="s">
        <v>85</v>
      </c>
      <c r="AJ734" t="s">
        <v>17</v>
      </c>
      <c r="AK734" t="s">
        <v>18</v>
      </c>
      <c r="AL734" t="s">
        <v>19</v>
      </c>
      <c r="AM734" t="s">
        <v>363</v>
      </c>
      <c r="AN734" t="s">
        <v>0</v>
      </c>
      <c r="AO734" t="s">
        <v>0</v>
      </c>
      <c r="AP734" t="s">
        <v>0</v>
      </c>
      <c r="AQ734" s="5">
        <v>27</v>
      </c>
      <c r="AR734" t="s">
        <v>11</v>
      </c>
      <c r="AS734" t="s">
        <v>0</v>
      </c>
      <c r="AT734" t="s">
        <v>17</v>
      </c>
      <c r="AU734" s="4">
        <v>0</v>
      </c>
      <c r="AV734" s="4">
        <v>0</v>
      </c>
      <c r="AW734" s="4">
        <v>0</v>
      </c>
      <c r="AX734" s="4">
        <v>0</v>
      </c>
      <c r="AY734" s="5">
        <v>0</v>
      </c>
      <c r="AZ734" s="5">
        <v>0</v>
      </c>
      <c r="BA734" s="5">
        <v>0</v>
      </c>
      <c r="BB734" s="2"/>
      <c r="BC734" t="s">
        <v>0</v>
      </c>
      <c r="BD734" s="5">
        <v>1</v>
      </c>
      <c r="BE734" t="s">
        <v>0</v>
      </c>
      <c r="BF734" t="s">
        <v>367</v>
      </c>
      <c r="BG734" t="s">
        <v>17</v>
      </c>
      <c r="BH734" t="s">
        <v>0</v>
      </c>
      <c r="BI734" t="s">
        <v>11</v>
      </c>
      <c r="BJ734" t="s">
        <v>0</v>
      </c>
      <c r="BK734" t="s">
        <v>0</v>
      </c>
      <c r="BL734" s="5">
        <v>0</v>
      </c>
      <c r="BM734" t="s">
        <v>0</v>
      </c>
      <c r="BN734" t="s">
        <v>0</v>
      </c>
      <c r="BO734" t="s">
        <v>0</v>
      </c>
      <c r="BP734" t="s">
        <v>17</v>
      </c>
      <c r="BQ734" t="s">
        <v>0</v>
      </c>
      <c r="BR734" t="s">
        <v>17</v>
      </c>
      <c r="BS734" t="s">
        <v>17</v>
      </c>
      <c r="BT734" t="s">
        <v>0</v>
      </c>
      <c r="BU734" t="s">
        <v>0</v>
      </c>
      <c r="BV734" t="s">
        <v>0</v>
      </c>
      <c r="BW734" t="s">
        <v>0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</row>
    <row r="735" spans="1:80" ht="13.95" customHeight="1" x14ac:dyDescent="0.25">
      <c r="A735" t="s">
        <v>382</v>
      </c>
      <c r="B735" s="2">
        <v>46063</v>
      </c>
      <c r="C735" s="2">
        <v>46063</v>
      </c>
      <c r="D735" s="2">
        <v>46091</v>
      </c>
      <c r="E735" t="s">
        <v>2</v>
      </c>
      <c r="F735" t="s">
        <v>3</v>
      </c>
      <c r="G735" t="s">
        <v>0</v>
      </c>
      <c r="H735" t="s">
        <v>4</v>
      </c>
      <c r="I735" t="s">
        <v>363</v>
      </c>
      <c r="J735" t="s">
        <v>6</v>
      </c>
      <c r="K735" t="s">
        <v>38</v>
      </c>
      <c r="L735" t="s">
        <v>74</v>
      </c>
      <c r="M735" t="s">
        <v>75</v>
      </c>
      <c r="N735" t="s">
        <v>10</v>
      </c>
      <c r="O735" t="s">
        <v>0</v>
      </c>
      <c r="P735" t="s">
        <v>11</v>
      </c>
      <c r="Q735" s="5">
        <v>27</v>
      </c>
      <c r="R735" s="4">
        <v>58500</v>
      </c>
      <c r="S735" s="5">
        <v>1</v>
      </c>
      <c r="T735" s="4">
        <v>1579500</v>
      </c>
      <c r="U735" s="5">
        <v>0</v>
      </c>
      <c r="V735" s="4">
        <v>0</v>
      </c>
      <c r="W735" s="5">
        <v>0</v>
      </c>
      <c r="X735" s="4">
        <v>0</v>
      </c>
      <c r="Y735" s="4">
        <f t="shared" si="22"/>
        <v>1579500</v>
      </c>
      <c r="Z735" s="6" t="s">
        <v>0</v>
      </c>
      <c r="AA735" t="s">
        <v>2</v>
      </c>
      <c r="AB735" t="s">
        <v>12</v>
      </c>
      <c r="AC735">
        <f>_xlfn.XLOOKUP(AB735,'[1]GST Codes'!$A:$A,'[1]GST Codes'!$C:$C,0,0)</f>
        <v>18</v>
      </c>
      <c r="AD735">
        <f t="shared" si="23"/>
        <v>1863810</v>
      </c>
      <c r="AE735" t="s">
        <v>13</v>
      </c>
      <c r="AF735" t="s">
        <v>0</v>
      </c>
      <c r="AG735" t="s">
        <v>14</v>
      </c>
      <c r="AH735" t="s">
        <v>15</v>
      </c>
      <c r="AI735" t="s">
        <v>85</v>
      </c>
      <c r="AJ735" t="s">
        <v>17</v>
      </c>
      <c r="AK735" t="s">
        <v>18</v>
      </c>
      <c r="AL735" t="s">
        <v>19</v>
      </c>
      <c r="AM735" t="s">
        <v>363</v>
      </c>
      <c r="AN735" t="s">
        <v>0</v>
      </c>
      <c r="AO735" t="s">
        <v>0</v>
      </c>
      <c r="AP735" t="s">
        <v>0</v>
      </c>
      <c r="AQ735" s="5">
        <v>27</v>
      </c>
      <c r="AR735" t="s">
        <v>11</v>
      </c>
      <c r="AS735" t="s">
        <v>0</v>
      </c>
      <c r="AT735" t="s">
        <v>17</v>
      </c>
      <c r="AU735" s="4">
        <v>0</v>
      </c>
      <c r="AV735" s="4">
        <v>0</v>
      </c>
      <c r="AW735" s="4">
        <v>0</v>
      </c>
      <c r="AX735" s="4">
        <v>0</v>
      </c>
      <c r="AY735" s="5">
        <v>0</v>
      </c>
      <c r="AZ735" s="5">
        <v>0</v>
      </c>
      <c r="BA735" s="5">
        <v>0</v>
      </c>
      <c r="BB735" s="2"/>
      <c r="BC735" t="s">
        <v>0</v>
      </c>
      <c r="BD735" s="5">
        <v>1</v>
      </c>
      <c r="BE735" t="s">
        <v>0</v>
      </c>
      <c r="BF735" t="s">
        <v>367</v>
      </c>
      <c r="BG735" t="s">
        <v>17</v>
      </c>
      <c r="BH735" t="s">
        <v>0</v>
      </c>
      <c r="BI735" t="s">
        <v>11</v>
      </c>
      <c r="BJ735" t="s">
        <v>0</v>
      </c>
      <c r="BK735" t="s">
        <v>0</v>
      </c>
      <c r="BL735" s="5">
        <v>0</v>
      </c>
      <c r="BM735" t="s">
        <v>0</v>
      </c>
      <c r="BN735" t="s">
        <v>0</v>
      </c>
      <c r="BO735" t="s">
        <v>0</v>
      </c>
      <c r="BP735" t="s">
        <v>17</v>
      </c>
      <c r="BQ735" t="s">
        <v>0</v>
      </c>
      <c r="BR735" t="s">
        <v>17</v>
      </c>
      <c r="BS735" t="s">
        <v>17</v>
      </c>
      <c r="BT735" t="s">
        <v>0</v>
      </c>
      <c r="BU735" t="s">
        <v>0</v>
      </c>
      <c r="BV735" t="s">
        <v>0</v>
      </c>
      <c r="BW735" t="s">
        <v>0</v>
      </c>
      <c r="BX735" t="s">
        <v>0</v>
      </c>
      <c r="BY735" t="s">
        <v>0</v>
      </c>
      <c r="BZ735" t="s">
        <v>0</v>
      </c>
      <c r="CA735" t="s">
        <v>0</v>
      </c>
      <c r="CB735" t="s">
        <v>0</v>
      </c>
    </row>
    <row r="736" spans="1:80" ht="13.95" customHeight="1" x14ac:dyDescent="0.25">
      <c r="A736" t="s">
        <v>382</v>
      </c>
      <c r="B736" s="2">
        <v>46063</v>
      </c>
      <c r="C736" s="2">
        <v>46063</v>
      </c>
      <c r="D736" s="2">
        <v>46091</v>
      </c>
      <c r="E736" t="s">
        <v>2</v>
      </c>
      <c r="F736" t="s">
        <v>3</v>
      </c>
      <c r="G736" t="s">
        <v>0</v>
      </c>
      <c r="H736" t="s">
        <v>4</v>
      </c>
      <c r="I736" t="s">
        <v>363</v>
      </c>
      <c r="J736" t="s">
        <v>6</v>
      </c>
      <c r="K736" t="s">
        <v>42</v>
      </c>
      <c r="L736" t="s">
        <v>354</v>
      </c>
      <c r="M736" t="s">
        <v>338</v>
      </c>
      <c r="N736" t="s">
        <v>10</v>
      </c>
      <c r="O736" t="s">
        <v>0</v>
      </c>
      <c r="P736" t="s">
        <v>11</v>
      </c>
      <c r="Q736" s="5">
        <v>49</v>
      </c>
      <c r="R736" s="4">
        <v>58500</v>
      </c>
      <c r="S736" s="5">
        <v>1</v>
      </c>
      <c r="T736" s="4">
        <v>2866500</v>
      </c>
      <c r="U736" s="5">
        <v>0</v>
      </c>
      <c r="V736" s="4">
        <v>0</v>
      </c>
      <c r="W736" s="5">
        <v>0</v>
      </c>
      <c r="X736" s="4">
        <v>0</v>
      </c>
      <c r="Y736" s="4">
        <f t="shared" si="22"/>
        <v>2866500</v>
      </c>
      <c r="Z736" s="6" t="s">
        <v>0</v>
      </c>
      <c r="AA736" t="s">
        <v>2</v>
      </c>
      <c r="AB736" t="s">
        <v>12</v>
      </c>
      <c r="AC736">
        <f>_xlfn.XLOOKUP(AB736,'[1]GST Codes'!$A:$A,'[1]GST Codes'!$C:$C,0,0)</f>
        <v>18</v>
      </c>
      <c r="AD736">
        <f t="shared" si="23"/>
        <v>3382470</v>
      </c>
      <c r="AE736" t="s">
        <v>13</v>
      </c>
      <c r="AF736" t="s">
        <v>0</v>
      </c>
      <c r="AG736" t="s">
        <v>14</v>
      </c>
      <c r="AH736" t="s">
        <v>15</v>
      </c>
      <c r="AI736" t="s">
        <v>85</v>
      </c>
      <c r="AJ736" t="s">
        <v>17</v>
      </c>
      <c r="AK736" t="s">
        <v>18</v>
      </c>
      <c r="AL736" t="s">
        <v>19</v>
      </c>
      <c r="AM736" t="s">
        <v>363</v>
      </c>
      <c r="AN736" t="s">
        <v>0</v>
      </c>
      <c r="AO736" t="s">
        <v>0</v>
      </c>
      <c r="AP736" t="s">
        <v>0</v>
      </c>
      <c r="AQ736" s="5">
        <v>49</v>
      </c>
      <c r="AR736" t="s">
        <v>11</v>
      </c>
      <c r="AS736" t="s">
        <v>0</v>
      </c>
      <c r="AT736" t="s">
        <v>17</v>
      </c>
      <c r="AU736" s="4">
        <v>0</v>
      </c>
      <c r="AV736" s="4">
        <v>0</v>
      </c>
      <c r="AW736" s="4">
        <v>0</v>
      </c>
      <c r="AX736" s="4">
        <v>0</v>
      </c>
      <c r="AY736" s="5">
        <v>0</v>
      </c>
      <c r="AZ736" s="5">
        <v>0</v>
      </c>
      <c r="BA736" s="5">
        <v>0</v>
      </c>
      <c r="BB736" s="2"/>
      <c r="BC736" t="s">
        <v>0</v>
      </c>
      <c r="BD736" s="5">
        <v>1</v>
      </c>
      <c r="BE736" t="s">
        <v>0</v>
      </c>
      <c r="BF736" t="s">
        <v>371</v>
      </c>
      <c r="BG736" t="s">
        <v>17</v>
      </c>
      <c r="BH736" t="s">
        <v>0</v>
      </c>
      <c r="BI736" t="s">
        <v>11</v>
      </c>
      <c r="BJ736" t="s">
        <v>0</v>
      </c>
      <c r="BK736" t="s">
        <v>0</v>
      </c>
      <c r="BL736" s="5">
        <v>0</v>
      </c>
      <c r="BM736" t="s">
        <v>0</v>
      </c>
      <c r="BN736" t="s">
        <v>0</v>
      </c>
      <c r="BO736" t="s">
        <v>0</v>
      </c>
      <c r="BP736" t="s">
        <v>17</v>
      </c>
      <c r="BQ736" t="s">
        <v>0</v>
      </c>
      <c r="BR736" t="s">
        <v>17</v>
      </c>
      <c r="BS736" t="s">
        <v>17</v>
      </c>
      <c r="BT736" t="s">
        <v>0</v>
      </c>
      <c r="BU736" t="s">
        <v>0</v>
      </c>
      <c r="BV736" t="s">
        <v>0</v>
      </c>
      <c r="BW736" t="s">
        <v>0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</row>
    <row r="737" spans="1:80" ht="13.95" customHeight="1" x14ac:dyDescent="0.25">
      <c r="A737" t="s">
        <v>382</v>
      </c>
      <c r="B737" s="2">
        <v>46063</v>
      </c>
      <c r="C737" s="2">
        <v>46063</v>
      </c>
      <c r="D737" s="2">
        <v>46091</v>
      </c>
      <c r="E737" t="s">
        <v>2</v>
      </c>
      <c r="F737" t="s">
        <v>3</v>
      </c>
      <c r="G737" t="s">
        <v>0</v>
      </c>
      <c r="H737" t="s">
        <v>4</v>
      </c>
      <c r="I737" t="s">
        <v>363</v>
      </c>
      <c r="J737" t="s">
        <v>6</v>
      </c>
      <c r="K737" t="s">
        <v>86</v>
      </c>
      <c r="L737" t="s">
        <v>354</v>
      </c>
      <c r="M737" t="s">
        <v>338</v>
      </c>
      <c r="N737" t="s">
        <v>10</v>
      </c>
      <c r="O737" t="s">
        <v>0</v>
      </c>
      <c r="P737" t="s">
        <v>11</v>
      </c>
      <c r="Q737" s="5">
        <v>49</v>
      </c>
      <c r="R737" s="4">
        <v>58500</v>
      </c>
      <c r="S737" s="5">
        <v>1</v>
      </c>
      <c r="T737" s="4">
        <v>2866500</v>
      </c>
      <c r="U737" s="5">
        <v>0</v>
      </c>
      <c r="V737" s="4">
        <v>0</v>
      </c>
      <c r="W737" s="5">
        <v>0</v>
      </c>
      <c r="X737" s="4">
        <v>0</v>
      </c>
      <c r="Y737" s="4">
        <f t="shared" si="22"/>
        <v>2866500</v>
      </c>
      <c r="Z737" s="6" t="s">
        <v>0</v>
      </c>
      <c r="AA737" t="s">
        <v>2</v>
      </c>
      <c r="AB737" t="s">
        <v>12</v>
      </c>
      <c r="AC737">
        <f>_xlfn.XLOOKUP(AB737,'[1]GST Codes'!$A:$A,'[1]GST Codes'!$C:$C,0,0)</f>
        <v>18</v>
      </c>
      <c r="AD737">
        <f t="shared" si="23"/>
        <v>3382470</v>
      </c>
      <c r="AE737" t="s">
        <v>13</v>
      </c>
      <c r="AF737" t="s">
        <v>0</v>
      </c>
      <c r="AG737" t="s">
        <v>14</v>
      </c>
      <c r="AH737" t="s">
        <v>15</v>
      </c>
      <c r="AI737" t="s">
        <v>85</v>
      </c>
      <c r="AJ737" t="s">
        <v>17</v>
      </c>
      <c r="AK737" t="s">
        <v>18</v>
      </c>
      <c r="AL737" t="s">
        <v>19</v>
      </c>
      <c r="AM737" t="s">
        <v>363</v>
      </c>
      <c r="AN737" t="s">
        <v>0</v>
      </c>
      <c r="AO737" t="s">
        <v>0</v>
      </c>
      <c r="AP737" t="s">
        <v>0</v>
      </c>
      <c r="AQ737" s="5">
        <v>49</v>
      </c>
      <c r="AR737" t="s">
        <v>11</v>
      </c>
      <c r="AS737" t="s">
        <v>0</v>
      </c>
      <c r="AT737" t="s">
        <v>17</v>
      </c>
      <c r="AU737" s="4">
        <v>0</v>
      </c>
      <c r="AV737" s="4">
        <v>0</v>
      </c>
      <c r="AW737" s="4">
        <v>0</v>
      </c>
      <c r="AX737" s="4">
        <v>0</v>
      </c>
      <c r="AY737" s="5">
        <v>0</v>
      </c>
      <c r="AZ737" s="5">
        <v>0</v>
      </c>
      <c r="BA737" s="5">
        <v>0</v>
      </c>
      <c r="BB737" s="2"/>
      <c r="BC737" t="s">
        <v>0</v>
      </c>
      <c r="BD737" s="5">
        <v>1</v>
      </c>
      <c r="BE737" t="s">
        <v>0</v>
      </c>
      <c r="BF737" t="s">
        <v>371</v>
      </c>
      <c r="BG737" t="s">
        <v>17</v>
      </c>
      <c r="BH737" t="s">
        <v>0</v>
      </c>
      <c r="BI737" t="s">
        <v>11</v>
      </c>
      <c r="BJ737" t="s">
        <v>0</v>
      </c>
      <c r="BK737" t="s">
        <v>0</v>
      </c>
      <c r="BL737" s="5">
        <v>0</v>
      </c>
      <c r="BM737" t="s">
        <v>0</v>
      </c>
      <c r="BN737" t="s">
        <v>0</v>
      </c>
      <c r="BO737" t="s">
        <v>0</v>
      </c>
      <c r="BP737" t="s">
        <v>17</v>
      </c>
      <c r="BQ737" t="s">
        <v>0</v>
      </c>
      <c r="BR737" t="s">
        <v>17</v>
      </c>
      <c r="BS737" t="s">
        <v>17</v>
      </c>
      <c r="BT737" t="s">
        <v>0</v>
      </c>
      <c r="BU737" t="s">
        <v>0</v>
      </c>
      <c r="BV737" t="s">
        <v>0</v>
      </c>
      <c r="BW737" t="s">
        <v>0</v>
      </c>
      <c r="BX737" t="s">
        <v>0</v>
      </c>
      <c r="BY737" t="s">
        <v>0</v>
      </c>
      <c r="BZ737" t="s">
        <v>0</v>
      </c>
      <c r="CA737" t="s">
        <v>0</v>
      </c>
      <c r="CB737" t="s">
        <v>0</v>
      </c>
    </row>
    <row r="738" spans="1:80" ht="13.95" customHeight="1" x14ac:dyDescent="0.25">
      <c r="A738" t="s">
        <v>382</v>
      </c>
      <c r="B738" s="2">
        <v>46063</v>
      </c>
      <c r="C738" s="2">
        <v>46063</v>
      </c>
      <c r="D738" s="2">
        <v>46091</v>
      </c>
      <c r="E738" t="s">
        <v>2</v>
      </c>
      <c r="F738" t="s">
        <v>3</v>
      </c>
      <c r="G738" t="s">
        <v>0</v>
      </c>
      <c r="H738" t="s">
        <v>4</v>
      </c>
      <c r="I738" t="s">
        <v>363</v>
      </c>
      <c r="J738" t="s">
        <v>6</v>
      </c>
      <c r="K738" t="s">
        <v>87</v>
      </c>
      <c r="L738" t="s">
        <v>354</v>
      </c>
      <c r="M738" t="s">
        <v>338</v>
      </c>
      <c r="N738" t="s">
        <v>10</v>
      </c>
      <c r="O738" t="s">
        <v>0</v>
      </c>
      <c r="P738" t="s">
        <v>11</v>
      </c>
      <c r="Q738" s="5">
        <v>48</v>
      </c>
      <c r="R738" s="4">
        <v>58500</v>
      </c>
      <c r="S738" s="5">
        <v>1</v>
      </c>
      <c r="T738" s="4">
        <v>2808000</v>
      </c>
      <c r="U738" s="5">
        <v>0</v>
      </c>
      <c r="V738" s="4">
        <v>0</v>
      </c>
      <c r="W738" s="5">
        <v>0</v>
      </c>
      <c r="X738" s="4">
        <v>0</v>
      </c>
      <c r="Y738" s="4">
        <f t="shared" si="22"/>
        <v>2808000</v>
      </c>
      <c r="Z738" s="6" t="s">
        <v>0</v>
      </c>
      <c r="AA738" t="s">
        <v>2</v>
      </c>
      <c r="AB738" t="s">
        <v>12</v>
      </c>
      <c r="AC738">
        <f>_xlfn.XLOOKUP(AB738,'[1]GST Codes'!$A:$A,'[1]GST Codes'!$C:$C,0,0)</f>
        <v>18</v>
      </c>
      <c r="AD738">
        <f t="shared" si="23"/>
        <v>3313440</v>
      </c>
      <c r="AE738" t="s">
        <v>13</v>
      </c>
      <c r="AF738" t="s">
        <v>0</v>
      </c>
      <c r="AG738" t="s">
        <v>14</v>
      </c>
      <c r="AH738" t="s">
        <v>15</v>
      </c>
      <c r="AI738" t="s">
        <v>85</v>
      </c>
      <c r="AJ738" t="s">
        <v>17</v>
      </c>
      <c r="AK738" t="s">
        <v>18</v>
      </c>
      <c r="AL738" t="s">
        <v>19</v>
      </c>
      <c r="AM738" t="s">
        <v>363</v>
      </c>
      <c r="AN738" t="s">
        <v>0</v>
      </c>
      <c r="AO738" t="s">
        <v>0</v>
      </c>
      <c r="AP738" t="s">
        <v>0</v>
      </c>
      <c r="AQ738" s="5">
        <v>48</v>
      </c>
      <c r="AR738" t="s">
        <v>11</v>
      </c>
      <c r="AS738" t="s">
        <v>0</v>
      </c>
      <c r="AT738" t="s">
        <v>17</v>
      </c>
      <c r="AU738" s="4">
        <v>0</v>
      </c>
      <c r="AV738" s="4">
        <v>0</v>
      </c>
      <c r="AW738" s="4">
        <v>0</v>
      </c>
      <c r="AX738" s="4">
        <v>0</v>
      </c>
      <c r="AY738" s="5">
        <v>0</v>
      </c>
      <c r="AZ738" s="5">
        <v>0</v>
      </c>
      <c r="BA738" s="5">
        <v>0</v>
      </c>
      <c r="BB738" s="2"/>
      <c r="BC738" t="s">
        <v>0</v>
      </c>
      <c r="BD738" s="5">
        <v>1</v>
      </c>
      <c r="BE738" t="s">
        <v>0</v>
      </c>
      <c r="BF738" t="s">
        <v>371</v>
      </c>
      <c r="BG738" t="s">
        <v>17</v>
      </c>
      <c r="BH738" t="s">
        <v>0</v>
      </c>
      <c r="BI738" t="s">
        <v>11</v>
      </c>
      <c r="BJ738" t="s">
        <v>0</v>
      </c>
      <c r="BK738" t="s">
        <v>0</v>
      </c>
      <c r="BL738" s="5">
        <v>0</v>
      </c>
      <c r="BM738" t="s">
        <v>0</v>
      </c>
      <c r="BN738" t="s">
        <v>0</v>
      </c>
      <c r="BO738" t="s">
        <v>0</v>
      </c>
      <c r="BP738" t="s">
        <v>17</v>
      </c>
      <c r="BQ738" t="s">
        <v>0</v>
      </c>
      <c r="BR738" t="s">
        <v>17</v>
      </c>
      <c r="BS738" t="s">
        <v>17</v>
      </c>
      <c r="BT738" t="s">
        <v>0</v>
      </c>
      <c r="BU738" t="s">
        <v>0</v>
      </c>
      <c r="BV738" t="s">
        <v>0</v>
      </c>
      <c r="BW738" t="s">
        <v>0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</row>
    <row r="739" spans="1:80" ht="13.95" customHeight="1" x14ac:dyDescent="0.25">
      <c r="A739" t="s">
        <v>382</v>
      </c>
      <c r="B739" s="2">
        <v>46063</v>
      </c>
      <c r="C739" s="2">
        <v>46063</v>
      </c>
      <c r="D739" s="2">
        <v>46091</v>
      </c>
      <c r="E739" t="s">
        <v>2</v>
      </c>
      <c r="F739" t="s">
        <v>3</v>
      </c>
      <c r="G739" t="s">
        <v>0</v>
      </c>
      <c r="H739" t="s">
        <v>4</v>
      </c>
      <c r="I739" t="s">
        <v>363</v>
      </c>
      <c r="J739" t="s">
        <v>6</v>
      </c>
      <c r="K739" t="s">
        <v>88</v>
      </c>
      <c r="L739" t="s">
        <v>354</v>
      </c>
      <c r="M739" t="s">
        <v>338</v>
      </c>
      <c r="N739" t="s">
        <v>10</v>
      </c>
      <c r="O739" t="s">
        <v>0</v>
      </c>
      <c r="P739" t="s">
        <v>11</v>
      </c>
      <c r="Q739" s="5">
        <v>48</v>
      </c>
      <c r="R739" s="4">
        <v>58500</v>
      </c>
      <c r="S739" s="5">
        <v>1</v>
      </c>
      <c r="T739" s="4">
        <v>2808000</v>
      </c>
      <c r="U739" s="5">
        <v>0</v>
      </c>
      <c r="V739" s="4">
        <v>0</v>
      </c>
      <c r="W739" s="5">
        <v>0</v>
      </c>
      <c r="X739" s="4">
        <v>0</v>
      </c>
      <c r="Y739" s="4">
        <f t="shared" si="22"/>
        <v>2808000</v>
      </c>
      <c r="Z739" s="6" t="s">
        <v>0</v>
      </c>
      <c r="AA739" t="s">
        <v>2</v>
      </c>
      <c r="AB739" t="s">
        <v>12</v>
      </c>
      <c r="AC739">
        <f>_xlfn.XLOOKUP(AB739,'[1]GST Codes'!$A:$A,'[1]GST Codes'!$C:$C,0,0)</f>
        <v>18</v>
      </c>
      <c r="AD739">
        <f t="shared" si="23"/>
        <v>3313440</v>
      </c>
      <c r="AE739" t="s">
        <v>13</v>
      </c>
      <c r="AF739" t="s">
        <v>0</v>
      </c>
      <c r="AG739" t="s">
        <v>14</v>
      </c>
      <c r="AH739" t="s">
        <v>15</v>
      </c>
      <c r="AI739" t="s">
        <v>85</v>
      </c>
      <c r="AJ739" t="s">
        <v>17</v>
      </c>
      <c r="AK739" t="s">
        <v>18</v>
      </c>
      <c r="AL739" t="s">
        <v>19</v>
      </c>
      <c r="AM739" t="s">
        <v>363</v>
      </c>
      <c r="AN739" t="s">
        <v>0</v>
      </c>
      <c r="AO739" t="s">
        <v>0</v>
      </c>
      <c r="AP739" t="s">
        <v>0</v>
      </c>
      <c r="AQ739" s="5">
        <v>48</v>
      </c>
      <c r="AR739" t="s">
        <v>11</v>
      </c>
      <c r="AS739" t="s">
        <v>0</v>
      </c>
      <c r="AT739" t="s">
        <v>17</v>
      </c>
      <c r="AU739" s="4">
        <v>0</v>
      </c>
      <c r="AV739" s="4">
        <v>0</v>
      </c>
      <c r="AW739" s="4">
        <v>0</v>
      </c>
      <c r="AX739" s="4">
        <v>0</v>
      </c>
      <c r="AY739" s="5">
        <v>0</v>
      </c>
      <c r="AZ739" s="5">
        <v>0</v>
      </c>
      <c r="BA739" s="5">
        <v>0</v>
      </c>
      <c r="BB739" s="2"/>
      <c r="BC739" t="s">
        <v>0</v>
      </c>
      <c r="BD739" s="5">
        <v>1</v>
      </c>
      <c r="BE739" t="s">
        <v>0</v>
      </c>
      <c r="BF739" t="s">
        <v>371</v>
      </c>
      <c r="BG739" t="s">
        <v>17</v>
      </c>
      <c r="BH739" t="s">
        <v>0</v>
      </c>
      <c r="BI739" t="s">
        <v>11</v>
      </c>
      <c r="BJ739" t="s">
        <v>0</v>
      </c>
      <c r="BK739" t="s">
        <v>0</v>
      </c>
      <c r="BL739" s="5">
        <v>0</v>
      </c>
      <c r="BM739" t="s">
        <v>0</v>
      </c>
      <c r="BN739" t="s">
        <v>0</v>
      </c>
      <c r="BO739" t="s">
        <v>0</v>
      </c>
      <c r="BP739" t="s">
        <v>17</v>
      </c>
      <c r="BQ739" t="s">
        <v>0</v>
      </c>
      <c r="BR739" t="s">
        <v>17</v>
      </c>
      <c r="BS739" t="s">
        <v>17</v>
      </c>
      <c r="BT739" t="s">
        <v>0</v>
      </c>
      <c r="BU739" t="s">
        <v>0</v>
      </c>
      <c r="BV739" t="s">
        <v>0</v>
      </c>
      <c r="BW739" t="s">
        <v>0</v>
      </c>
      <c r="BX739" t="s">
        <v>0</v>
      </c>
      <c r="BY739" t="s">
        <v>0</v>
      </c>
      <c r="BZ739" t="s">
        <v>0</v>
      </c>
      <c r="CA739" t="s">
        <v>0</v>
      </c>
      <c r="CB739" t="s">
        <v>0</v>
      </c>
    </row>
    <row r="740" spans="1:80" ht="13.95" customHeight="1" x14ac:dyDescent="0.25">
      <c r="A740" t="s">
        <v>382</v>
      </c>
      <c r="B740" s="2">
        <v>46063</v>
      </c>
      <c r="C740" s="2">
        <v>46063</v>
      </c>
      <c r="D740" s="2">
        <v>46091</v>
      </c>
      <c r="E740" t="s">
        <v>2</v>
      </c>
      <c r="F740" t="s">
        <v>3</v>
      </c>
      <c r="G740" t="s">
        <v>0</v>
      </c>
      <c r="H740" t="s">
        <v>4</v>
      </c>
      <c r="I740" t="s">
        <v>363</v>
      </c>
      <c r="J740" t="s">
        <v>6</v>
      </c>
      <c r="K740" t="s">
        <v>89</v>
      </c>
      <c r="L740" t="s">
        <v>354</v>
      </c>
      <c r="M740" t="s">
        <v>338</v>
      </c>
      <c r="N740" t="s">
        <v>10</v>
      </c>
      <c r="O740" t="s">
        <v>0</v>
      </c>
      <c r="P740" t="s">
        <v>11</v>
      </c>
      <c r="Q740" s="5">
        <v>48</v>
      </c>
      <c r="R740" s="4">
        <v>58500</v>
      </c>
      <c r="S740" s="5">
        <v>1</v>
      </c>
      <c r="T740" s="4">
        <v>2808000</v>
      </c>
      <c r="U740" s="3">
        <v>9.7520000000000007</v>
      </c>
      <c r="V740" s="4">
        <v>570492</v>
      </c>
      <c r="W740" s="3">
        <v>9.7520000000000007</v>
      </c>
      <c r="X740" s="4">
        <v>570492</v>
      </c>
      <c r="Y740" s="4">
        <f t="shared" si="22"/>
        <v>2237508</v>
      </c>
      <c r="Z740" s="6" t="s">
        <v>0</v>
      </c>
      <c r="AA740" t="s">
        <v>2</v>
      </c>
      <c r="AB740" t="s">
        <v>12</v>
      </c>
      <c r="AC740">
        <f>_xlfn.XLOOKUP(AB740,'[1]GST Codes'!$A:$A,'[1]GST Codes'!$C:$C,0,0)</f>
        <v>18</v>
      </c>
      <c r="AD740">
        <f t="shared" si="23"/>
        <v>2640259.44</v>
      </c>
      <c r="AE740" t="s">
        <v>13</v>
      </c>
      <c r="AF740" t="s">
        <v>0</v>
      </c>
      <c r="AG740" t="s">
        <v>14</v>
      </c>
      <c r="AH740" t="s">
        <v>15</v>
      </c>
      <c r="AI740" t="s">
        <v>85</v>
      </c>
      <c r="AJ740" t="s">
        <v>17</v>
      </c>
      <c r="AK740" t="s">
        <v>18</v>
      </c>
      <c r="AL740" t="s">
        <v>19</v>
      </c>
      <c r="AM740" t="s">
        <v>363</v>
      </c>
      <c r="AN740" t="s">
        <v>0</v>
      </c>
      <c r="AO740" t="s">
        <v>0</v>
      </c>
      <c r="AP740" t="s">
        <v>0</v>
      </c>
      <c r="AQ740" s="5">
        <v>48</v>
      </c>
      <c r="AR740" t="s">
        <v>11</v>
      </c>
      <c r="AS740" t="s">
        <v>0</v>
      </c>
      <c r="AT740" t="s">
        <v>17</v>
      </c>
      <c r="AU740" s="4">
        <v>0</v>
      </c>
      <c r="AV740" s="4">
        <v>0</v>
      </c>
      <c r="AW740" s="4">
        <v>0</v>
      </c>
      <c r="AX740" s="4">
        <v>0</v>
      </c>
      <c r="AY740" s="5">
        <v>0</v>
      </c>
      <c r="AZ740" s="5">
        <v>0</v>
      </c>
      <c r="BA740" s="5">
        <v>0</v>
      </c>
      <c r="BB740" s="2"/>
      <c r="BC740" t="s">
        <v>0</v>
      </c>
      <c r="BD740" s="5">
        <v>1</v>
      </c>
      <c r="BE740" t="s">
        <v>0</v>
      </c>
      <c r="BF740" t="s">
        <v>371</v>
      </c>
      <c r="BG740" t="s">
        <v>17</v>
      </c>
      <c r="BH740" t="s">
        <v>0</v>
      </c>
      <c r="BI740" t="s">
        <v>11</v>
      </c>
      <c r="BJ740" t="s">
        <v>0</v>
      </c>
      <c r="BK740" t="s">
        <v>0</v>
      </c>
      <c r="BL740" s="5">
        <v>0</v>
      </c>
      <c r="BM740" t="s">
        <v>0</v>
      </c>
      <c r="BN740" t="s">
        <v>0</v>
      </c>
      <c r="BO740" t="s">
        <v>0</v>
      </c>
      <c r="BP740" t="s">
        <v>17</v>
      </c>
      <c r="BQ740" t="s">
        <v>0</v>
      </c>
      <c r="BR740" t="s">
        <v>17</v>
      </c>
      <c r="BS740" t="s">
        <v>17</v>
      </c>
      <c r="BT740" t="s">
        <v>0</v>
      </c>
      <c r="BU740" t="s">
        <v>0</v>
      </c>
      <c r="BV740" t="s">
        <v>0</v>
      </c>
      <c r="BW740" t="s">
        <v>0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</row>
    <row r="741" spans="1:80" ht="13.95" customHeight="1" x14ac:dyDescent="0.25">
      <c r="A741" t="s">
        <v>382</v>
      </c>
      <c r="B741" s="2">
        <v>46063</v>
      </c>
      <c r="C741" s="2">
        <v>46063</v>
      </c>
      <c r="D741" s="2">
        <v>46091</v>
      </c>
      <c r="E741" t="s">
        <v>2</v>
      </c>
      <c r="F741" t="s">
        <v>3</v>
      </c>
      <c r="G741" t="s">
        <v>0</v>
      </c>
      <c r="H741" t="s">
        <v>4</v>
      </c>
      <c r="I741" t="s">
        <v>363</v>
      </c>
      <c r="J741" t="s">
        <v>6</v>
      </c>
      <c r="K741" t="s">
        <v>90</v>
      </c>
      <c r="L741" t="s">
        <v>354</v>
      </c>
      <c r="M741" t="s">
        <v>338</v>
      </c>
      <c r="N741" t="s">
        <v>10</v>
      </c>
      <c r="O741" t="s">
        <v>0</v>
      </c>
      <c r="P741" t="s">
        <v>11</v>
      </c>
      <c r="Q741" s="5">
        <v>48</v>
      </c>
      <c r="R741" s="4">
        <v>58500</v>
      </c>
      <c r="S741" s="5">
        <v>1</v>
      </c>
      <c r="T741" s="4">
        <v>2808000</v>
      </c>
      <c r="U741" s="3">
        <v>5.3079999999999998</v>
      </c>
      <c r="V741" s="4">
        <v>310518</v>
      </c>
      <c r="W741" s="3">
        <v>5.3079999999999998</v>
      </c>
      <c r="X741" s="4">
        <v>310518</v>
      </c>
      <c r="Y741" s="4">
        <f t="shared" si="22"/>
        <v>2497482</v>
      </c>
      <c r="Z741" s="6" t="s">
        <v>0</v>
      </c>
      <c r="AA741" t="s">
        <v>2</v>
      </c>
      <c r="AB741" t="s">
        <v>12</v>
      </c>
      <c r="AC741">
        <f>_xlfn.XLOOKUP(AB741,'[1]GST Codes'!$A:$A,'[1]GST Codes'!$C:$C,0,0)</f>
        <v>18</v>
      </c>
      <c r="AD741">
        <f t="shared" si="23"/>
        <v>2947028.76</v>
      </c>
      <c r="AE741" t="s">
        <v>13</v>
      </c>
      <c r="AF741" t="s">
        <v>0</v>
      </c>
      <c r="AG741" t="s">
        <v>14</v>
      </c>
      <c r="AH741" t="s">
        <v>15</v>
      </c>
      <c r="AI741" t="s">
        <v>85</v>
      </c>
      <c r="AJ741" t="s">
        <v>17</v>
      </c>
      <c r="AK741" t="s">
        <v>18</v>
      </c>
      <c r="AL741" t="s">
        <v>19</v>
      </c>
      <c r="AM741" t="s">
        <v>363</v>
      </c>
      <c r="AN741" t="s">
        <v>0</v>
      </c>
      <c r="AO741" t="s">
        <v>0</v>
      </c>
      <c r="AP741" t="s">
        <v>0</v>
      </c>
      <c r="AQ741" s="5">
        <v>48</v>
      </c>
      <c r="AR741" t="s">
        <v>11</v>
      </c>
      <c r="AS741" t="s">
        <v>0</v>
      </c>
      <c r="AT741" t="s">
        <v>17</v>
      </c>
      <c r="AU741" s="4">
        <v>0</v>
      </c>
      <c r="AV741" s="4">
        <v>0</v>
      </c>
      <c r="AW741" s="4">
        <v>0</v>
      </c>
      <c r="AX741" s="4">
        <v>0</v>
      </c>
      <c r="AY741" s="5">
        <v>0</v>
      </c>
      <c r="AZ741" s="5">
        <v>0</v>
      </c>
      <c r="BA741" s="5">
        <v>0</v>
      </c>
      <c r="BB741" s="2"/>
      <c r="BC741" t="s">
        <v>0</v>
      </c>
      <c r="BD741" s="5">
        <v>1</v>
      </c>
      <c r="BE741" t="s">
        <v>0</v>
      </c>
      <c r="BF741" t="s">
        <v>371</v>
      </c>
      <c r="BG741" t="s">
        <v>17</v>
      </c>
      <c r="BH741" t="s">
        <v>0</v>
      </c>
      <c r="BI741" t="s">
        <v>11</v>
      </c>
      <c r="BJ741" t="s">
        <v>0</v>
      </c>
      <c r="BK741" t="s">
        <v>0</v>
      </c>
      <c r="BL741" s="5">
        <v>0</v>
      </c>
      <c r="BM741" t="s">
        <v>0</v>
      </c>
      <c r="BN741" t="s">
        <v>0</v>
      </c>
      <c r="BO741" t="s">
        <v>0</v>
      </c>
      <c r="BP741" t="s">
        <v>17</v>
      </c>
      <c r="BQ741" t="s">
        <v>0</v>
      </c>
      <c r="BR741" t="s">
        <v>17</v>
      </c>
      <c r="BS741" t="s">
        <v>17</v>
      </c>
      <c r="BT741" t="s">
        <v>0</v>
      </c>
      <c r="BU741" t="s">
        <v>0</v>
      </c>
      <c r="BV741" t="s">
        <v>0</v>
      </c>
      <c r="BW741" t="s">
        <v>0</v>
      </c>
      <c r="BX741" t="s">
        <v>0</v>
      </c>
      <c r="BY741" t="s">
        <v>0</v>
      </c>
      <c r="BZ741" t="s">
        <v>0</v>
      </c>
      <c r="CA741" t="s">
        <v>0</v>
      </c>
      <c r="CB741" t="s">
        <v>0</v>
      </c>
    </row>
    <row r="742" spans="1:80" ht="13.95" customHeight="1" x14ac:dyDescent="0.25">
      <c r="A742" t="s">
        <v>382</v>
      </c>
      <c r="B742" s="2">
        <v>46063</v>
      </c>
      <c r="C742" s="2">
        <v>46063</v>
      </c>
      <c r="D742" s="2">
        <v>46091</v>
      </c>
      <c r="E742" t="s">
        <v>2</v>
      </c>
      <c r="F742" t="s">
        <v>3</v>
      </c>
      <c r="G742" t="s">
        <v>0</v>
      </c>
      <c r="H742" t="s">
        <v>4</v>
      </c>
      <c r="I742" t="s">
        <v>363</v>
      </c>
      <c r="J742" t="s">
        <v>6</v>
      </c>
      <c r="K742" t="s">
        <v>177</v>
      </c>
      <c r="L742" t="s">
        <v>329</v>
      </c>
      <c r="M742" t="s">
        <v>339</v>
      </c>
      <c r="N742" t="s">
        <v>10</v>
      </c>
      <c r="O742" t="s">
        <v>0</v>
      </c>
      <c r="P742" t="s">
        <v>11</v>
      </c>
      <c r="Q742" s="5">
        <v>15</v>
      </c>
      <c r="R742" s="4">
        <v>58500</v>
      </c>
      <c r="S742" s="5">
        <v>1</v>
      </c>
      <c r="T742" s="4">
        <v>877500</v>
      </c>
      <c r="U742" s="5">
        <v>0</v>
      </c>
      <c r="V742" s="4">
        <v>0</v>
      </c>
      <c r="W742" s="5">
        <v>0</v>
      </c>
      <c r="X742" s="4">
        <v>0</v>
      </c>
      <c r="Y742" s="4">
        <f t="shared" si="22"/>
        <v>877500</v>
      </c>
      <c r="Z742" s="6" t="s">
        <v>0</v>
      </c>
      <c r="AA742" t="s">
        <v>2</v>
      </c>
      <c r="AB742" t="s">
        <v>12</v>
      </c>
      <c r="AC742">
        <f>_xlfn.XLOOKUP(AB742,'[1]GST Codes'!$A:$A,'[1]GST Codes'!$C:$C,0,0)</f>
        <v>18</v>
      </c>
      <c r="AD742">
        <f t="shared" si="23"/>
        <v>1035450</v>
      </c>
      <c r="AE742" t="s">
        <v>13</v>
      </c>
      <c r="AF742" t="s">
        <v>0</v>
      </c>
      <c r="AG742" t="s">
        <v>14</v>
      </c>
      <c r="AH742" t="s">
        <v>15</v>
      </c>
      <c r="AI742" t="s">
        <v>85</v>
      </c>
      <c r="AJ742" t="s">
        <v>17</v>
      </c>
      <c r="AK742" t="s">
        <v>18</v>
      </c>
      <c r="AL742" t="s">
        <v>19</v>
      </c>
      <c r="AM742" t="s">
        <v>363</v>
      </c>
      <c r="AN742" t="s">
        <v>0</v>
      </c>
      <c r="AO742" t="s">
        <v>0</v>
      </c>
      <c r="AP742" t="s">
        <v>0</v>
      </c>
      <c r="AQ742" s="5">
        <v>15</v>
      </c>
      <c r="AR742" t="s">
        <v>11</v>
      </c>
      <c r="AS742" t="s">
        <v>0</v>
      </c>
      <c r="AT742" t="s">
        <v>17</v>
      </c>
      <c r="AU742" s="4">
        <v>0</v>
      </c>
      <c r="AV742" s="4">
        <v>0</v>
      </c>
      <c r="AW742" s="4">
        <v>0</v>
      </c>
      <c r="AX742" s="4">
        <v>0</v>
      </c>
      <c r="AY742" s="5">
        <v>0</v>
      </c>
      <c r="AZ742" s="5">
        <v>0</v>
      </c>
      <c r="BA742" s="5">
        <v>0</v>
      </c>
      <c r="BB742" s="2"/>
      <c r="BC742" t="s">
        <v>0</v>
      </c>
      <c r="BD742" s="5">
        <v>1</v>
      </c>
      <c r="BE742" t="s">
        <v>0</v>
      </c>
      <c r="BF742" t="s">
        <v>365</v>
      </c>
      <c r="BG742" t="s">
        <v>17</v>
      </c>
      <c r="BH742" t="s">
        <v>0</v>
      </c>
      <c r="BI742" t="s">
        <v>11</v>
      </c>
      <c r="BJ742" t="s">
        <v>0</v>
      </c>
      <c r="BK742" t="s">
        <v>0</v>
      </c>
      <c r="BL742" s="5">
        <v>0</v>
      </c>
      <c r="BM742" t="s">
        <v>0</v>
      </c>
      <c r="BN742" t="s">
        <v>0</v>
      </c>
      <c r="BO742" t="s">
        <v>0</v>
      </c>
      <c r="BP742" t="s">
        <v>17</v>
      </c>
      <c r="BQ742" t="s">
        <v>0</v>
      </c>
      <c r="BR742" t="s">
        <v>17</v>
      </c>
      <c r="BS742" t="s">
        <v>17</v>
      </c>
      <c r="BT742" t="s">
        <v>0</v>
      </c>
      <c r="BU742" t="s">
        <v>0</v>
      </c>
      <c r="BV742" t="s">
        <v>0</v>
      </c>
      <c r="BW742" t="s">
        <v>0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</row>
    <row r="743" spans="1:80" ht="13.95" customHeight="1" x14ac:dyDescent="0.25">
      <c r="A743" t="s">
        <v>382</v>
      </c>
      <c r="B743" s="2">
        <v>46063</v>
      </c>
      <c r="C743" s="2">
        <v>46063</v>
      </c>
      <c r="D743" s="2">
        <v>46091</v>
      </c>
      <c r="E743" t="s">
        <v>2</v>
      </c>
      <c r="F743" t="s">
        <v>3</v>
      </c>
      <c r="G743" t="s">
        <v>0</v>
      </c>
      <c r="H743" t="s">
        <v>4</v>
      </c>
      <c r="I743" t="s">
        <v>363</v>
      </c>
      <c r="J743" t="s">
        <v>6</v>
      </c>
      <c r="K743" t="s">
        <v>181</v>
      </c>
      <c r="L743" t="s">
        <v>329</v>
      </c>
      <c r="M743" t="s">
        <v>339</v>
      </c>
      <c r="N743" t="s">
        <v>10</v>
      </c>
      <c r="O743" t="s">
        <v>0</v>
      </c>
      <c r="P743" t="s">
        <v>11</v>
      </c>
      <c r="Q743" s="5">
        <v>15</v>
      </c>
      <c r="R743" s="4">
        <v>58500</v>
      </c>
      <c r="S743" s="5">
        <v>1</v>
      </c>
      <c r="T743" s="4">
        <v>877500</v>
      </c>
      <c r="U743" s="5">
        <v>0</v>
      </c>
      <c r="V743" s="4">
        <v>0</v>
      </c>
      <c r="W743" s="5">
        <v>0</v>
      </c>
      <c r="X743" s="4">
        <v>0</v>
      </c>
      <c r="Y743" s="4">
        <f t="shared" si="22"/>
        <v>877500</v>
      </c>
      <c r="Z743" s="6" t="s">
        <v>0</v>
      </c>
      <c r="AA743" t="s">
        <v>2</v>
      </c>
      <c r="AB743" t="s">
        <v>12</v>
      </c>
      <c r="AC743">
        <f>_xlfn.XLOOKUP(AB743,'[1]GST Codes'!$A:$A,'[1]GST Codes'!$C:$C,0,0)</f>
        <v>18</v>
      </c>
      <c r="AD743">
        <f t="shared" si="23"/>
        <v>1035450</v>
      </c>
      <c r="AE743" t="s">
        <v>13</v>
      </c>
      <c r="AF743" t="s">
        <v>0</v>
      </c>
      <c r="AG743" t="s">
        <v>14</v>
      </c>
      <c r="AH743" t="s">
        <v>15</v>
      </c>
      <c r="AI743" t="s">
        <v>85</v>
      </c>
      <c r="AJ743" t="s">
        <v>17</v>
      </c>
      <c r="AK743" t="s">
        <v>18</v>
      </c>
      <c r="AL743" t="s">
        <v>19</v>
      </c>
      <c r="AM743" t="s">
        <v>363</v>
      </c>
      <c r="AN743" t="s">
        <v>0</v>
      </c>
      <c r="AO743" t="s">
        <v>0</v>
      </c>
      <c r="AP743" t="s">
        <v>0</v>
      </c>
      <c r="AQ743" s="5">
        <v>15</v>
      </c>
      <c r="AR743" t="s">
        <v>11</v>
      </c>
      <c r="AS743" t="s">
        <v>0</v>
      </c>
      <c r="AT743" t="s">
        <v>17</v>
      </c>
      <c r="AU743" s="4">
        <v>0</v>
      </c>
      <c r="AV743" s="4">
        <v>0</v>
      </c>
      <c r="AW743" s="4">
        <v>0</v>
      </c>
      <c r="AX743" s="4">
        <v>0</v>
      </c>
      <c r="AY743" s="5">
        <v>0</v>
      </c>
      <c r="AZ743" s="5">
        <v>0</v>
      </c>
      <c r="BA743" s="5">
        <v>0</v>
      </c>
      <c r="BB743" s="2"/>
      <c r="BC743" t="s">
        <v>0</v>
      </c>
      <c r="BD743" s="5">
        <v>1</v>
      </c>
      <c r="BE743" t="s">
        <v>0</v>
      </c>
      <c r="BF743" t="s">
        <v>365</v>
      </c>
      <c r="BG743" t="s">
        <v>17</v>
      </c>
      <c r="BH743" t="s">
        <v>0</v>
      </c>
      <c r="BI743" t="s">
        <v>11</v>
      </c>
      <c r="BJ743" t="s">
        <v>0</v>
      </c>
      <c r="BK743" t="s">
        <v>0</v>
      </c>
      <c r="BL743" s="5">
        <v>0</v>
      </c>
      <c r="BM743" t="s">
        <v>0</v>
      </c>
      <c r="BN743" t="s">
        <v>0</v>
      </c>
      <c r="BO743" t="s">
        <v>0</v>
      </c>
      <c r="BP743" t="s">
        <v>17</v>
      </c>
      <c r="BQ743" t="s">
        <v>0</v>
      </c>
      <c r="BR743" t="s">
        <v>17</v>
      </c>
      <c r="BS743" t="s">
        <v>17</v>
      </c>
      <c r="BT743" t="s">
        <v>0</v>
      </c>
      <c r="BU743" t="s">
        <v>0</v>
      </c>
      <c r="BV743" t="s">
        <v>0</v>
      </c>
      <c r="BW743" t="s">
        <v>0</v>
      </c>
      <c r="BX743" t="s">
        <v>0</v>
      </c>
      <c r="BY743" t="s">
        <v>0</v>
      </c>
      <c r="BZ743" t="s">
        <v>0</v>
      </c>
      <c r="CA743" t="s">
        <v>0</v>
      </c>
      <c r="CB743" t="s">
        <v>0</v>
      </c>
    </row>
    <row r="744" spans="1:80" ht="13.95" customHeight="1" x14ac:dyDescent="0.25">
      <c r="A744" t="s">
        <v>382</v>
      </c>
      <c r="B744" s="2">
        <v>46063</v>
      </c>
      <c r="C744" s="2">
        <v>46063</v>
      </c>
      <c r="D744" s="2">
        <v>46091</v>
      </c>
      <c r="E744" t="s">
        <v>2</v>
      </c>
      <c r="F744" t="s">
        <v>3</v>
      </c>
      <c r="G744" t="s">
        <v>0</v>
      </c>
      <c r="H744" t="s">
        <v>4</v>
      </c>
      <c r="I744" t="s">
        <v>363</v>
      </c>
      <c r="J744" t="s">
        <v>6</v>
      </c>
      <c r="K744" t="s">
        <v>185</v>
      </c>
      <c r="L744" t="s">
        <v>329</v>
      </c>
      <c r="M744" t="s">
        <v>339</v>
      </c>
      <c r="N744" t="s">
        <v>10</v>
      </c>
      <c r="O744" t="s">
        <v>0</v>
      </c>
      <c r="P744" t="s">
        <v>11</v>
      </c>
      <c r="Q744" s="5">
        <v>15</v>
      </c>
      <c r="R744" s="4">
        <v>58500</v>
      </c>
      <c r="S744" s="5">
        <v>1</v>
      </c>
      <c r="T744" s="4">
        <v>877500</v>
      </c>
      <c r="U744" s="5">
        <v>0</v>
      </c>
      <c r="V744" s="4">
        <v>0</v>
      </c>
      <c r="W744" s="5">
        <v>0</v>
      </c>
      <c r="X744" s="4">
        <v>0</v>
      </c>
      <c r="Y744" s="4">
        <f t="shared" si="22"/>
        <v>877500</v>
      </c>
      <c r="Z744" s="6" t="s">
        <v>0</v>
      </c>
      <c r="AA744" t="s">
        <v>2</v>
      </c>
      <c r="AB744" t="s">
        <v>12</v>
      </c>
      <c r="AC744">
        <f>_xlfn.XLOOKUP(AB744,'[1]GST Codes'!$A:$A,'[1]GST Codes'!$C:$C,0,0)</f>
        <v>18</v>
      </c>
      <c r="AD744">
        <f t="shared" si="23"/>
        <v>1035450</v>
      </c>
      <c r="AE744" t="s">
        <v>13</v>
      </c>
      <c r="AF744" t="s">
        <v>0</v>
      </c>
      <c r="AG744" t="s">
        <v>14</v>
      </c>
      <c r="AH744" t="s">
        <v>15</v>
      </c>
      <c r="AI744" t="s">
        <v>85</v>
      </c>
      <c r="AJ744" t="s">
        <v>17</v>
      </c>
      <c r="AK744" t="s">
        <v>18</v>
      </c>
      <c r="AL744" t="s">
        <v>19</v>
      </c>
      <c r="AM744" t="s">
        <v>363</v>
      </c>
      <c r="AN744" t="s">
        <v>0</v>
      </c>
      <c r="AO744" t="s">
        <v>0</v>
      </c>
      <c r="AP744" t="s">
        <v>0</v>
      </c>
      <c r="AQ744" s="5">
        <v>15</v>
      </c>
      <c r="AR744" t="s">
        <v>11</v>
      </c>
      <c r="AS744" t="s">
        <v>0</v>
      </c>
      <c r="AT744" t="s">
        <v>17</v>
      </c>
      <c r="AU744" s="4">
        <v>0</v>
      </c>
      <c r="AV744" s="4">
        <v>0</v>
      </c>
      <c r="AW744" s="4">
        <v>0</v>
      </c>
      <c r="AX744" s="4">
        <v>0</v>
      </c>
      <c r="AY744" s="5">
        <v>0</v>
      </c>
      <c r="AZ744" s="5">
        <v>0</v>
      </c>
      <c r="BA744" s="5">
        <v>0</v>
      </c>
      <c r="BB744" s="2"/>
      <c r="BC744" t="s">
        <v>0</v>
      </c>
      <c r="BD744" s="5">
        <v>1</v>
      </c>
      <c r="BE744" t="s">
        <v>0</v>
      </c>
      <c r="BF744" t="s">
        <v>365</v>
      </c>
      <c r="BG744" t="s">
        <v>17</v>
      </c>
      <c r="BH744" t="s">
        <v>0</v>
      </c>
      <c r="BI744" t="s">
        <v>11</v>
      </c>
      <c r="BJ744" t="s">
        <v>0</v>
      </c>
      <c r="BK744" t="s">
        <v>0</v>
      </c>
      <c r="BL744" s="5">
        <v>0</v>
      </c>
      <c r="BM744" t="s">
        <v>0</v>
      </c>
      <c r="BN744" t="s">
        <v>0</v>
      </c>
      <c r="BO744" t="s">
        <v>0</v>
      </c>
      <c r="BP744" t="s">
        <v>17</v>
      </c>
      <c r="BQ744" t="s">
        <v>0</v>
      </c>
      <c r="BR744" t="s">
        <v>17</v>
      </c>
      <c r="BS744" t="s">
        <v>17</v>
      </c>
      <c r="BT744" t="s">
        <v>0</v>
      </c>
      <c r="BU744" t="s">
        <v>0</v>
      </c>
      <c r="BV744" t="s">
        <v>0</v>
      </c>
      <c r="BW744" t="s">
        <v>0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</row>
    <row r="745" spans="1:80" ht="13.95" customHeight="1" x14ac:dyDescent="0.25">
      <c r="A745" t="s">
        <v>382</v>
      </c>
      <c r="B745" s="2">
        <v>46063</v>
      </c>
      <c r="C745" s="2">
        <v>46063</v>
      </c>
      <c r="D745" s="2">
        <v>46091</v>
      </c>
      <c r="E745" t="s">
        <v>2</v>
      </c>
      <c r="F745" t="s">
        <v>3</v>
      </c>
      <c r="G745" t="s">
        <v>0</v>
      </c>
      <c r="H745" t="s">
        <v>4</v>
      </c>
      <c r="I745" t="s">
        <v>363</v>
      </c>
      <c r="J745" t="s">
        <v>6</v>
      </c>
      <c r="K745" t="s">
        <v>189</v>
      </c>
      <c r="L745" t="s">
        <v>329</v>
      </c>
      <c r="M745" t="s">
        <v>339</v>
      </c>
      <c r="N745" t="s">
        <v>10</v>
      </c>
      <c r="O745" t="s">
        <v>0</v>
      </c>
      <c r="P745" t="s">
        <v>11</v>
      </c>
      <c r="Q745" s="5">
        <v>15</v>
      </c>
      <c r="R745" s="4">
        <v>58500</v>
      </c>
      <c r="S745" s="5">
        <v>1</v>
      </c>
      <c r="T745" s="4">
        <v>877500</v>
      </c>
      <c r="U745" s="5">
        <v>0</v>
      </c>
      <c r="V745" s="4">
        <v>0</v>
      </c>
      <c r="W745" s="5">
        <v>0</v>
      </c>
      <c r="X745" s="4">
        <v>0</v>
      </c>
      <c r="Y745" s="4">
        <f t="shared" si="22"/>
        <v>877500</v>
      </c>
      <c r="Z745" s="6" t="s">
        <v>0</v>
      </c>
      <c r="AA745" t="s">
        <v>2</v>
      </c>
      <c r="AB745" t="s">
        <v>12</v>
      </c>
      <c r="AC745">
        <f>_xlfn.XLOOKUP(AB745,'[1]GST Codes'!$A:$A,'[1]GST Codes'!$C:$C,0,0)</f>
        <v>18</v>
      </c>
      <c r="AD745">
        <f t="shared" si="23"/>
        <v>1035450</v>
      </c>
      <c r="AE745" t="s">
        <v>13</v>
      </c>
      <c r="AF745" t="s">
        <v>0</v>
      </c>
      <c r="AG745" t="s">
        <v>14</v>
      </c>
      <c r="AH745" t="s">
        <v>15</v>
      </c>
      <c r="AI745" t="s">
        <v>85</v>
      </c>
      <c r="AJ745" t="s">
        <v>17</v>
      </c>
      <c r="AK745" t="s">
        <v>18</v>
      </c>
      <c r="AL745" t="s">
        <v>19</v>
      </c>
      <c r="AM745" t="s">
        <v>363</v>
      </c>
      <c r="AN745" t="s">
        <v>0</v>
      </c>
      <c r="AO745" t="s">
        <v>0</v>
      </c>
      <c r="AP745" t="s">
        <v>0</v>
      </c>
      <c r="AQ745" s="5">
        <v>15</v>
      </c>
      <c r="AR745" t="s">
        <v>11</v>
      </c>
      <c r="AS745" t="s">
        <v>0</v>
      </c>
      <c r="AT745" t="s">
        <v>17</v>
      </c>
      <c r="AU745" s="4">
        <v>0</v>
      </c>
      <c r="AV745" s="4">
        <v>0</v>
      </c>
      <c r="AW745" s="4">
        <v>0</v>
      </c>
      <c r="AX745" s="4">
        <v>0</v>
      </c>
      <c r="AY745" s="5">
        <v>0</v>
      </c>
      <c r="AZ745" s="5">
        <v>0</v>
      </c>
      <c r="BA745" s="5">
        <v>0</v>
      </c>
      <c r="BB745" s="2"/>
      <c r="BC745" t="s">
        <v>0</v>
      </c>
      <c r="BD745" s="5">
        <v>1</v>
      </c>
      <c r="BE745" t="s">
        <v>0</v>
      </c>
      <c r="BF745" t="s">
        <v>365</v>
      </c>
      <c r="BG745" t="s">
        <v>17</v>
      </c>
      <c r="BH745" t="s">
        <v>0</v>
      </c>
      <c r="BI745" t="s">
        <v>11</v>
      </c>
      <c r="BJ745" t="s">
        <v>0</v>
      </c>
      <c r="BK745" t="s">
        <v>0</v>
      </c>
      <c r="BL745" s="5">
        <v>0</v>
      </c>
      <c r="BM745" t="s">
        <v>0</v>
      </c>
      <c r="BN745" t="s">
        <v>0</v>
      </c>
      <c r="BO745" t="s">
        <v>0</v>
      </c>
      <c r="BP745" t="s">
        <v>17</v>
      </c>
      <c r="BQ745" t="s">
        <v>0</v>
      </c>
      <c r="BR745" t="s">
        <v>17</v>
      </c>
      <c r="BS745" t="s">
        <v>17</v>
      </c>
      <c r="BT745" t="s">
        <v>0</v>
      </c>
      <c r="BU745" t="s">
        <v>0</v>
      </c>
      <c r="BV745" t="s">
        <v>0</v>
      </c>
      <c r="BW745" t="s">
        <v>0</v>
      </c>
      <c r="BX745" t="s">
        <v>0</v>
      </c>
      <c r="BY745" t="s">
        <v>0</v>
      </c>
      <c r="BZ745" t="s">
        <v>0</v>
      </c>
      <c r="CA745" t="s">
        <v>0</v>
      </c>
      <c r="CB745" t="s">
        <v>0</v>
      </c>
    </row>
    <row r="746" spans="1:80" ht="13.95" customHeight="1" x14ac:dyDescent="0.25">
      <c r="A746" t="s">
        <v>382</v>
      </c>
      <c r="B746" s="2">
        <v>46063</v>
      </c>
      <c r="C746" s="2">
        <v>46063</v>
      </c>
      <c r="D746" s="2">
        <v>46091</v>
      </c>
      <c r="E746" t="s">
        <v>2</v>
      </c>
      <c r="F746" t="s">
        <v>3</v>
      </c>
      <c r="G746" t="s">
        <v>0</v>
      </c>
      <c r="H746" t="s">
        <v>4</v>
      </c>
      <c r="I746" t="s">
        <v>363</v>
      </c>
      <c r="J746" t="s">
        <v>6</v>
      </c>
      <c r="K746" t="s">
        <v>193</v>
      </c>
      <c r="L746" t="s">
        <v>43</v>
      </c>
      <c r="M746" t="s">
        <v>44</v>
      </c>
      <c r="N746" t="s">
        <v>10</v>
      </c>
      <c r="O746" t="s">
        <v>0</v>
      </c>
      <c r="P746" t="s">
        <v>11</v>
      </c>
      <c r="Q746" s="5">
        <v>125</v>
      </c>
      <c r="R746" s="4">
        <v>58500</v>
      </c>
      <c r="S746" s="5">
        <v>1</v>
      </c>
      <c r="T746" s="4">
        <v>7312500</v>
      </c>
      <c r="U746" s="5">
        <v>0</v>
      </c>
      <c r="V746" s="4">
        <v>0</v>
      </c>
      <c r="W746" s="5">
        <v>0</v>
      </c>
      <c r="X746" s="4">
        <v>0</v>
      </c>
      <c r="Y746" s="4">
        <f t="shared" si="22"/>
        <v>7312500</v>
      </c>
      <c r="Z746" s="6" t="s">
        <v>0</v>
      </c>
      <c r="AA746" t="s">
        <v>2</v>
      </c>
      <c r="AB746" t="s">
        <v>12</v>
      </c>
      <c r="AC746">
        <f>_xlfn.XLOOKUP(AB746,'[1]GST Codes'!$A:$A,'[1]GST Codes'!$C:$C,0,0)</f>
        <v>18</v>
      </c>
      <c r="AD746">
        <f t="shared" si="23"/>
        <v>8628750</v>
      </c>
      <c r="AE746" t="s">
        <v>13</v>
      </c>
      <c r="AF746" t="s">
        <v>0</v>
      </c>
      <c r="AG746" t="s">
        <v>14</v>
      </c>
      <c r="AH746" t="s">
        <v>15</v>
      </c>
      <c r="AI746" t="s">
        <v>85</v>
      </c>
      <c r="AJ746" t="s">
        <v>17</v>
      </c>
      <c r="AK746" t="s">
        <v>18</v>
      </c>
      <c r="AL746" t="s">
        <v>19</v>
      </c>
      <c r="AM746" t="s">
        <v>363</v>
      </c>
      <c r="AN746" t="s">
        <v>0</v>
      </c>
      <c r="AO746" t="s">
        <v>0</v>
      </c>
      <c r="AP746" t="s">
        <v>0</v>
      </c>
      <c r="AQ746" s="5">
        <v>125</v>
      </c>
      <c r="AR746" t="s">
        <v>11</v>
      </c>
      <c r="AS746" t="s">
        <v>0</v>
      </c>
      <c r="AT746" t="s">
        <v>17</v>
      </c>
      <c r="AU746" s="4">
        <v>0</v>
      </c>
      <c r="AV746" s="4">
        <v>0</v>
      </c>
      <c r="AW746" s="4">
        <v>0</v>
      </c>
      <c r="AX746" s="4">
        <v>0</v>
      </c>
      <c r="AY746" s="5">
        <v>0</v>
      </c>
      <c r="AZ746" s="5">
        <v>0</v>
      </c>
      <c r="BA746" s="5">
        <v>0</v>
      </c>
      <c r="BB746" s="2"/>
      <c r="BC746" t="s">
        <v>0</v>
      </c>
      <c r="BD746" s="5">
        <v>1</v>
      </c>
      <c r="BE746" t="s">
        <v>0</v>
      </c>
      <c r="BF746" t="s">
        <v>364</v>
      </c>
      <c r="BG746" t="s">
        <v>17</v>
      </c>
      <c r="BH746" t="s">
        <v>0</v>
      </c>
      <c r="BI746" t="s">
        <v>11</v>
      </c>
      <c r="BJ746" t="s">
        <v>0</v>
      </c>
      <c r="BK746" t="s">
        <v>0</v>
      </c>
      <c r="BL746" s="5">
        <v>0</v>
      </c>
      <c r="BM746" t="s">
        <v>0</v>
      </c>
      <c r="BN746" t="s">
        <v>0</v>
      </c>
      <c r="BO746" t="s">
        <v>0</v>
      </c>
      <c r="BP746" t="s">
        <v>17</v>
      </c>
      <c r="BQ746" t="s">
        <v>0</v>
      </c>
      <c r="BR746" t="s">
        <v>17</v>
      </c>
      <c r="BS746" t="s">
        <v>17</v>
      </c>
      <c r="BT746" t="s">
        <v>0</v>
      </c>
      <c r="BU746" t="s">
        <v>0</v>
      </c>
      <c r="BV746" t="s">
        <v>0</v>
      </c>
      <c r="BW746" t="s">
        <v>0</v>
      </c>
      <c r="BX746" t="s">
        <v>0</v>
      </c>
      <c r="BY746" t="s">
        <v>0</v>
      </c>
      <c r="BZ746" t="s">
        <v>0</v>
      </c>
      <c r="CA746" t="s">
        <v>0</v>
      </c>
      <c r="CB746" t="s">
        <v>0</v>
      </c>
    </row>
    <row r="747" spans="1:80" ht="13.95" customHeight="1" x14ac:dyDescent="0.25">
      <c r="A747" t="s">
        <v>383</v>
      </c>
      <c r="B747" s="2">
        <v>46153</v>
      </c>
      <c r="C747" s="2">
        <v>46153</v>
      </c>
      <c r="D747" s="2">
        <v>46184</v>
      </c>
      <c r="E747" t="s">
        <v>2</v>
      </c>
      <c r="F747" t="s">
        <v>3</v>
      </c>
      <c r="G747" t="s">
        <v>0</v>
      </c>
      <c r="H747" t="s">
        <v>4</v>
      </c>
      <c r="I747" t="s">
        <v>363</v>
      </c>
      <c r="J747" t="s">
        <v>6</v>
      </c>
      <c r="K747" t="s">
        <v>7</v>
      </c>
      <c r="L747" t="s">
        <v>74</v>
      </c>
      <c r="M747" t="s">
        <v>75</v>
      </c>
      <c r="N747" t="s">
        <v>10</v>
      </c>
      <c r="O747" t="s">
        <v>0</v>
      </c>
      <c r="P747" t="s">
        <v>11</v>
      </c>
      <c r="Q747" s="5">
        <v>33</v>
      </c>
      <c r="R747" s="4">
        <v>57200</v>
      </c>
      <c r="S747" s="5">
        <v>1</v>
      </c>
      <c r="T747" s="4">
        <v>1887600</v>
      </c>
      <c r="U747" s="5">
        <v>0</v>
      </c>
      <c r="V747" s="4">
        <v>0</v>
      </c>
      <c r="W747" s="5">
        <v>0</v>
      </c>
      <c r="X747" s="4">
        <v>0</v>
      </c>
      <c r="Y747" s="4">
        <f t="shared" si="22"/>
        <v>1887600</v>
      </c>
      <c r="Z747" s="6" t="s">
        <v>0</v>
      </c>
      <c r="AA747" t="s">
        <v>2</v>
      </c>
      <c r="AB747" t="s">
        <v>12</v>
      </c>
      <c r="AC747">
        <f>_xlfn.XLOOKUP(AB747,'[1]GST Codes'!$A:$A,'[1]GST Codes'!$C:$C,0,0)</f>
        <v>18</v>
      </c>
      <c r="AD747">
        <f t="shared" si="23"/>
        <v>2227368</v>
      </c>
      <c r="AE747" t="s">
        <v>13</v>
      </c>
      <c r="AF747" t="s">
        <v>0</v>
      </c>
      <c r="AG747" t="s">
        <v>14</v>
      </c>
      <c r="AH747" t="s">
        <v>15</v>
      </c>
      <c r="AI747" t="s">
        <v>96</v>
      </c>
      <c r="AJ747" t="s">
        <v>17</v>
      </c>
      <c r="AK747" t="s">
        <v>18</v>
      </c>
      <c r="AL747" t="s">
        <v>19</v>
      </c>
      <c r="AM747" t="s">
        <v>363</v>
      </c>
      <c r="AN747" t="s">
        <v>0</v>
      </c>
      <c r="AO747" t="s">
        <v>0</v>
      </c>
      <c r="AP747" t="s">
        <v>0</v>
      </c>
      <c r="AQ747" s="5">
        <v>33</v>
      </c>
      <c r="AR747" t="s">
        <v>11</v>
      </c>
      <c r="AS747" t="s">
        <v>0</v>
      </c>
      <c r="AT747" t="s">
        <v>17</v>
      </c>
      <c r="AU747" s="4">
        <v>0</v>
      </c>
      <c r="AV747" s="4">
        <v>0</v>
      </c>
      <c r="AW747" s="4">
        <v>0</v>
      </c>
      <c r="AX747" s="4">
        <v>0</v>
      </c>
      <c r="AY747" s="5">
        <v>0</v>
      </c>
      <c r="AZ747" s="5">
        <v>0</v>
      </c>
      <c r="BA747" s="5">
        <v>0</v>
      </c>
      <c r="BB747" s="2"/>
      <c r="BC747" t="s">
        <v>0</v>
      </c>
      <c r="BD747" s="5">
        <v>1</v>
      </c>
      <c r="BE747" t="s">
        <v>0</v>
      </c>
      <c r="BF747" t="s">
        <v>367</v>
      </c>
      <c r="BG747" t="s">
        <v>17</v>
      </c>
      <c r="BH747" t="s">
        <v>0</v>
      </c>
      <c r="BI747" t="s">
        <v>11</v>
      </c>
      <c r="BJ747" t="s">
        <v>0</v>
      </c>
      <c r="BK747" t="s">
        <v>0</v>
      </c>
      <c r="BL747" s="5">
        <v>0</v>
      </c>
      <c r="BM747" t="s">
        <v>0</v>
      </c>
      <c r="BN747" t="s">
        <v>0</v>
      </c>
      <c r="BO747" t="s">
        <v>0</v>
      </c>
      <c r="BP747" t="s">
        <v>17</v>
      </c>
      <c r="BQ747" t="s">
        <v>0</v>
      </c>
      <c r="BR747" t="s">
        <v>17</v>
      </c>
      <c r="BS747" t="s">
        <v>17</v>
      </c>
      <c r="BT747" t="s">
        <v>0</v>
      </c>
      <c r="BU747" t="s">
        <v>0</v>
      </c>
      <c r="BV747" t="s">
        <v>0</v>
      </c>
      <c r="BW747" t="s">
        <v>0</v>
      </c>
      <c r="BX747" t="s">
        <v>0</v>
      </c>
      <c r="BY747" t="s">
        <v>0</v>
      </c>
      <c r="BZ747" t="s">
        <v>0</v>
      </c>
      <c r="CA747" t="s">
        <v>0</v>
      </c>
      <c r="CB747" t="s">
        <v>0</v>
      </c>
    </row>
    <row r="748" spans="1:80" ht="13.95" customHeight="1" x14ac:dyDescent="0.25">
      <c r="A748" t="s">
        <v>383</v>
      </c>
      <c r="B748" s="2">
        <v>46153</v>
      </c>
      <c r="C748" s="2">
        <v>46153</v>
      </c>
      <c r="D748" s="2">
        <v>46184</v>
      </c>
      <c r="E748" t="s">
        <v>2</v>
      </c>
      <c r="F748" t="s">
        <v>3</v>
      </c>
      <c r="G748" t="s">
        <v>0</v>
      </c>
      <c r="H748" t="s">
        <v>4</v>
      </c>
      <c r="I748" t="s">
        <v>363</v>
      </c>
      <c r="J748" t="s">
        <v>6</v>
      </c>
      <c r="K748" t="s">
        <v>22</v>
      </c>
      <c r="L748" t="s">
        <v>74</v>
      </c>
      <c r="M748" t="s">
        <v>75</v>
      </c>
      <c r="N748" t="s">
        <v>10</v>
      </c>
      <c r="O748" t="s">
        <v>0</v>
      </c>
      <c r="P748" t="s">
        <v>11</v>
      </c>
      <c r="Q748" s="5">
        <v>33</v>
      </c>
      <c r="R748" s="4">
        <v>57200</v>
      </c>
      <c r="S748" s="5">
        <v>1</v>
      </c>
      <c r="T748" s="4">
        <v>1887600</v>
      </c>
      <c r="U748" s="5">
        <v>0</v>
      </c>
      <c r="V748" s="4">
        <v>0</v>
      </c>
      <c r="W748" s="5">
        <v>0</v>
      </c>
      <c r="X748" s="4">
        <v>0</v>
      </c>
      <c r="Y748" s="4">
        <f t="shared" si="22"/>
        <v>1887600</v>
      </c>
      <c r="Z748" s="6" t="s">
        <v>0</v>
      </c>
      <c r="AA748" t="s">
        <v>2</v>
      </c>
      <c r="AB748" t="s">
        <v>12</v>
      </c>
      <c r="AC748">
        <f>_xlfn.XLOOKUP(AB748,'[1]GST Codes'!$A:$A,'[1]GST Codes'!$C:$C,0,0)</f>
        <v>18</v>
      </c>
      <c r="AD748">
        <f t="shared" si="23"/>
        <v>2227368</v>
      </c>
      <c r="AE748" t="s">
        <v>13</v>
      </c>
      <c r="AF748" t="s">
        <v>0</v>
      </c>
      <c r="AG748" t="s">
        <v>14</v>
      </c>
      <c r="AH748" t="s">
        <v>15</v>
      </c>
      <c r="AI748" t="s">
        <v>96</v>
      </c>
      <c r="AJ748" t="s">
        <v>17</v>
      </c>
      <c r="AK748" t="s">
        <v>18</v>
      </c>
      <c r="AL748" t="s">
        <v>19</v>
      </c>
      <c r="AM748" t="s">
        <v>363</v>
      </c>
      <c r="AN748" t="s">
        <v>0</v>
      </c>
      <c r="AO748" t="s">
        <v>0</v>
      </c>
      <c r="AP748" t="s">
        <v>0</v>
      </c>
      <c r="AQ748" s="5">
        <v>33</v>
      </c>
      <c r="AR748" t="s">
        <v>11</v>
      </c>
      <c r="AS748" t="s">
        <v>0</v>
      </c>
      <c r="AT748" t="s">
        <v>17</v>
      </c>
      <c r="AU748" s="4">
        <v>0</v>
      </c>
      <c r="AV748" s="4">
        <v>0</v>
      </c>
      <c r="AW748" s="4">
        <v>0</v>
      </c>
      <c r="AX748" s="4">
        <v>0</v>
      </c>
      <c r="AY748" s="5">
        <v>0</v>
      </c>
      <c r="AZ748" s="5">
        <v>0</v>
      </c>
      <c r="BA748" s="5">
        <v>0</v>
      </c>
      <c r="BB748" s="2"/>
      <c r="BC748" t="s">
        <v>0</v>
      </c>
      <c r="BD748" s="5">
        <v>1</v>
      </c>
      <c r="BE748" t="s">
        <v>0</v>
      </c>
      <c r="BF748" t="s">
        <v>367</v>
      </c>
      <c r="BG748" t="s">
        <v>17</v>
      </c>
      <c r="BH748" t="s">
        <v>0</v>
      </c>
      <c r="BI748" t="s">
        <v>11</v>
      </c>
      <c r="BJ748" t="s">
        <v>0</v>
      </c>
      <c r="BK748" t="s">
        <v>0</v>
      </c>
      <c r="BL748" s="5">
        <v>0</v>
      </c>
      <c r="BM748" t="s">
        <v>0</v>
      </c>
      <c r="BN748" t="s">
        <v>0</v>
      </c>
      <c r="BO748" t="s">
        <v>0</v>
      </c>
      <c r="BP748" t="s">
        <v>17</v>
      </c>
      <c r="BQ748" t="s">
        <v>0</v>
      </c>
      <c r="BR748" t="s">
        <v>17</v>
      </c>
      <c r="BS748" t="s">
        <v>17</v>
      </c>
      <c r="BT748" t="s">
        <v>0</v>
      </c>
      <c r="BU748" t="s">
        <v>0</v>
      </c>
      <c r="BV748" t="s">
        <v>0</v>
      </c>
      <c r="BW748" t="s">
        <v>0</v>
      </c>
      <c r="BX748" t="s">
        <v>0</v>
      </c>
      <c r="BY748" t="s">
        <v>0</v>
      </c>
      <c r="BZ748" t="s">
        <v>0</v>
      </c>
      <c r="CA748" t="s">
        <v>0</v>
      </c>
      <c r="CB748" t="s">
        <v>0</v>
      </c>
    </row>
    <row r="749" spans="1:80" ht="13.95" customHeight="1" x14ac:dyDescent="0.25">
      <c r="A749" t="s">
        <v>383</v>
      </c>
      <c r="B749" s="2">
        <v>46153</v>
      </c>
      <c r="C749" s="2">
        <v>46153</v>
      </c>
      <c r="D749" s="2">
        <v>46184</v>
      </c>
      <c r="E749" t="s">
        <v>2</v>
      </c>
      <c r="F749" t="s">
        <v>3</v>
      </c>
      <c r="G749" t="s">
        <v>0</v>
      </c>
      <c r="H749" t="s">
        <v>4</v>
      </c>
      <c r="I749" t="s">
        <v>363</v>
      </c>
      <c r="J749" t="s">
        <v>6</v>
      </c>
      <c r="K749" t="s">
        <v>26</v>
      </c>
      <c r="L749" t="s">
        <v>74</v>
      </c>
      <c r="M749" t="s">
        <v>75</v>
      </c>
      <c r="N749" t="s">
        <v>10</v>
      </c>
      <c r="O749" t="s">
        <v>0</v>
      </c>
      <c r="P749" t="s">
        <v>11</v>
      </c>
      <c r="Q749" s="5">
        <v>33</v>
      </c>
      <c r="R749" s="4">
        <v>57200</v>
      </c>
      <c r="S749" s="5">
        <v>1</v>
      </c>
      <c r="T749" s="4">
        <v>1887600</v>
      </c>
      <c r="U749" s="5">
        <v>0</v>
      </c>
      <c r="V749" s="4">
        <v>0</v>
      </c>
      <c r="W749" s="5">
        <v>0</v>
      </c>
      <c r="X749" s="4">
        <v>0</v>
      </c>
      <c r="Y749" s="4">
        <f t="shared" si="22"/>
        <v>1887600</v>
      </c>
      <c r="Z749" s="6" t="s">
        <v>0</v>
      </c>
      <c r="AA749" t="s">
        <v>2</v>
      </c>
      <c r="AB749" t="s">
        <v>12</v>
      </c>
      <c r="AC749">
        <f>_xlfn.XLOOKUP(AB749,'[1]GST Codes'!$A:$A,'[1]GST Codes'!$C:$C,0,0)</f>
        <v>18</v>
      </c>
      <c r="AD749">
        <f t="shared" si="23"/>
        <v>2227368</v>
      </c>
      <c r="AE749" t="s">
        <v>13</v>
      </c>
      <c r="AF749" t="s">
        <v>0</v>
      </c>
      <c r="AG749" t="s">
        <v>14</v>
      </c>
      <c r="AH749" t="s">
        <v>15</v>
      </c>
      <c r="AI749" t="s">
        <v>96</v>
      </c>
      <c r="AJ749" t="s">
        <v>17</v>
      </c>
      <c r="AK749" t="s">
        <v>18</v>
      </c>
      <c r="AL749" t="s">
        <v>19</v>
      </c>
      <c r="AM749" t="s">
        <v>363</v>
      </c>
      <c r="AN749" t="s">
        <v>0</v>
      </c>
      <c r="AO749" t="s">
        <v>0</v>
      </c>
      <c r="AP749" t="s">
        <v>0</v>
      </c>
      <c r="AQ749" s="5">
        <v>33</v>
      </c>
      <c r="AR749" t="s">
        <v>11</v>
      </c>
      <c r="AS749" t="s">
        <v>0</v>
      </c>
      <c r="AT749" t="s">
        <v>17</v>
      </c>
      <c r="AU749" s="4">
        <v>0</v>
      </c>
      <c r="AV749" s="4">
        <v>0</v>
      </c>
      <c r="AW749" s="4">
        <v>0</v>
      </c>
      <c r="AX749" s="4">
        <v>0</v>
      </c>
      <c r="AY749" s="5">
        <v>0</v>
      </c>
      <c r="AZ749" s="5">
        <v>0</v>
      </c>
      <c r="BA749" s="5">
        <v>0</v>
      </c>
      <c r="BB749" s="2"/>
      <c r="BC749" t="s">
        <v>0</v>
      </c>
      <c r="BD749" s="5">
        <v>1</v>
      </c>
      <c r="BE749" t="s">
        <v>0</v>
      </c>
      <c r="BF749" t="s">
        <v>367</v>
      </c>
      <c r="BG749" t="s">
        <v>17</v>
      </c>
      <c r="BH749" t="s">
        <v>0</v>
      </c>
      <c r="BI749" t="s">
        <v>11</v>
      </c>
      <c r="BJ749" t="s">
        <v>0</v>
      </c>
      <c r="BK749" t="s">
        <v>0</v>
      </c>
      <c r="BL749" s="5">
        <v>0</v>
      </c>
      <c r="BM749" t="s">
        <v>0</v>
      </c>
      <c r="BN749" t="s">
        <v>0</v>
      </c>
      <c r="BO749" t="s">
        <v>0</v>
      </c>
      <c r="BP749" t="s">
        <v>17</v>
      </c>
      <c r="BQ749" t="s">
        <v>0</v>
      </c>
      <c r="BR749" t="s">
        <v>17</v>
      </c>
      <c r="BS749" t="s">
        <v>17</v>
      </c>
      <c r="BT749" t="s">
        <v>0</v>
      </c>
      <c r="BU749" t="s">
        <v>0</v>
      </c>
      <c r="BV749" t="s">
        <v>0</v>
      </c>
      <c r="BW749" t="s">
        <v>0</v>
      </c>
      <c r="BX749" t="s">
        <v>0</v>
      </c>
      <c r="BY749" t="s">
        <v>0</v>
      </c>
      <c r="BZ749" t="s">
        <v>0</v>
      </c>
      <c r="CA749" t="s">
        <v>0</v>
      </c>
      <c r="CB749" t="s">
        <v>0</v>
      </c>
    </row>
    <row r="750" spans="1:80" ht="13.95" customHeight="1" x14ac:dyDescent="0.25">
      <c r="A750" t="s">
        <v>383</v>
      </c>
      <c r="B750" s="2">
        <v>46153</v>
      </c>
      <c r="C750" s="2">
        <v>46153</v>
      </c>
      <c r="D750" s="2">
        <v>46184</v>
      </c>
      <c r="E750" t="s">
        <v>2</v>
      </c>
      <c r="F750" t="s">
        <v>3</v>
      </c>
      <c r="G750" t="s">
        <v>0</v>
      </c>
      <c r="H750" t="s">
        <v>4</v>
      </c>
      <c r="I750" t="s">
        <v>363</v>
      </c>
      <c r="J750" t="s">
        <v>6</v>
      </c>
      <c r="K750" t="s">
        <v>30</v>
      </c>
      <c r="L750" t="s">
        <v>74</v>
      </c>
      <c r="M750" t="s">
        <v>75</v>
      </c>
      <c r="N750" t="s">
        <v>10</v>
      </c>
      <c r="O750" t="s">
        <v>0</v>
      </c>
      <c r="P750" t="s">
        <v>11</v>
      </c>
      <c r="Q750" s="5">
        <v>33</v>
      </c>
      <c r="R750" s="4">
        <v>57200</v>
      </c>
      <c r="S750" s="5">
        <v>1</v>
      </c>
      <c r="T750" s="4">
        <v>1887600</v>
      </c>
      <c r="U750" s="5">
        <v>0</v>
      </c>
      <c r="V750" s="4">
        <v>0</v>
      </c>
      <c r="W750" s="5">
        <v>0</v>
      </c>
      <c r="X750" s="4">
        <v>0</v>
      </c>
      <c r="Y750" s="4">
        <f t="shared" si="22"/>
        <v>1887600</v>
      </c>
      <c r="Z750" s="6" t="s">
        <v>0</v>
      </c>
      <c r="AA750" t="s">
        <v>2</v>
      </c>
      <c r="AB750" t="s">
        <v>12</v>
      </c>
      <c r="AC750">
        <f>_xlfn.XLOOKUP(AB750,'[1]GST Codes'!$A:$A,'[1]GST Codes'!$C:$C,0,0)</f>
        <v>18</v>
      </c>
      <c r="AD750">
        <f t="shared" si="23"/>
        <v>2227368</v>
      </c>
      <c r="AE750" t="s">
        <v>13</v>
      </c>
      <c r="AF750" t="s">
        <v>0</v>
      </c>
      <c r="AG750" t="s">
        <v>14</v>
      </c>
      <c r="AH750" t="s">
        <v>15</v>
      </c>
      <c r="AI750" t="s">
        <v>96</v>
      </c>
      <c r="AJ750" t="s">
        <v>17</v>
      </c>
      <c r="AK750" t="s">
        <v>18</v>
      </c>
      <c r="AL750" t="s">
        <v>19</v>
      </c>
      <c r="AM750" t="s">
        <v>363</v>
      </c>
      <c r="AN750" t="s">
        <v>0</v>
      </c>
      <c r="AO750" t="s">
        <v>0</v>
      </c>
      <c r="AP750" t="s">
        <v>0</v>
      </c>
      <c r="AQ750" s="5">
        <v>33</v>
      </c>
      <c r="AR750" t="s">
        <v>11</v>
      </c>
      <c r="AS750" t="s">
        <v>0</v>
      </c>
      <c r="AT750" t="s">
        <v>17</v>
      </c>
      <c r="AU750" s="4">
        <v>0</v>
      </c>
      <c r="AV750" s="4">
        <v>0</v>
      </c>
      <c r="AW750" s="4">
        <v>0</v>
      </c>
      <c r="AX750" s="4">
        <v>0</v>
      </c>
      <c r="AY750" s="5">
        <v>0</v>
      </c>
      <c r="AZ750" s="5">
        <v>0</v>
      </c>
      <c r="BA750" s="5">
        <v>0</v>
      </c>
      <c r="BB750" s="2"/>
      <c r="BC750" t="s">
        <v>0</v>
      </c>
      <c r="BD750" s="5">
        <v>1</v>
      </c>
      <c r="BE750" t="s">
        <v>0</v>
      </c>
      <c r="BF750" t="s">
        <v>367</v>
      </c>
      <c r="BG750" t="s">
        <v>17</v>
      </c>
      <c r="BH750" t="s">
        <v>0</v>
      </c>
      <c r="BI750" t="s">
        <v>11</v>
      </c>
      <c r="BJ750" t="s">
        <v>0</v>
      </c>
      <c r="BK750" t="s">
        <v>0</v>
      </c>
      <c r="BL750" s="5">
        <v>0</v>
      </c>
      <c r="BM750" t="s">
        <v>0</v>
      </c>
      <c r="BN750" t="s">
        <v>0</v>
      </c>
      <c r="BO750" t="s">
        <v>0</v>
      </c>
      <c r="BP750" t="s">
        <v>17</v>
      </c>
      <c r="BQ750" t="s">
        <v>0</v>
      </c>
      <c r="BR750" t="s">
        <v>17</v>
      </c>
      <c r="BS750" t="s">
        <v>17</v>
      </c>
      <c r="BT750" t="s">
        <v>0</v>
      </c>
      <c r="BU750" t="s">
        <v>0</v>
      </c>
      <c r="BV750" t="s">
        <v>0</v>
      </c>
      <c r="BW750" t="s">
        <v>0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</row>
    <row r="751" spans="1:80" ht="13.95" customHeight="1" x14ac:dyDescent="0.25">
      <c r="A751" t="s">
        <v>383</v>
      </c>
      <c r="B751" s="2">
        <v>46153</v>
      </c>
      <c r="C751" s="2">
        <v>46153</v>
      </c>
      <c r="D751" s="2">
        <v>46184</v>
      </c>
      <c r="E751" t="s">
        <v>2</v>
      </c>
      <c r="F751" t="s">
        <v>3</v>
      </c>
      <c r="G751" t="s">
        <v>0</v>
      </c>
      <c r="H751" t="s">
        <v>4</v>
      </c>
      <c r="I751" t="s">
        <v>363</v>
      </c>
      <c r="J751" t="s">
        <v>6</v>
      </c>
      <c r="K751" t="s">
        <v>34</v>
      </c>
      <c r="L751" t="s">
        <v>74</v>
      </c>
      <c r="M751" t="s">
        <v>75</v>
      </c>
      <c r="N751" t="s">
        <v>10</v>
      </c>
      <c r="O751" t="s">
        <v>0</v>
      </c>
      <c r="P751" t="s">
        <v>11</v>
      </c>
      <c r="Q751" s="5">
        <v>33</v>
      </c>
      <c r="R751" s="4">
        <v>57200</v>
      </c>
      <c r="S751" s="5">
        <v>1</v>
      </c>
      <c r="T751" s="4">
        <v>1887600</v>
      </c>
      <c r="U751" s="5">
        <v>0</v>
      </c>
      <c r="V751" s="4">
        <v>0</v>
      </c>
      <c r="W751" s="5">
        <v>0</v>
      </c>
      <c r="X751" s="4">
        <v>0</v>
      </c>
      <c r="Y751" s="4">
        <f t="shared" si="22"/>
        <v>1887600</v>
      </c>
      <c r="Z751" s="6" t="s">
        <v>0</v>
      </c>
      <c r="AA751" t="s">
        <v>2</v>
      </c>
      <c r="AB751" t="s">
        <v>12</v>
      </c>
      <c r="AC751">
        <f>_xlfn.XLOOKUP(AB751,'[1]GST Codes'!$A:$A,'[1]GST Codes'!$C:$C,0,0)</f>
        <v>18</v>
      </c>
      <c r="AD751">
        <f t="shared" si="23"/>
        <v>2227368</v>
      </c>
      <c r="AE751" t="s">
        <v>13</v>
      </c>
      <c r="AF751" t="s">
        <v>0</v>
      </c>
      <c r="AG751" t="s">
        <v>14</v>
      </c>
      <c r="AH751" t="s">
        <v>15</v>
      </c>
      <c r="AI751" t="s">
        <v>96</v>
      </c>
      <c r="AJ751" t="s">
        <v>17</v>
      </c>
      <c r="AK751" t="s">
        <v>18</v>
      </c>
      <c r="AL751" t="s">
        <v>19</v>
      </c>
      <c r="AM751" t="s">
        <v>363</v>
      </c>
      <c r="AN751" t="s">
        <v>0</v>
      </c>
      <c r="AO751" t="s">
        <v>0</v>
      </c>
      <c r="AP751" t="s">
        <v>0</v>
      </c>
      <c r="AQ751" s="5">
        <v>33</v>
      </c>
      <c r="AR751" t="s">
        <v>11</v>
      </c>
      <c r="AS751" t="s">
        <v>0</v>
      </c>
      <c r="AT751" t="s">
        <v>17</v>
      </c>
      <c r="AU751" s="4">
        <v>0</v>
      </c>
      <c r="AV751" s="4">
        <v>0</v>
      </c>
      <c r="AW751" s="4">
        <v>0</v>
      </c>
      <c r="AX751" s="4">
        <v>0</v>
      </c>
      <c r="AY751" s="5">
        <v>0</v>
      </c>
      <c r="AZ751" s="5">
        <v>0</v>
      </c>
      <c r="BA751" s="5">
        <v>0</v>
      </c>
      <c r="BB751" s="2"/>
      <c r="BC751" t="s">
        <v>0</v>
      </c>
      <c r="BD751" s="5">
        <v>1</v>
      </c>
      <c r="BE751" t="s">
        <v>0</v>
      </c>
      <c r="BF751" t="s">
        <v>367</v>
      </c>
      <c r="BG751" t="s">
        <v>17</v>
      </c>
      <c r="BH751" t="s">
        <v>0</v>
      </c>
      <c r="BI751" t="s">
        <v>11</v>
      </c>
      <c r="BJ751" t="s">
        <v>0</v>
      </c>
      <c r="BK751" t="s">
        <v>0</v>
      </c>
      <c r="BL751" s="5">
        <v>0</v>
      </c>
      <c r="BM751" t="s">
        <v>0</v>
      </c>
      <c r="BN751" t="s">
        <v>0</v>
      </c>
      <c r="BO751" t="s">
        <v>0</v>
      </c>
      <c r="BP751" t="s">
        <v>17</v>
      </c>
      <c r="BQ751" t="s">
        <v>0</v>
      </c>
      <c r="BR751" t="s">
        <v>17</v>
      </c>
      <c r="BS751" t="s">
        <v>17</v>
      </c>
      <c r="BT751" t="s">
        <v>0</v>
      </c>
      <c r="BU751" t="s">
        <v>0</v>
      </c>
      <c r="BV751" t="s">
        <v>0</v>
      </c>
      <c r="BW751" t="s">
        <v>0</v>
      </c>
      <c r="BX751" t="s">
        <v>0</v>
      </c>
      <c r="BY751" t="s">
        <v>0</v>
      </c>
      <c r="BZ751" t="s">
        <v>0</v>
      </c>
      <c r="CA751" t="s">
        <v>0</v>
      </c>
      <c r="CB751" t="s">
        <v>0</v>
      </c>
    </row>
    <row r="752" spans="1:80" ht="13.95" customHeight="1" x14ac:dyDescent="0.25">
      <c r="A752" t="s">
        <v>383</v>
      </c>
      <c r="B752" s="2">
        <v>46153</v>
      </c>
      <c r="C752" s="2">
        <v>46153</v>
      </c>
      <c r="D752" s="2">
        <v>46184</v>
      </c>
      <c r="E752" t="s">
        <v>2</v>
      </c>
      <c r="F752" t="s">
        <v>3</v>
      </c>
      <c r="G752" t="s">
        <v>0</v>
      </c>
      <c r="H752" t="s">
        <v>4</v>
      </c>
      <c r="I752" t="s">
        <v>363</v>
      </c>
      <c r="J752" t="s">
        <v>6</v>
      </c>
      <c r="K752" t="s">
        <v>38</v>
      </c>
      <c r="L752" t="s">
        <v>74</v>
      </c>
      <c r="M752" t="s">
        <v>75</v>
      </c>
      <c r="N752" t="s">
        <v>10</v>
      </c>
      <c r="O752" t="s">
        <v>0</v>
      </c>
      <c r="P752" t="s">
        <v>11</v>
      </c>
      <c r="Q752" s="5">
        <v>33</v>
      </c>
      <c r="R752" s="4">
        <v>57200</v>
      </c>
      <c r="S752" s="5">
        <v>1</v>
      </c>
      <c r="T752" s="4">
        <v>1887600</v>
      </c>
      <c r="U752" s="3">
        <v>7.1120000000000001</v>
      </c>
      <c r="V752" s="4">
        <v>406806.4</v>
      </c>
      <c r="W752" s="3">
        <v>7.1120000000000001</v>
      </c>
      <c r="X752" s="4">
        <v>406806.4</v>
      </c>
      <c r="Y752" s="4">
        <f t="shared" si="22"/>
        <v>1480793.6</v>
      </c>
      <c r="Z752" s="6" t="s">
        <v>0</v>
      </c>
      <c r="AA752" t="s">
        <v>2</v>
      </c>
      <c r="AB752" t="s">
        <v>12</v>
      </c>
      <c r="AC752">
        <f>_xlfn.XLOOKUP(AB752,'[1]GST Codes'!$A:$A,'[1]GST Codes'!$C:$C,0,0)</f>
        <v>18</v>
      </c>
      <c r="AD752">
        <f t="shared" si="23"/>
        <v>1747336.4480000001</v>
      </c>
      <c r="AE752" t="s">
        <v>13</v>
      </c>
      <c r="AF752" t="s">
        <v>0</v>
      </c>
      <c r="AG752" t="s">
        <v>14</v>
      </c>
      <c r="AH752" t="s">
        <v>15</v>
      </c>
      <c r="AI752" t="s">
        <v>96</v>
      </c>
      <c r="AJ752" t="s">
        <v>17</v>
      </c>
      <c r="AK752" t="s">
        <v>18</v>
      </c>
      <c r="AL752" t="s">
        <v>19</v>
      </c>
      <c r="AM752" t="s">
        <v>363</v>
      </c>
      <c r="AN752" t="s">
        <v>0</v>
      </c>
      <c r="AO752" t="s">
        <v>0</v>
      </c>
      <c r="AP752" t="s">
        <v>0</v>
      </c>
      <c r="AQ752" s="5">
        <v>33</v>
      </c>
      <c r="AR752" t="s">
        <v>11</v>
      </c>
      <c r="AS752" t="s">
        <v>0</v>
      </c>
      <c r="AT752" t="s">
        <v>17</v>
      </c>
      <c r="AU752" s="4">
        <v>0</v>
      </c>
      <c r="AV752" s="4">
        <v>0</v>
      </c>
      <c r="AW752" s="4">
        <v>0</v>
      </c>
      <c r="AX752" s="4">
        <v>0</v>
      </c>
      <c r="AY752" s="5">
        <v>0</v>
      </c>
      <c r="AZ752" s="5">
        <v>0</v>
      </c>
      <c r="BA752" s="5">
        <v>0</v>
      </c>
      <c r="BB752" s="2"/>
      <c r="BC752" t="s">
        <v>0</v>
      </c>
      <c r="BD752" s="5">
        <v>1</v>
      </c>
      <c r="BE752" t="s">
        <v>0</v>
      </c>
      <c r="BF752" t="s">
        <v>367</v>
      </c>
      <c r="BG752" t="s">
        <v>17</v>
      </c>
      <c r="BH752" t="s">
        <v>0</v>
      </c>
      <c r="BI752" t="s">
        <v>11</v>
      </c>
      <c r="BJ752" t="s">
        <v>0</v>
      </c>
      <c r="BK752" t="s">
        <v>0</v>
      </c>
      <c r="BL752" s="5">
        <v>0</v>
      </c>
      <c r="BM752" t="s">
        <v>0</v>
      </c>
      <c r="BN752" t="s">
        <v>0</v>
      </c>
      <c r="BO752" t="s">
        <v>0</v>
      </c>
      <c r="BP752" t="s">
        <v>17</v>
      </c>
      <c r="BQ752" t="s">
        <v>0</v>
      </c>
      <c r="BR752" t="s">
        <v>17</v>
      </c>
      <c r="BS752" t="s">
        <v>17</v>
      </c>
      <c r="BT752" t="s">
        <v>0</v>
      </c>
      <c r="BU752" t="s">
        <v>0</v>
      </c>
      <c r="BV752" t="s">
        <v>0</v>
      </c>
      <c r="BW752" t="s">
        <v>0</v>
      </c>
      <c r="BX752" t="s">
        <v>0</v>
      </c>
      <c r="BY752" t="s">
        <v>0</v>
      </c>
      <c r="BZ752" t="s">
        <v>0</v>
      </c>
      <c r="CA752" t="s">
        <v>0</v>
      </c>
      <c r="CB752" t="s">
        <v>0</v>
      </c>
    </row>
    <row r="753" spans="1:80" ht="13.95" customHeight="1" x14ac:dyDescent="0.25">
      <c r="A753" t="s">
        <v>383</v>
      </c>
      <c r="B753" s="2">
        <v>46153</v>
      </c>
      <c r="C753" s="2">
        <v>46153</v>
      </c>
      <c r="D753" s="2">
        <v>46184</v>
      </c>
      <c r="E753" t="s">
        <v>2</v>
      </c>
      <c r="F753" t="s">
        <v>3</v>
      </c>
      <c r="G753" t="s">
        <v>0</v>
      </c>
      <c r="H753" t="s">
        <v>4</v>
      </c>
      <c r="I753" t="s">
        <v>363</v>
      </c>
      <c r="J753" t="s">
        <v>6</v>
      </c>
      <c r="K753" t="s">
        <v>42</v>
      </c>
      <c r="L753" t="s">
        <v>39</v>
      </c>
      <c r="M753" t="s">
        <v>40</v>
      </c>
      <c r="N753" t="s">
        <v>10</v>
      </c>
      <c r="O753" t="s">
        <v>0</v>
      </c>
      <c r="P753" t="s">
        <v>11</v>
      </c>
      <c r="Q753" s="5">
        <v>3</v>
      </c>
      <c r="R753" s="4">
        <v>57200</v>
      </c>
      <c r="S753" s="5">
        <v>1</v>
      </c>
      <c r="T753" s="4">
        <v>171600</v>
      </c>
      <c r="U753" s="3">
        <v>1.5</v>
      </c>
      <c r="V753" s="4">
        <v>85800</v>
      </c>
      <c r="W753" s="3">
        <v>1.5</v>
      </c>
      <c r="X753" s="4">
        <v>85800</v>
      </c>
      <c r="Y753" s="4">
        <f t="shared" si="22"/>
        <v>85800</v>
      </c>
      <c r="Z753" s="6" t="s">
        <v>0</v>
      </c>
      <c r="AA753" t="s">
        <v>2</v>
      </c>
      <c r="AB753" t="s">
        <v>12</v>
      </c>
      <c r="AC753">
        <f>_xlfn.XLOOKUP(AB753,'[1]GST Codes'!$A:$A,'[1]GST Codes'!$C:$C,0,0)</f>
        <v>18</v>
      </c>
      <c r="AD753">
        <f t="shared" si="23"/>
        <v>101244</v>
      </c>
      <c r="AE753" t="s">
        <v>13</v>
      </c>
      <c r="AF753" t="s">
        <v>0</v>
      </c>
      <c r="AG753" t="s">
        <v>14</v>
      </c>
      <c r="AH753" t="s">
        <v>15</v>
      </c>
      <c r="AI753" t="s">
        <v>96</v>
      </c>
      <c r="AJ753" t="s">
        <v>17</v>
      </c>
      <c r="AK753" t="s">
        <v>18</v>
      </c>
      <c r="AL753" t="s">
        <v>19</v>
      </c>
      <c r="AM753" t="s">
        <v>363</v>
      </c>
      <c r="AN753" t="s">
        <v>0</v>
      </c>
      <c r="AO753" t="s">
        <v>0</v>
      </c>
      <c r="AP753" t="s">
        <v>0</v>
      </c>
      <c r="AQ753" s="5">
        <v>3</v>
      </c>
      <c r="AR753" t="s">
        <v>11</v>
      </c>
      <c r="AS753" t="s">
        <v>0</v>
      </c>
      <c r="AT753" t="s">
        <v>17</v>
      </c>
      <c r="AU753" s="4">
        <v>0</v>
      </c>
      <c r="AV753" s="4">
        <v>0</v>
      </c>
      <c r="AW753" s="4">
        <v>0</v>
      </c>
      <c r="AX753" s="4">
        <v>0</v>
      </c>
      <c r="AY753" s="5">
        <v>0</v>
      </c>
      <c r="AZ753" s="5">
        <v>0</v>
      </c>
      <c r="BA753" s="5">
        <v>0</v>
      </c>
      <c r="BB753" s="2"/>
      <c r="BC753" t="s">
        <v>0</v>
      </c>
      <c r="BD753" s="5">
        <v>1</v>
      </c>
      <c r="BE753" t="s">
        <v>0</v>
      </c>
      <c r="BF753" t="s">
        <v>368</v>
      </c>
      <c r="BG753" t="s">
        <v>17</v>
      </c>
      <c r="BH753" t="s">
        <v>0</v>
      </c>
      <c r="BI753" t="s">
        <v>11</v>
      </c>
      <c r="BJ753" t="s">
        <v>0</v>
      </c>
      <c r="BK753" t="s">
        <v>0</v>
      </c>
      <c r="BL753" s="5">
        <v>0</v>
      </c>
      <c r="BM753" t="s">
        <v>0</v>
      </c>
      <c r="BN753" t="s">
        <v>0</v>
      </c>
      <c r="BO753" t="s">
        <v>0</v>
      </c>
      <c r="BP753" t="s">
        <v>17</v>
      </c>
      <c r="BQ753" t="s">
        <v>0</v>
      </c>
      <c r="BR753" t="s">
        <v>17</v>
      </c>
      <c r="BS753" t="s">
        <v>17</v>
      </c>
      <c r="BT753" t="s">
        <v>0</v>
      </c>
      <c r="BU753" t="s">
        <v>0</v>
      </c>
      <c r="BV753" t="s">
        <v>0</v>
      </c>
      <c r="BW753" t="s">
        <v>0</v>
      </c>
      <c r="BX753" t="s">
        <v>0</v>
      </c>
      <c r="BY753" t="s">
        <v>0</v>
      </c>
      <c r="BZ753" t="s">
        <v>0</v>
      </c>
      <c r="CA753" t="s">
        <v>0</v>
      </c>
      <c r="CB753" t="s">
        <v>0</v>
      </c>
    </row>
    <row r="754" spans="1:80" ht="13.95" customHeight="1" x14ac:dyDescent="0.25">
      <c r="A754" t="s">
        <v>383</v>
      </c>
      <c r="B754" s="2">
        <v>46153</v>
      </c>
      <c r="C754" s="2">
        <v>46153</v>
      </c>
      <c r="D754" s="2">
        <v>46184</v>
      </c>
      <c r="E754" t="s">
        <v>2</v>
      </c>
      <c r="F754" t="s">
        <v>3</v>
      </c>
      <c r="G754" t="s">
        <v>0</v>
      </c>
      <c r="H754" t="s">
        <v>4</v>
      </c>
      <c r="I754" t="s">
        <v>363</v>
      </c>
      <c r="J754" t="s">
        <v>6</v>
      </c>
      <c r="K754" t="s">
        <v>86</v>
      </c>
      <c r="L754" t="s">
        <v>39</v>
      </c>
      <c r="M754" t="s">
        <v>40</v>
      </c>
      <c r="N754" t="s">
        <v>10</v>
      </c>
      <c r="O754" t="s">
        <v>0</v>
      </c>
      <c r="P754" t="s">
        <v>11</v>
      </c>
      <c r="Q754" s="5">
        <v>3</v>
      </c>
      <c r="R754" s="4">
        <v>57200</v>
      </c>
      <c r="S754" s="5">
        <v>1</v>
      </c>
      <c r="T754" s="4">
        <v>171600</v>
      </c>
      <c r="U754" s="3">
        <v>1.5</v>
      </c>
      <c r="V754" s="4">
        <v>85800</v>
      </c>
      <c r="W754" s="3">
        <v>1.5</v>
      </c>
      <c r="X754" s="4">
        <v>85800</v>
      </c>
      <c r="Y754" s="4">
        <f t="shared" si="22"/>
        <v>85800</v>
      </c>
      <c r="Z754" s="6" t="s">
        <v>0</v>
      </c>
      <c r="AA754" t="s">
        <v>2</v>
      </c>
      <c r="AB754" t="s">
        <v>12</v>
      </c>
      <c r="AC754">
        <f>_xlfn.XLOOKUP(AB754,'[1]GST Codes'!$A:$A,'[1]GST Codes'!$C:$C,0,0)</f>
        <v>18</v>
      </c>
      <c r="AD754">
        <f t="shared" si="23"/>
        <v>101244</v>
      </c>
      <c r="AE754" t="s">
        <v>13</v>
      </c>
      <c r="AF754" t="s">
        <v>0</v>
      </c>
      <c r="AG754" t="s">
        <v>14</v>
      </c>
      <c r="AH754" t="s">
        <v>15</v>
      </c>
      <c r="AI754" t="s">
        <v>96</v>
      </c>
      <c r="AJ754" t="s">
        <v>17</v>
      </c>
      <c r="AK754" t="s">
        <v>18</v>
      </c>
      <c r="AL754" t="s">
        <v>19</v>
      </c>
      <c r="AM754" t="s">
        <v>363</v>
      </c>
      <c r="AN754" t="s">
        <v>0</v>
      </c>
      <c r="AO754" t="s">
        <v>0</v>
      </c>
      <c r="AP754" t="s">
        <v>0</v>
      </c>
      <c r="AQ754" s="5">
        <v>3</v>
      </c>
      <c r="AR754" t="s">
        <v>11</v>
      </c>
      <c r="AS754" t="s">
        <v>0</v>
      </c>
      <c r="AT754" t="s">
        <v>17</v>
      </c>
      <c r="AU754" s="4">
        <v>0</v>
      </c>
      <c r="AV754" s="4">
        <v>0</v>
      </c>
      <c r="AW754" s="4">
        <v>0</v>
      </c>
      <c r="AX754" s="4">
        <v>0</v>
      </c>
      <c r="AY754" s="5">
        <v>0</v>
      </c>
      <c r="AZ754" s="5">
        <v>0</v>
      </c>
      <c r="BA754" s="5">
        <v>0</v>
      </c>
      <c r="BB754" s="2"/>
      <c r="BC754" t="s">
        <v>0</v>
      </c>
      <c r="BD754" s="5">
        <v>1</v>
      </c>
      <c r="BE754" t="s">
        <v>0</v>
      </c>
      <c r="BF754" t="s">
        <v>368</v>
      </c>
      <c r="BG754" t="s">
        <v>17</v>
      </c>
      <c r="BH754" t="s">
        <v>0</v>
      </c>
      <c r="BI754" t="s">
        <v>11</v>
      </c>
      <c r="BJ754" t="s">
        <v>0</v>
      </c>
      <c r="BK754" t="s">
        <v>0</v>
      </c>
      <c r="BL754" s="5">
        <v>0</v>
      </c>
      <c r="BM754" t="s">
        <v>0</v>
      </c>
      <c r="BN754" t="s">
        <v>0</v>
      </c>
      <c r="BO754" t="s">
        <v>0</v>
      </c>
      <c r="BP754" t="s">
        <v>17</v>
      </c>
      <c r="BQ754" t="s">
        <v>0</v>
      </c>
      <c r="BR754" t="s">
        <v>17</v>
      </c>
      <c r="BS754" t="s">
        <v>17</v>
      </c>
      <c r="BT754" t="s">
        <v>0</v>
      </c>
      <c r="BU754" t="s">
        <v>0</v>
      </c>
      <c r="BV754" t="s">
        <v>0</v>
      </c>
      <c r="BW754" t="s">
        <v>0</v>
      </c>
      <c r="BX754" t="s">
        <v>0</v>
      </c>
      <c r="BY754" t="s">
        <v>0</v>
      </c>
      <c r="BZ754" t="s">
        <v>0</v>
      </c>
      <c r="CA754" t="s">
        <v>0</v>
      </c>
      <c r="CB754" t="s">
        <v>0</v>
      </c>
    </row>
    <row r="755" spans="1:80" ht="13.95" customHeight="1" x14ac:dyDescent="0.25">
      <c r="A755" t="s">
        <v>383</v>
      </c>
      <c r="B755" s="2">
        <v>46153</v>
      </c>
      <c r="C755" s="2">
        <v>46153</v>
      </c>
      <c r="D755" s="2">
        <v>46184</v>
      </c>
      <c r="E755" t="s">
        <v>2</v>
      </c>
      <c r="F755" t="s">
        <v>3</v>
      </c>
      <c r="G755" t="s">
        <v>0</v>
      </c>
      <c r="H755" t="s">
        <v>4</v>
      </c>
      <c r="I755" t="s">
        <v>363</v>
      </c>
      <c r="J755" t="s">
        <v>6</v>
      </c>
      <c r="K755" t="s">
        <v>87</v>
      </c>
      <c r="L755" t="s">
        <v>39</v>
      </c>
      <c r="M755" t="s">
        <v>40</v>
      </c>
      <c r="N755" t="s">
        <v>10</v>
      </c>
      <c r="O755" t="s">
        <v>0</v>
      </c>
      <c r="P755" t="s">
        <v>11</v>
      </c>
      <c r="Q755" s="5">
        <v>3</v>
      </c>
      <c r="R755" s="4">
        <v>57200</v>
      </c>
      <c r="S755" s="5">
        <v>1</v>
      </c>
      <c r="T755" s="4">
        <v>171600</v>
      </c>
      <c r="U755" s="3">
        <v>1.5</v>
      </c>
      <c r="V755" s="4">
        <v>85800</v>
      </c>
      <c r="W755" s="3">
        <v>1.5</v>
      </c>
      <c r="X755" s="4">
        <v>85800</v>
      </c>
      <c r="Y755" s="4">
        <f t="shared" si="22"/>
        <v>85800</v>
      </c>
      <c r="Z755" s="6" t="s">
        <v>0</v>
      </c>
      <c r="AA755" t="s">
        <v>2</v>
      </c>
      <c r="AB755" t="s">
        <v>12</v>
      </c>
      <c r="AC755">
        <f>_xlfn.XLOOKUP(AB755,'[1]GST Codes'!$A:$A,'[1]GST Codes'!$C:$C,0,0)</f>
        <v>18</v>
      </c>
      <c r="AD755">
        <f t="shared" si="23"/>
        <v>101244</v>
      </c>
      <c r="AE755" t="s">
        <v>13</v>
      </c>
      <c r="AF755" t="s">
        <v>0</v>
      </c>
      <c r="AG755" t="s">
        <v>14</v>
      </c>
      <c r="AH755" t="s">
        <v>15</v>
      </c>
      <c r="AI755" t="s">
        <v>96</v>
      </c>
      <c r="AJ755" t="s">
        <v>17</v>
      </c>
      <c r="AK755" t="s">
        <v>18</v>
      </c>
      <c r="AL755" t="s">
        <v>19</v>
      </c>
      <c r="AM755" t="s">
        <v>363</v>
      </c>
      <c r="AN755" t="s">
        <v>0</v>
      </c>
      <c r="AO755" t="s">
        <v>0</v>
      </c>
      <c r="AP755" t="s">
        <v>0</v>
      </c>
      <c r="AQ755" s="5">
        <v>3</v>
      </c>
      <c r="AR755" t="s">
        <v>11</v>
      </c>
      <c r="AS755" t="s">
        <v>0</v>
      </c>
      <c r="AT755" t="s">
        <v>17</v>
      </c>
      <c r="AU755" s="4">
        <v>0</v>
      </c>
      <c r="AV755" s="4">
        <v>0</v>
      </c>
      <c r="AW755" s="4">
        <v>0</v>
      </c>
      <c r="AX755" s="4">
        <v>0</v>
      </c>
      <c r="AY755" s="5">
        <v>0</v>
      </c>
      <c r="AZ755" s="5">
        <v>0</v>
      </c>
      <c r="BA755" s="5">
        <v>0</v>
      </c>
      <c r="BB755" s="2"/>
      <c r="BC755" t="s">
        <v>0</v>
      </c>
      <c r="BD755" s="5">
        <v>1</v>
      </c>
      <c r="BE755" t="s">
        <v>0</v>
      </c>
      <c r="BF755" t="s">
        <v>368</v>
      </c>
      <c r="BG755" t="s">
        <v>17</v>
      </c>
      <c r="BH755" t="s">
        <v>0</v>
      </c>
      <c r="BI755" t="s">
        <v>11</v>
      </c>
      <c r="BJ755" t="s">
        <v>0</v>
      </c>
      <c r="BK755" t="s">
        <v>0</v>
      </c>
      <c r="BL755" s="5">
        <v>0</v>
      </c>
      <c r="BM755" t="s">
        <v>0</v>
      </c>
      <c r="BN755" t="s">
        <v>0</v>
      </c>
      <c r="BO755" t="s">
        <v>0</v>
      </c>
      <c r="BP755" t="s">
        <v>17</v>
      </c>
      <c r="BQ755" t="s">
        <v>0</v>
      </c>
      <c r="BR755" t="s">
        <v>17</v>
      </c>
      <c r="BS755" t="s">
        <v>17</v>
      </c>
      <c r="BT755" t="s">
        <v>0</v>
      </c>
      <c r="BU755" t="s">
        <v>0</v>
      </c>
      <c r="BV755" t="s">
        <v>0</v>
      </c>
      <c r="BW755" t="s">
        <v>0</v>
      </c>
      <c r="BX755" t="s">
        <v>0</v>
      </c>
      <c r="BY755" t="s">
        <v>0</v>
      </c>
      <c r="BZ755" t="s">
        <v>0</v>
      </c>
      <c r="CA755" t="s">
        <v>0</v>
      </c>
      <c r="CB755" t="s">
        <v>0</v>
      </c>
    </row>
    <row r="756" spans="1:80" ht="13.95" customHeight="1" x14ac:dyDescent="0.25">
      <c r="A756" t="s">
        <v>383</v>
      </c>
      <c r="B756" s="2">
        <v>46153</v>
      </c>
      <c r="C756" s="2">
        <v>46153</v>
      </c>
      <c r="D756" s="2">
        <v>46184</v>
      </c>
      <c r="E756" t="s">
        <v>2</v>
      </c>
      <c r="F756" t="s">
        <v>3</v>
      </c>
      <c r="G756" t="s">
        <v>0</v>
      </c>
      <c r="H756" t="s">
        <v>4</v>
      </c>
      <c r="I756" t="s">
        <v>363</v>
      </c>
      <c r="J756" t="s">
        <v>6</v>
      </c>
      <c r="K756" t="s">
        <v>88</v>
      </c>
      <c r="L756" t="s">
        <v>39</v>
      </c>
      <c r="M756" t="s">
        <v>40</v>
      </c>
      <c r="N756" t="s">
        <v>10</v>
      </c>
      <c r="O756" t="s">
        <v>0</v>
      </c>
      <c r="P756" t="s">
        <v>11</v>
      </c>
      <c r="Q756" s="5">
        <v>3</v>
      </c>
      <c r="R756" s="4">
        <v>57200</v>
      </c>
      <c r="S756" s="5">
        <v>1</v>
      </c>
      <c r="T756" s="4">
        <v>171600</v>
      </c>
      <c r="U756" s="3">
        <v>1.5</v>
      </c>
      <c r="V756" s="4">
        <v>85800</v>
      </c>
      <c r="W756" s="3">
        <v>1.5</v>
      </c>
      <c r="X756" s="4">
        <v>85800</v>
      </c>
      <c r="Y756" s="4">
        <f t="shared" si="22"/>
        <v>85800</v>
      </c>
      <c r="Z756" s="6" t="s">
        <v>0</v>
      </c>
      <c r="AA756" t="s">
        <v>2</v>
      </c>
      <c r="AB756" t="s">
        <v>12</v>
      </c>
      <c r="AC756">
        <f>_xlfn.XLOOKUP(AB756,'[1]GST Codes'!$A:$A,'[1]GST Codes'!$C:$C,0,0)</f>
        <v>18</v>
      </c>
      <c r="AD756">
        <f t="shared" si="23"/>
        <v>101244</v>
      </c>
      <c r="AE756" t="s">
        <v>13</v>
      </c>
      <c r="AF756" t="s">
        <v>0</v>
      </c>
      <c r="AG756" t="s">
        <v>14</v>
      </c>
      <c r="AH756" t="s">
        <v>15</v>
      </c>
      <c r="AI756" t="s">
        <v>96</v>
      </c>
      <c r="AJ756" t="s">
        <v>17</v>
      </c>
      <c r="AK756" t="s">
        <v>18</v>
      </c>
      <c r="AL756" t="s">
        <v>19</v>
      </c>
      <c r="AM756" t="s">
        <v>363</v>
      </c>
      <c r="AN756" t="s">
        <v>0</v>
      </c>
      <c r="AO756" t="s">
        <v>0</v>
      </c>
      <c r="AP756" t="s">
        <v>0</v>
      </c>
      <c r="AQ756" s="5">
        <v>3</v>
      </c>
      <c r="AR756" t="s">
        <v>11</v>
      </c>
      <c r="AS756" t="s">
        <v>0</v>
      </c>
      <c r="AT756" t="s">
        <v>17</v>
      </c>
      <c r="AU756" s="4">
        <v>0</v>
      </c>
      <c r="AV756" s="4">
        <v>0</v>
      </c>
      <c r="AW756" s="4">
        <v>0</v>
      </c>
      <c r="AX756" s="4">
        <v>0</v>
      </c>
      <c r="AY756" s="5">
        <v>0</v>
      </c>
      <c r="AZ756" s="5">
        <v>0</v>
      </c>
      <c r="BA756" s="5">
        <v>0</v>
      </c>
      <c r="BB756" s="2"/>
      <c r="BC756" t="s">
        <v>0</v>
      </c>
      <c r="BD756" s="5">
        <v>1</v>
      </c>
      <c r="BE756" t="s">
        <v>0</v>
      </c>
      <c r="BF756" t="s">
        <v>368</v>
      </c>
      <c r="BG756" t="s">
        <v>17</v>
      </c>
      <c r="BH756" t="s">
        <v>0</v>
      </c>
      <c r="BI756" t="s">
        <v>11</v>
      </c>
      <c r="BJ756" t="s">
        <v>0</v>
      </c>
      <c r="BK756" t="s">
        <v>0</v>
      </c>
      <c r="BL756" s="5">
        <v>0</v>
      </c>
      <c r="BM756" t="s">
        <v>0</v>
      </c>
      <c r="BN756" t="s">
        <v>0</v>
      </c>
      <c r="BO756" t="s">
        <v>0</v>
      </c>
      <c r="BP756" t="s">
        <v>17</v>
      </c>
      <c r="BQ756" t="s">
        <v>0</v>
      </c>
      <c r="BR756" t="s">
        <v>17</v>
      </c>
      <c r="BS756" t="s">
        <v>17</v>
      </c>
      <c r="BT756" t="s">
        <v>0</v>
      </c>
      <c r="BU756" t="s">
        <v>0</v>
      </c>
      <c r="BV756" t="s">
        <v>0</v>
      </c>
      <c r="BW756" t="s">
        <v>0</v>
      </c>
      <c r="BX756" t="s">
        <v>0</v>
      </c>
      <c r="BY756" t="s">
        <v>0</v>
      </c>
      <c r="BZ756" t="s">
        <v>0</v>
      </c>
      <c r="CA756" t="s">
        <v>0</v>
      </c>
      <c r="CB756" t="s">
        <v>0</v>
      </c>
    </row>
    <row r="757" spans="1:80" ht="13.95" customHeight="1" x14ac:dyDescent="0.25">
      <c r="A757" t="s">
        <v>383</v>
      </c>
      <c r="B757" s="2">
        <v>46153</v>
      </c>
      <c r="C757" s="2">
        <v>46153</v>
      </c>
      <c r="D757" s="2">
        <v>46184</v>
      </c>
      <c r="E757" t="s">
        <v>2</v>
      </c>
      <c r="F757" t="s">
        <v>3</v>
      </c>
      <c r="G757" t="s">
        <v>0</v>
      </c>
      <c r="H757" t="s">
        <v>4</v>
      </c>
      <c r="I757" t="s">
        <v>363</v>
      </c>
      <c r="J757" t="s">
        <v>6</v>
      </c>
      <c r="K757" t="s">
        <v>89</v>
      </c>
      <c r="L757" t="s">
        <v>39</v>
      </c>
      <c r="M757" t="s">
        <v>40</v>
      </c>
      <c r="N757" t="s">
        <v>10</v>
      </c>
      <c r="O757" t="s">
        <v>0</v>
      </c>
      <c r="P757" t="s">
        <v>11</v>
      </c>
      <c r="Q757" s="5">
        <v>3</v>
      </c>
      <c r="R757" s="4">
        <v>57200</v>
      </c>
      <c r="S757" s="5">
        <v>1</v>
      </c>
      <c r="T757" s="4">
        <v>171600</v>
      </c>
      <c r="U757" s="3">
        <v>1.5</v>
      </c>
      <c r="V757" s="4">
        <v>85800</v>
      </c>
      <c r="W757" s="3">
        <v>1.5</v>
      </c>
      <c r="X757" s="4">
        <v>85800</v>
      </c>
      <c r="Y757" s="4">
        <f t="shared" si="22"/>
        <v>85800</v>
      </c>
      <c r="Z757" s="6" t="s">
        <v>0</v>
      </c>
      <c r="AA757" t="s">
        <v>2</v>
      </c>
      <c r="AB757" t="s">
        <v>12</v>
      </c>
      <c r="AC757">
        <f>_xlfn.XLOOKUP(AB757,'[1]GST Codes'!$A:$A,'[1]GST Codes'!$C:$C,0,0)</f>
        <v>18</v>
      </c>
      <c r="AD757">
        <f t="shared" si="23"/>
        <v>101244</v>
      </c>
      <c r="AE757" t="s">
        <v>13</v>
      </c>
      <c r="AF757" t="s">
        <v>0</v>
      </c>
      <c r="AG757" t="s">
        <v>14</v>
      </c>
      <c r="AH757" t="s">
        <v>15</v>
      </c>
      <c r="AI757" t="s">
        <v>96</v>
      </c>
      <c r="AJ757" t="s">
        <v>17</v>
      </c>
      <c r="AK757" t="s">
        <v>18</v>
      </c>
      <c r="AL757" t="s">
        <v>19</v>
      </c>
      <c r="AM757" t="s">
        <v>363</v>
      </c>
      <c r="AN757" t="s">
        <v>0</v>
      </c>
      <c r="AO757" t="s">
        <v>0</v>
      </c>
      <c r="AP757" t="s">
        <v>0</v>
      </c>
      <c r="AQ757" s="5">
        <v>3</v>
      </c>
      <c r="AR757" t="s">
        <v>11</v>
      </c>
      <c r="AS757" t="s">
        <v>0</v>
      </c>
      <c r="AT757" t="s">
        <v>17</v>
      </c>
      <c r="AU757" s="4">
        <v>0</v>
      </c>
      <c r="AV757" s="4">
        <v>0</v>
      </c>
      <c r="AW757" s="4">
        <v>0</v>
      </c>
      <c r="AX757" s="4">
        <v>0</v>
      </c>
      <c r="AY757" s="5">
        <v>0</v>
      </c>
      <c r="AZ757" s="5">
        <v>0</v>
      </c>
      <c r="BA757" s="5">
        <v>0</v>
      </c>
      <c r="BB757" s="2"/>
      <c r="BC757" t="s">
        <v>0</v>
      </c>
      <c r="BD757" s="5">
        <v>1</v>
      </c>
      <c r="BE757" t="s">
        <v>0</v>
      </c>
      <c r="BF757" t="s">
        <v>368</v>
      </c>
      <c r="BG757" t="s">
        <v>17</v>
      </c>
      <c r="BH757" t="s">
        <v>0</v>
      </c>
      <c r="BI757" t="s">
        <v>11</v>
      </c>
      <c r="BJ757" t="s">
        <v>0</v>
      </c>
      <c r="BK757" t="s">
        <v>0</v>
      </c>
      <c r="BL757" s="5">
        <v>0</v>
      </c>
      <c r="BM757" t="s">
        <v>0</v>
      </c>
      <c r="BN757" t="s">
        <v>0</v>
      </c>
      <c r="BO757" t="s">
        <v>0</v>
      </c>
      <c r="BP757" t="s">
        <v>17</v>
      </c>
      <c r="BQ757" t="s">
        <v>0</v>
      </c>
      <c r="BR757" t="s">
        <v>17</v>
      </c>
      <c r="BS757" t="s">
        <v>17</v>
      </c>
      <c r="BT757" t="s">
        <v>0</v>
      </c>
      <c r="BU757" t="s">
        <v>0</v>
      </c>
      <c r="BV757" t="s">
        <v>0</v>
      </c>
      <c r="BW757" t="s">
        <v>0</v>
      </c>
      <c r="BX757" t="s">
        <v>0</v>
      </c>
      <c r="BY757" t="s">
        <v>0</v>
      </c>
      <c r="BZ757" t="s">
        <v>0</v>
      </c>
      <c r="CA757" t="s">
        <v>0</v>
      </c>
      <c r="CB757" t="s">
        <v>0</v>
      </c>
    </row>
    <row r="758" spans="1:80" ht="13.95" customHeight="1" x14ac:dyDescent="0.25">
      <c r="A758" t="s">
        <v>383</v>
      </c>
      <c r="B758" s="2">
        <v>46153</v>
      </c>
      <c r="C758" s="2">
        <v>46153</v>
      </c>
      <c r="D758" s="2">
        <v>46184</v>
      </c>
      <c r="E758" t="s">
        <v>2</v>
      </c>
      <c r="F758" t="s">
        <v>3</v>
      </c>
      <c r="G758" t="s">
        <v>0</v>
      </c>
      <c r="H758" t="s">
        <v>4</v>
      </c>
      <c r="I758" t="s">
        <v>363</v>
      </c>
      <c r="J758" t="s">
        <v>6</v>
      </c>
      <c r="K758" t="s">
        <v>90</v>
      </c>
      <c r="L758" t="s">
        <v>39</v>
      </c>
      <c r="M758" t="s">
        <v>40</v>
      </c>
      <c r="N758" t="s">
        <v>10</v>
      </c>
      <c r="O758" t="s">
        <v>0</v>
      </c>
      <c r="P758" t="s">
        <v>11</v>
      </c>
      <c r="Q758" s="5">
        <v>3</v>
      </c>
      <c r="R758" s="4">
        <v>57200</v>
      </c>
      <c r="S758" s="5">
        <v>1</v>
      </c>
      <c r="T758" s="4">
        <v>171600</v>
      </c>
      <c r="U758" s="3">
        <v>0.746</v>
      </c>
      <c r="V758" s="4">
        <v>42671.199999999997</v>
      </c>
      <c r="W758" s="3">
        <v>0.746</v>
      </c>
      <c r="X758" s="4">
        <v>42671.199999999997</v>
      </c>
      <c r="Y758" s="4">
        <f t="shared" si="22"/>
        <v>128928.8</v>
      </c>
      <c r="Z758" s="6" t="s">
        <v>0</v>
      </c>
      <c r="AA758" t="s">
        <v>2</v>
      </c>
      <c r="AB758" t="s">
        <v>12</v>
      </c>
      <c r="AC758">
        <f>_xlfn.XLOOKUP(AB758,'[1]GST Codes'!$A:$A,'[1]GST Codes'!$C:$C,0,0)</f>
        <v>18</v>
      </c>
      <c r="AD758">
        <f t="shared" si="23"/>
        <v>152135.984</v>
      </c>
      <c r="AE758" t="s">
        <v>13</v>
      </c>
      <c r="AF758" t="s">
        <v>0</v>
      </c>
      <c r="AG758" t="s">
        <v>14</v>
      </c>
      <c r="AH758" t="s">
        <v>15</v>
      </c>
      <c r="AI758" t="s">
        <v>96</v>
      </c>
      <c r="AJ758" t="s">
        <v>17</v>
      </c>
      <c r="AK758" t="s">
        <v>18</v>
      </c>
      <c r="AL758" t="s">
        <v>19</v>
      </c>
      <c r="AM758" t="s">
        <v>363</v>
      </c>
      <c r="AN758" t="s">
        <v>0</v>
      </c>
      <c r="AO758" t="s">
        <v>0</v>
      </c>
      <c r="AP758" t="s">
        <v>0</v>
      </c>
      <c r="AQ758" s="5">
        <v>3</v>
      </c>
      <c r="AR758" t="s">
        <v>11</v>
      </c>
      <c r="AS758" t="s">
        <v>0</v>
      </c>
      <c r="AT758" t="s">
        <v>17</v>
      </c>
      <c r="AU758" s="4">
        <v>0</v>
      </c>
      <c r="AV758" s="4">
        <v>0</v>
      </c>
      <c r="AW758" s="4">
        <v>0</v>
      </c>
      <c r="AX758" s="4">
        <v>0</v>
      </c>
      <c r="AY758" s="5">
        <v>0</v>
      </c>
      <c r="AZ758" s="5">
        <v>0</v>
      </c>
      <c r="BA758" s="5">
        <v>0</v>
      </c>
      <c r="BB758" s="2"/>
      <c r="BC758" t="s">
        <v>0</v>
      </c>
      <c r="BD758" s="5">
        <v>1</v>
      </c>
      <c r="BE758" t="s">
        <v>0</v>
      </c>
      <c r="BF758" t="s">
        <v>368</v>
      </c>
      <c r="BG758" t="s">
        <v>17</v>
      </c>
      <c r="BH758" t="s">
        <v>0</v>
      </c>
      <c r="BI758" t="s">
        <v>11</v>
      </c>
      <c r="BJ758" t="s">
        <v>0</v>
      </c>
      <c r="BK758" t="s">
        <v>0</v>
      </c>
      <c r="BL758" s="5">
        <v>0</v>
      </c>
      <c r="BM758" t="s">
        <v>0</v>
      </c>
      <c r="BN758" t="s">
        <v>0</v>
      </c>
      <c r="BO758" t="s">
        <v>0</v>
      </c>
      <c r="BP758" t="s">
        <v>17</v>
      </c>
      <c r="BQ758" t="s">
        <v>0</v>
      </c>
      <c r="BR758" t="s">
        <v>17</v>
      </c>
      <c r="BS758" t="s">
        <v>17</v>
      </c>
      <c r="BT758" t="s">
        <v>0</v>
      </c>
      <c r="BU758" t="s">
        <v>0</v>
      </c>
      <c r="BV758" t="s">
        <v>0</v>
      </c>
      <c r="BW758" t="s">
        <v>0</v>
      </c>
      <c r="BX758" t="s">
        <v>0</v>
      </c>
      <c r="BY758" t="s">
        <v>0</v>
      </c>
      <c r="BZ758" t="s">
        <v>0</v>
      </c>
      <c r="CA758" t="s">
        <v>0</v>
      </c>
      <c r="CB758" t="s">
        <v>0</v>
      </c>
    </row>
    <row r="759" spans="1:80" ht="13.95" customHeight="1" x14ac:dyDescent="0.25">
      <c r="A759" t="s">
        <v>383</v>
      </c>
      <c r="B759" s="2">
        <v>46153</v>
      </c>
      <c r="C759" s="2">
        <v>46153</v>
      </c>
      <c r="D759" s="2">
        <v>46184</v>
      </c>
      <c r="E759" t="s">
        <v>2</v>
      </c>
      <c r="F759" t="s">
        <v>3</v>
      </c>
      <c r="G759" t="s">
        <v>0</v>
      </c>
      <c r="H759" t="s">
        <v>4</v>
      </c>
      <c r="I759" t="s">
        <v>363</v>
      </c>
      <c r="J759" t="s">
        <v>6</v>
      </c>
      <c r="K759" t="s">
        <v>177</v>
      </c>
      <c r="L759" t="s">
        <v>43</v>
      </c>
      <c r="M759" t="s">
        <v>44</v>
      </c>
      <c r="N759" t="s">
        <v>10</v>
      </c>
      <c r="O759" t="s">
        <v>0</v>
      </c>
      <c r="P759" t="s">
        <v>11</v>
      </c>
      <c r="Q759" s="5">
        <v>29</v>
      </c>
      <c r="R759" s="4">
        <v>57200</v>
      </c>
      <c r="S759" s="5">
        <v>1</v>
      </c>
      <c r="T759" s="4">
        <v>1658800</v>
      </c>
      <c r="U759" s="5">
        <v>0</v>
      </c>
      <c r="V759" s="4">
        <v>0</v>
      </c>
      <c r="W759" s="5">
        <v>0</v>
      </c>
      <c r="X759" s="4">
        <v>0</v>
      </c>
      <c r="Y759" s="4">
        <f t="shared" si="22"/>
        <v>1658800</v>
      </c>
      <c r="Z759" s="6" t="s">
        <v>0</v>
      </c>
      <c r="AA759" t="s">
        <v>2</v>
      </c>
      <c r="AB759" t="s">
        <v>12</v>
      </c>
      <c r="AC759">
        <f>_xlfn.XLOOKUP(AB759,'[1]GST Codes'!$A:$A,'[1]GST Codes'!$C:$C,0,0)</f>
        <v>18</v>
      </c>
      <c r="AD759">
        <f t="shared" si="23"/>
        <v>1957384</v>
      </c>
      <c r="AE759" t="s">
        <v>13</v>
      </c>
      <c r="AF759" t="s">
        <v>0</v>
      </c>
      <c r="AG759" t="s">
        <v>14</v>
      </c>
      <c r="AH759" t="s">
        <v>15</v>
      </c>
      <c r="AI759" t="s">
        <v>96</v>
      </c>
      <c r="AJ759" t="s">
        <v>17</v>
      </c>
      <c r="AK759" t="s">
        <v>18</v>
      </c>
      <c r="AL759" t="s">
        <v>19</v>
      </c>
      <c r="AM759" t="s">
        <v>363</v>
      </c>
      <c r="AN759" t="s">
        <v>0</v>
      </c>
      <c r="AO759" t="s">
        <v>0</v>
      </c>
      <c r="AP759" t="s">
        <v>0</v>
      </c>
      <c r="AQ759" s="5">
        <v>29</v>
      </c>
      <c r="AR759" t="s">
        <v>11</v>
      </c>
      <c r="AS759" t="s">
        <v>0</v>
      </c>
      <c r="AT759" t="s">
        <v>17</v>
      </c>
      <c r="AU759" s="4">
        <v>0</v>
      </c>
      <c r="AV759" s="4">
        <v>0</v>
      </c>
      <c r="AW759" s="4">
        <v>0</v>
      </c>
      <c r="AX759" s="4">
        <v>0</v>
      </c>
      <c r="AY759" s="5">
        <v>0</v>
      </c>
      <c r="AZ759" s="5">
        <v>0</v>
      </c>
      <c r="BA759" s="5">
        <v>0</v>
      </c>
      <c r="BB759" s="2"/>
      <c r="BC759" t="s">
        <v>0</v>
      </c>
      <c r="BD759" s="5">
        <v>1</v>
      </c>
      <c r="BE759" t="s">
        <v>0</v>
      </c>
      <c r="BF759" t="s">
        <v>364</v>
      </c>
      <c r="BG759" t="s">
        <v>17</v>
      </c>
      <c r="BH759" t="s">
        <v>0</v>
      </c>
      <c r="BI759" t="s">
        <v>11</v>
      </c>
      <c r="BJ759" t="s">
        <v>0</v>
      </c>
      <c r="BK759" t="s">
        <v>0</v>
      </c>
      <c r="BL759" s="5">
        <v>0</v>
      </c>
      <c r="BM759" t="s">
        <v>0</v>
      </c>
      <c r="BN759" t="s">
        <v>0</v>
      </c>
      <c r="BO759" t="s">
        <v>0</v>
      </c>
      <c r="BP759" t="s">
        <v>17</v>
      </c>
      <c r="BQ759" t="s">
        <v>0</v>
      </c>
      <c r="BR759" t="s">
        <v>17</v>
      </c>
      <c r="BS759" t="s">
        <v>17</v>
      </c>
      <c r="BT759" t="s">
        <v>0</v>
      </c>
      <c r="BU759" t="s">
        <v>0</v>
      </c>
      <c r="BV759" t="s">
        <v>0</v>
      </c>
      <c r="BW759" t="s">
        <v>0</v>
      </c>
      <c r="BX759" t="s">
        <v>0</v>
      </c>
      <c r="BY759" t="s">
        <v>0</v>
      </c>
      <c r="BZ759" t="s">
        <v>0</v>
      </c>
      <c r="CA759" t="s">
        <v>0</v>
      </c>
      <c r="CB759" t="s">
        <v>0</v>
      </c>
    </row>
    <row r="760" spans="1:80" ht="13.95" customHeight="1" x14ac:dyDescent="0.25">
      <c r="A760" t="s">
        <v>383</v>
      </c>
      <c r="B760" s="2">
        <v>46153</v>
      </c>
      <c r="C760" s="2">
        <v>46153</v>
      </c>
      <c r="D760" s="2">
        <v>46184</v>
      </c>
      <c r="E760" t="s">
        <v>2</v>
      </c>
      <c r="F760" t="s">
        <v>3</v>
      </c>
      <c r="G760" t="s">
        <v>0</v>
      </c>
      <c r="H760" t="s">
        <v>4</v>
      </c>
      <c r="I760" t="s">
        <v>363</v>
      </c>
      <c r="J760" t="s">
        <v>6</v>
      </c>
      <c r="K760" t="s">
        <v>181</v>
      </c>
      <c r="L760" t="s">
        <v>43</v>
      </c>
      <c r="M760" t="s">
        <v>44</v>
      </c>
      <c r="N760" t="s">
        <v>10</v>
      </c>
      <c r="O760" t="s">
        <v>0</v>
      </c>
      <c r="P760" t="s">
        <v>11</v>
      </c>
      <c r="Q760" s="5">
        <v>29</v>
      </c>
      <c r="R760" s="4">
        <v>57200</v>
      </c>
      <c r="S760" s="5">
        <v>1</v>
      </c>
      <c r="T760" s="4">
        <v>1658800</v>
      </c>
      <c r="U760" s="5">
        <v>0</v>
      </c>
      <c r="V760" s="4">
        <v>0</v>
      </c>
      <c r="W760" s="5">
        <v>0</v>
      </c>
      <c r="X760" s="4">
        <v>0</v>
      </c>
      <c r="Y760" s="4">
        <f t="shared" si="22"/>
        <v>1658800</v>
      </c>
      <c r="Z760" s="6" t="s">
        <v>0</v>
      </c>
      <c r="AA760" t="s">
        <v>2</v>
      </c>
      <c r="AB760" t="s">
        <v>12</v>
      </c>
      <c r="AC760">
        <f>_xlfn.XLOOKUP(AB760,'[1]GST Codes'!$A:$A,'[1]GST Codes'!$C:$C,0,0)</f>
        <v>18</v>
      </c>
      <c r="AD760">
        <f t="shared" si="23"/>
        <v>1957384</v>
      </c>
      <c r="AE760" t="s">
        <v>13</v>
      </c>
      <c r="AF760" t="s">
        <v>0</v>
      </c>
      <c r="AG760" t="s">
        <v>14</v>
      </c>
      <c r="AH760" t="s">
        <v>15</v>
      </c>
      <c r="AI760" t="s">
        <v>96</v>
      </c>
      <c r="AJ760" t="s">
        <v>17</v>
      </c>
      <c r="AK760" t="s">
        <v>18</v>
      </c>
      <c r="AL760" t="s">
        <v>19</v>
      </c>
      <c r="AM760" t="s">
        <v>363</v>
      </c>
      <c r="AN760" t="s">
        <v>0</v>
      </c>
      <c r="AO760" t="s">
        <v>0</v>
      </c>
      <c r="AP760" t="s">
        <v>0</v>
      </c>
      <c r="AQ760" s="5">
        <v>29</v>
      </c>
      <c r="AR760" t="s">
        <v>11</v>
      </c>
      <c r="AS760" t="s">
        <v>0</v>
      </c>
      <c r="AT760" t="s">
        <v>17</v>
      </c>
      <c r="AU760" s="4">
        <v>0</v>
      </c>
      <c r="AV760" s="4">
        <v>0</v>
      </c>
      <c r="AW760" s="4">
        <v>0</v>
      </c>
      <c r="AX760" s="4">
        <v>0</v>
      </c>
      <c r="AY760" s="5">
        <v>0</v>
      </c>
      <c r="AZ760" s="5">
        <v>0</v>
      </c>
      <c r="BA760" s="5">
        <v>0</v>
      </c>
      <c r="BB760" s="2"/>
      <c r="BC760" t="s">
        <v>0</v>
      </c>
      <c r="BD760" s="5">
        <v>1</v>
      </c>
      <c r="BE760" t="s">
        <v>0</v>
      </c>
      <c r="BF760" t="s">
        <v>364</v>
      </c>
      <c r="BG760" t="s">
        <v>17</v>
      </c>
      <c r="BH760" t="s">
        <v>0</v>
      </c>
      <c r="BI760" t="s">
        <v>11</v>
      </c>
      <c r="BJ760" t="s">
        <v>0</v>
      </c>
      <c r="BK760" t="s">
        <v>0</v>
      </c>
      <c r="BL760" s="5">
        <v>0</v>
      </c>
      <c r="BM760" t="s">
        <v>0</v>
      </c>
      <c r="BN760" t="s">
        <v>0</v>
      </c>
      <c r="BO760" t="s">
        <v>0</v>
      </c>
      <c r="BP760" t="s">
        <v>17</v>
      </c>
      <c r="BQ760" t="s">
        <v>0</v>
      </c>
      <c r="BR760" t="s">
        <v>17</v>
      </c>
      <c r="BS760" t="s">
        <v>17</v>
      </c>
      <c r="BT760" t="s">
        <v>0</v>
      </c>
      <c r="BU760" t="s">
        <v>0</v>
      </c>
      <c r="BV760" t="s">
        <v>0</v>
      </c>
      <c r="BW760" t="s">
        <v>0</v>
      </c>
      <c r="BX760" t="s">
        <v>0</v>
      </c>
      <c r="BY760" t="s">
        <v>0</v>
      </c>
      <c r="BZ760" t="s">
        <v>0</v>
      </c>
      <c r="CA760" t="s">
        <v>0</v>
      </c>
      <c r="CB760" t="s">
        <v>0</v>
      </c>
    </row>
    <row r="761" spans="1:80" ht="13.95" customHeight="1" x14ac:dyDescent="0.25">
      <c r="A761" t="s">
        <v>383</v>
      </c>
      <c r="B761" s="2">
        <v>46153</v>
      </c>
      <c r="C761" s="2">
        <v>46153</v>
      </c>
      <c r="D761" s="2">
        <v>46184</v>
      </c>
      <c r="E761" t="s">
        <v>2</v>
      </c>
      <c r="F761" t="s">
        <v>3</v>
      </c>
      <c r="G761" t="s">
        <v>0</v>
      </c>
      <c r="H761" t="s">
        <v>4</v>
      </c>
      <c r="I761" t="s">
        <v>363</v>
      </c>
      <c r="J761" t="s">
        <v>6</v>
      </c>
      <c r="K761" t="s">
        <v>185</v>
      </c>
      <c r="L761" t="s">
        <v>43</v>
      </c>
      <c r="M761" t="s">
        <v>44</v>
      </c>
      <c r="N761" t="s">
        <v>10</v>
      </c>
      <c r="O761" t="s">
        <v>0</v>
      </c>
      <c r="P761" t="s">
        <v>11</v>
      </c>
      <c r="Q761" s="5">
        <v>29</v>
      </c>
      <c r="R761" s="4">
        <v>57200</v>
      </c>
      <c r="S761" s="5">
        <v>1</v>
      </c>
      <c r="T761" s="4">
        <v>1658800</v>
      </c>
      <c r="U761" s="5">
        <v>0</v>
      </c>
      <c r="V761" s="4">
        <v>0</v>
      </c>
      <c r="W761" s="5">
        <v>0</v>
      </c>
      <c r="X761" s="4">
        <v>0</v>
      </c>
      <c r="Y761" s="4">
        <f t="shared" si="22"/>
        <v>1658800</v>
      </c>
      <c r="Z761" s="6" t="s">
        <v>0</v>
      </c>
      <c r="AA761" t="s">
        <v>2</v>
      </c>
      <c r="AB761" t="s">
        <v>12</v>
      </c>
      <c r="AC761">
        <f>_xlfn.XLOOKUP(AB761,'[1]GST Codes'!$A:$A,'[1]GST Codes'!$C:$C,0,0)</f>
        <v>18</v>
      </c>
      <c r="AD761">
        <f t="shared" si="23"/>
        <v>1957384</v>
      </c>
      <c r="AE761" t="s">
        <v>13</v>
      </c>
      <c r="AF761" t="s">
        <v>0</v>
      </c>
      <c r="AG761" t="s">
        <v>14</v>
      </c>
      <c r="AH761" t="s">
        <v>15</v>
      </c>
      <c r="AI761" t="s">
        <v>96</v>
      </c>
      <c r="AJ761" t="s">
        <v>17</v>
      </c>
      <c r="AK761" t="s">
        <v>18</v>
      </c>
      <c r="AL761" t="s">
        <v>19</v>
      </c>
      <c r="AM761" t="s">
        <v>363</v>
      </c>
      <c r="AN761" t="s">
        <v>0</v>
      </c>
      <c r="AO761" t="s">
        <v>0</v>
      </c>
      <c r="AP761" t="s">
        <v>0</v>
      </c>
      <c r="AQ761" s="5">
        <v>29</v>
      </c>
      <c r="AR761" t="s">
        <v>11</v>
      </c>
      <c r="AS761" t="s">
        <v>0</v>
      </c>
      <c r="AT761" t="s">
        <v>17</v>
      </c>
      <c r="AU761" s="4">
        <v>0</v>
      </c>
      <c r="AV761" s="4">
        <v>0</v>
      </c>
      <c r="AW761" s="4">
        <v>0</v>
      </c>
      <c r="AX761" s="4">
        <v>0</v>
      </c>
      <c r="AY761" s="5">
        <v>0</v>
      </c>
      <c r="AZ761" s="5">
        <v>0</v>
      </c>
      <c r="BA761" s="5">
        <v>0</v>
      </c>
      <c r="BB761" s="2"/>
      <c r="BC761" t="s">
        <v>0</v>
      </c>
      <c r="BD761" s="5">
        <v>1</v>
      </c>
      <c r="BE761" t="s">
        <v>0</v>
      </c>
      <c r="BF761" t="s">
        <v>364</v>
      </c>
      <c r="BG761" t="s">
        <v>17</v>
      </c>
      <c r="BH761" t="s">
        <v>0</v>
      </c>
      <c r="BI761" t="s">
        <v>11</v>
      </c>
      <c r="BJ761" t="s">
        <v>0</v>
      </c>
      <c r="BK761" t="s">
        <v>0</v>
      </c>
      <c r="BL761" s="5">
        <v>0</v>
      </c>
      <c r="BM761" t="s">
        <v>0</v>
      </c>
      <c r="BN761" t="s">
        <v>0</v>
      </c>
      <c r="BO761" t="s">
        <v>0</v>
      </c>
      <c r="BP761" t="s">
        <v>17</v>
      </c>
      <c r="BQ761" t="s">
        <v>0</v>
      </c>
      <c r="BR761" t="s">
        <v>17</v>
      </c>
      <c r="BS761" t="s">
        <v>17</v>
      </c>
      <c r="BT761" t="s">
        <v>0</v>
      </c>
      <c r="BU761" t="s">
        <v>0</v>
      </c>
      <c r="BV761" t="s">
        <v>0</v>
      </c>
      <c r="BW761" t="s">
        <v>0</v>
      </c>
      <c r="BX761" t="s">
        <v>0</v>
      </c>
      <c r="BY761" t="s">
        <v>0</v>
      </c>
      <c r="BZ761" t="s">
        <v>0</v>
      </c>
      <c r="CA761" t="s">
        <v>0</v>
      </c>
      <c r="CB761" t="s">
        <v>0</v>
      </c>
    </row>
    <row r="762" spans="1:80" ht="13.95" customHeight="1" x14ac:dyDescent="0.25">
      <c r="A762" t="s">
        <v>383</v>
      </c>
      <c r="B762" s="2">
        <v>46153</v>
      </c>
      <c r="C762" s="2">
        <v>46153</v>
      </c>
      <c r="D762" s="2">
        <v>46184</v>
      </c>
      <c r="E762" t="s">
        <v>2</v>
      </c>
      <c r="F762" t="s">
        <v>3</v>
      </c>
      <c r="G762" t="s">
        <v>0</v>
      </c>
      <c r="H762" t="s">
        <v>4</v>
      </c>
      <c r="I762" t="s">
        <v>363</v>
      </c>
      <c r="J762" t="s">
        <v>6</v>
      </c>
      <c r="K762" t="s">
        <v>189</v>
      </c>
      <c r="L762" t="s">
        <v>43</v>
      </c>
      <c r="M762" t="s">
        <v>44</v>
      </c>
      <c r="N762" t="s">
        <v>10</v>
      </c>
      <c r="O762" t="s">
        <v>0</v>
      </c>
      <c r="P762" t="s">
        <v>11</v>
      </c>
      <c r="Q762" s="5">
        <v>29</v>
      </c>
      <c r="R762" s="4">
        <v>57200</v>
      </c>
      <c r="S762" s="5">
        <v>1</v>
      </c>
      <c r="T762" s="4">
        <v>1658800</v>
      </c>
      <c r="U762" s="5">
        <v>0</v>
      </c>
      <c r="V762" s="4">
        <v>0</v>
      </c>
      <c r="W762" s="5">
        <v>0</v>
      </c>
      <c r="X762" s="4">
        <v>0</v>
      </c>
      <c r="Y762" s="4">
        <f t="shared" si="22"/>
        <v>1658800</v>
      </c>
      <c r="Z762" s="6" t="s">
        <v>0</v>
      </c>
      <c r="AA762" t="s">
        <v>2</v>
      </c>
      <c r="AB762" t="s">
        <v>12</v>
      </c>
      <c r="AC762">
        <f>_xlfn.XLOOKUP(AB762,'[1]GST Codes'!$A:$A,'[1]GST Codes'!$C:$C,0,0)</f>
        <v>18</v>
      </c>
      <c r="AD762">
        <f t="shared" si="23"/>
        <v>1957384</v>
      </c>
      <c r="AE762" t="s">
        <v>13</v>
      </c>
      <c r="AF762" t="s">
        <v>0</v>
      </c>
      <c r="AG762" t="s">
        <v>14</v>
      </c>
      <c r="AH762" t="s">
        <v>15</v>
      </c>
      <c r="AI762" t="s">
        <v>96</v>
      </c>
      <c r="AJ762" t="s">
        <v>17</v>
      </c>
      <c r="AK762" t="s">
        <v>18</v>
      </c>
      <c r="AL762" t="s">
        <v>19</v>
      </c>
      <c r="AM762" t="s">
        <v>363</v>
      </c>
      <c r="AN762" t="s">
        <v>0</v>
      </c>
      <c r="AO762" t="s">
        <v>0</v>
      </c>
      <c r="AP762" t="s">
        <v>0</v>
      </c>
      <c r="AQ762" s="5">
        <v>29</v>
      </c>
      <c r="AR762" t="s">
        <v>11</v>
      </c>
      <c r="AS762" t="s">
        <v>0</v>
      </c>
      <c r="AT762" t="s">
        <v>17</v>
      </c>
      <c r="AU762" s="4">
        <v>0</v>
      </c>
      <c r="AV762" s="4">
        <v>0</v>
      </c>
      <c r="AW762" s="4">
        <v>0</v>
      </c>
      <c r="AX762" s="4">
        <v>0</v>
      </c>
      <c r="AY762" s="5">
        <v>0</v>
      </c>
      <c r="AZ762" s="5">
        <v>0</v>
      </c>
      <c r="BA762" s="5">
        <v>0</v>
      </c>
      <c r="BB762" s="2"/>
      <c r="BC762" t="s">
        <v>0</v>
      </c>
      <c r="BD762" s="5">
        <v>1</v>
      </c>
      <c r="BE762" t="s">
        <v>0</v>
      </c>
      <c r="BF762" t="s">
        <v>364</v>
      </c>
      <c r="BG762" t="s">
        <v>17</v>
      </c>
      <c r="BH762" t="s">
        <v>0</v>
      </c>
      <c r="BI762" t="s">
        <v>11</v>
      </c>
      <c r="BJ762" t="s">
        <v>0</v>
      </c>
      <c r="BK762" t="s">
        <v>0</v>
      </c>
      <c r="BL762" s="5">
        <v>0</v>
      </c>
      <c r="BM762" t="s">
        <v>0</v>
      </c>
      <c r="BN762" t="s">
        <v>0</v>
      </c>
      <c r="BO762" t="s">
        <v>0</v>
      </c>
      <c r="BP762" t="s">
        <v>17</v>
      </c>
      <c r="BQ762" t="s">
        <v>0</v>
      </c>
      <c r="BR762" t="s">
        <v>17</v>
      </c>
      <c r="BS762" t="s">
        <v>17</v>
      </c>
      <c r="BT762" t="s">
        <v>0</v>
      </c>
      <c r="BU762" t="s">
        <v>0</v>
      </c>
      <c r="BV762" t="s">
        <v>0</v>
      </c>
      <c r="BW762" t="s">
        <v>0</v>
      </c>
      <c r="BX762" t="s">
        <v>0</v>
      </c>
      <c r="BY762" t="s">
        <v>0</v>
      </c>
      <c r="BZ762" t="s">
        <v>0</v>
      </c>
      <c r="CA762" t="s">
        <v>0</v>
      </c>
      <c r="CB762" t="s">
        <v>0</v>
      </c>
    </row>
    <row r="763" spans="1:80" ht="13.95" customHeight="1" x14ac:dyDescent="0.25">
      <c r="A763" t="s">
        <v>383</v>
      </c>
      <c r="B763" s="2">
        <v>46153</v>
      </c>
      <c r="C763" s="2">
        <v>46153</v>
      </c>
      <c r="D763" s="2">
        <v>46184</v>
      </c>
      <c r="E763" t="s">
        <v>2</v>
      </c>
      <c r="F763" t="s">
        <v>3</v>
      </c>
      <c r="G763" t="s">
        <v>0</v>
      </c>
      <c r="H763" t="s">
        <v>4</v>
      </c>
      <c r="I763" t="s">
        <v>363</v>
      </c>
      <c r="J763" t="s">
        <v>6</v>
      </c>
      <c r="K763" t="s">
        <v>193</v>
      </c>
      <c r="L763" t="s">
        <v>43</v>
      </c>
      <c r="M763" t="s">
        <v>44</v>
      </c>
      <c r="N763" t="s">
        <v>10</v>
      </c>
      <c r="O763" t="s">
        <v>0</v>
      </c>
      <c r="P763" t="s">
        <v>11</v>
      </c>
      <c r="Q763" s="5">
        <v>29</v>
      </c>
      <c r="R763" s="4">
        <v>57200</v>
      </c>
      <c r="S763" s="5">
        <v>1</v>
      </c>
      <c r="T763" s="4">
        <v>1658800</v>
      </c>
      <c r="U763" s="5">
        <v>0</v>
      </c>
      <c r="V763" s="4">
        <v>0</v>
      </c>
      <c r="W763" s="5">
        <v>0</v>
      </c>
      <c r="X763" s="4">
        <v>0</v>
      </c>
      <c r="Y763" s="4">
        <f t="shared" si="22"/>
        <v>1658800</v>
      </c>
      <c r="Z763" s="6" t="s">
        <v>0</v>
      </c>
      <c r="AA763" t="s">
        <v>2</v>
      </c>
      <c r="AB763" t="s">
        <v>12</v>
      </c>
      <c r="AC763">
        <f>_xlfn.XLOOKUP(AB763,'[1]GST Codes'!$A:$A,'[1]GST Codes'!$C:$C,0,0)</f>
        <v>18</v>
      </c>
      <c r="AD763">
        <f t="shared" si="23"/>
        <v>1957384</v>
      </c>
      <c r="AE763" t="s">
        <v>13</v>
      </c>
      <c r="AF763" t="s">
        <v>0</v>
      </c>
      <c r="AG763" t="s">
        <v>14</v>
      </c>
      <c r="AH763" t="s">
        <v>15</v>
      </c>
      <c r="AI763" t="s">
        <v>96</v>
      </c>
      <c r="AJ763" t="s">
        <v>17</v>
      </c>
      <c r="AK763" t="s">
        <v>18</v>
      </c>
      <c r="AL763" t="s">
        <v>19</v>
      </c>
      <c r="AM763" t="s">
        <v>363</v>
      </c>
      <c r="AN763" t="s">
        <v>0</v>
      </c>
      <c r="AO763" t="s">
        <v>0</v>
      </c>
      <c r="AP763" t="s">
        <v>0</v>
      </c>
      <c r="AQ763" s="5">
        <v>29</v>
      </c>
      <c r="AR763" t="s">
        <v>11</v>
      </c>
      <c r="AS763" t="s">
        <v>0</v>
      </c>
      <c r="AT763" t="s">
        <v>17</v>
      </c>
      <c r="AU763" s="4">
        <v>0</v>
      </c>
      <c r="AV763" s="4">
        <v>0</v>
      </c>
      <c r="AW763" s="4">
        <v>0</v>
      </c>
      <c r="AX763" s="4">
        <v>0</v>
      </c>
      <c r="AY763" s="5">
        <v>0</v>
      </c>
      <c r="AZ763" s="5">
        <v>0</v>
      </c>
      <c r="BA763" s="5">
        <v>0</v>
      </c>
      <c r="BB763" s="2"/>
      <c r="BC763" t="s">
        <v>0</v>
      </c>
      <c r="BD763" s="5">
        <v>1</v>
      </c>
      <c r="BE763" t="s">
        <v>0</v>
      </c>
      <c r="BF763" t="s">
        <v>364</v>
      </c>
      <c r="BG763" t="s">
        <v>17</v>
      </c>
      <c r="BH763" t="s">
        <v>0</v>
      </c>
      <c r="BI763" t="s">
        <v>11</v>
      </c>
      <c r="BJ763" t="s">
        <v>0</v>
      </c>
      <c r="BK763" t="s">
        <v>0</v>
      </c>
      <c r="BL763" s="5">
        <v>0</v>
      </c>
      <c r="BM763" t="s">
        <v>0</v>
      </c>
      <c r="BN763" t="s">
        <v>0</v>
      </c>
      <c r="BO763" t="s">
        <v>0</v>
      </c>
      <c r="BP763" t="s">
        <v>17</v>
      </c>
      <c r="BQ763" t="s">
        <v>0</v>
      </c>
      <c r="BR763" t="s">
        <v>17</v>
      </c>
      <c r="BS763" t="s">
        <v>17</v>
      </c>
      <c r="BT763" t="s">
        <v>0</v>
      </c>
      <c r="BU763" t="s">
        <v>0</v>
      </c>
      <c r="BV763" t="s">
        <v>0</v>
      </c>
      <c r="BW763" t="s">
        <v>0</v>
      </c>
      <c r="BX763" t="s">
        <v>0</v>
      </c>
      <c r="BY763" t="s">
        <v>0</v>
      </c>
      <c r="BZ763" t="s">
        <v>0</v>
      </c>
      <c r="CA763" t="s">
        <v>0</v>
      </c>
      <c r="CB763" t="s">
        <v>0</v>
      </c>
    </row>
    <row r="764" spans="1:80" ht="13.95" customHeight="1" x14ac:dyDescent="0.25">
      <c r="A764" t="s">
        <v>383</v>
      </c>
      <c r="B764" s="2">
        <v>46153</v>
      </c>
      <c r="C764" s="2">
        <v>46153</v>
      </c>
      <c r="D764" s="2">
        <v>46184</v>
      </c>
      <c r="E764" t="s">
        <v>2</v>
      </c>
      <c r="F764" t="s">
        <v>3</v>
      </c>
      <c r="G764" t="s">
        <v>0</v>
      </c>
      <c r="H764" t="s">
        <v>4</v>
      </c>
      <c r="I764" t="s">
        <v>363</v>
      </c>
      <c r="J764" t="s">
        <v>6</v>
      </c>
      <c r="K764" t="s">
        <v>197</v>
      </c>
      <c r="L764" t="s">
        <v>43</v>
      </c>
      <c r="M764" t="s">
        <v>44</v>
      </c>
      <c r="N764" t="s">
        <v>10</v>
      </c>
      <c r="O764" t="s">
        <v>0</v>
      </c>
      <c r="P764" t="s">
        <v>11</v>
      </c>
      <c r="Q764" s="5">
        <v>29</v>
      </c>
      <c r="R764" s="4">
        <v>57200</v>
      </c>
      <c r="S764" s="5">
        <v>1</v>
      </c>
      <c r="T764" s="4">
        <v>1658800</v>
      </c>
      <c r="U764" s="3">
        <v>4.8179999999999996</v>
      </c>
      <c r="V764" s="4">
        <v>275589.59999999998</v>
      </c>
      <c r="W764" s="3">
        <v>4.8179999999999996</v>
      </c>
      <c r="X764" s="4">
        <v>275589.59999999998</v>
      </c>
      <c r="Y764" s="4">
        <f t="shared" si="22"/>
        <v>1383210.4</v>
      </c>
      <c r="Z764" s="6" t="s">
        <v>0</v>
      </c>
      <c r="AA764" t="s">
        <v>2</v>
      </c>
      <c r="AB764" t="s">
        <v>12</v>
      </c>
      <c r="AC764">
        <f>_xlfn.XLOOKUP(AB764,'[1]GST Codes'!$A:$A,'[1]GST Codes'!$C:$C,0,0)</f>
        <v>18</v>
      </c>
      <c r="AD764">
        <f t="shared" si="23"/>
        <v>1632188.2719999999</v>
      </c>
      <c r="AE764" t="s">
        <v>13</v>
      </c>
      <c r="AF764" t="s">
        <v>0</v>
      </c>
      <c r="AG764" t="s">
        <v>14</v>
      </c>
      <c r="AH764" t="s">
        <v>15</v>
      </c>
      <c r="AI764" t="s">
        <v>96</v>
      </c>
      <c r="AJ764" t="s">
        <v>17</v>
      </c>
      <c r="AK764" t="s">
        <v>18</v>
      </c>
      <c r="AL764" t="s">
        <v>19</v>
      </c>
      <c r="AM764" t="s">
        <v>363</v>
      </c>
      <c r="AN764" t="s">
        <v>0</v>
      </c>
      <c r="AO764" t="s">
        <v>0</v>
      </c>
      <c r="AP764" t="s">
        <v>0</v>
      </c>
      <c r="AQ764" s="5">
        <v>29</v>
      </c>
      <c r="AR764" t="s">
        <v>11</v>
      </c>
      <c r="AS764" t="s">
        <v>0</v>
      </c>
      <c r="AT764" t="s">
        <v>17</v>
      </c>
      <c r="AU764" s="4">
        <v>0</v>
      </c>
      <c r="AV764" s="4">
        <v>0</v>
      </c>
      <c r="AW764" s="4">
        <v>0</v>
      </c>
      <c r="AX764" s="4">
        <v>0</v>
      </c>
      <c r="AY764" s="5">
        <v>0</v>
      </c>
      <c r="AZ764" s="5">
        <v>0</v>
      </c>
      <c r="BA764" s="5">
        <v>0</v>
      </c>
      <c r="BB764" s="2"/>
      <c r="BC764" t="s">
        <v>0</v>
      </c>
      <c r="BD764" s="5">
        <v>1</v>
      </c>
      <c r="BE764" t="s">
        <v>0</v>
      </c>
      <c r="BF764" t="s">
        <v>364</v>
      </c>
      <c r="BG764" t="s">
        <v>17</v>
      </c>
      <c r="BH764" t="s">
        <v>0</v>
      </c>
      <c r="BI764" t="s">
        <v>11</v>
      </c>
      <c r="BJ764" t="s">
        <v>0</v>
      </c>
      <c r="BK764" t="s">
        <v>0</v>
      </c>
      <c r="BL764" s="5">
        <v>0</v>
      </c>
      <c r="BM764" t="s">
        <v>0</v>
      </c>
      <c r="BN764" t="s">
        <v>0</v>
      </c>
      <c r="BO764" t="s">
        <v>0</v>
      </c>
      <c r="BP764" t="s">
        <v>17</v>
      </c>
      <c r="BQ764" t="s">
        <v>0</v>
      </c>
      <c r="BR764" t="s">
        <v>17</v>
      </c>
      <c r="BS764" t="s">
        <v>17</v>
      </c>
      <c r="BT764" t="s">
        <v>0</v>
      </c>
      <c r="BU764" t="s">
        <v>0</v>
      </c>
      <c r="BV764" t="s">
        <v>0</v>
      </c>
      <c r="BW764" t="s">
        <v>0</v>
      </c>
      <c r="BX764" t="s">
        <v>0</v>
      </c>
      <c r="BY764" t="s">
        <v>0</v>
      </c>
      <c r="BZ764" t="s">
        <v>0</v>
      </c>
      <c r="CA764" t="s">
        <v>0</v>
      </c>
      <c r="CB764" t="s">
        <v>0</v>
      </c>
    </row>
    <row r="765" spans="1:80" ht="13.95" customHeight="1" x14ac:dyDescent="0.25">
      <c r="A765" t="s">
        <v>383</v>
      </c>
      <c r="B765" s="2">
        <v>46153</v>
      </c>
      <c r="C765" s="2">
        <v>46153</v>
      </c>
      <c r="D765" s="2">
        <v>46184</v>
      </c>
      <c r="E765" t="s">
        <v>2</v>
      </c>
      <c r="F765" t="s">
        <v>3</v>
      </c>
      <c r="G765" t="s">
        <v>0</v>
      </c>
      <c r="H765" t="s">
        <v>4</v>
      </c>
      <c r="I765" t="s">
        <v>363</v>
      </c>
      <c r="J765" t="s">
        <v>6</v>
      </c>
      <c r="K765" t="s">
        <v>201</v>
      </c>
      <c r="L765" t="s">
        <v>354</v>
      </c>
      <c r="M765" t="s">
        <v>338</v>
      </c>
      <c r="N765" t="s">
        <v>10</v>
      </c>
      <c r="O765" t="s">
        <v>0</v>
      </c>
      <c r="P765" t="s">
        <v>11</v>
      </c>
      <c r="Q765" s="5">
        <v>13</v>
      </c>
      <c r="R765" s="4">
        <v>57200</v>
      </c>
      <c r="S765" s="5">
        <v>1</v>
      </c>
      <c r="T765" s="4">
        <v>743600</v>
      </c>
      <c r="U765" s="5">
        <v>0</v>
      </c>
      <c r="V765" s="4">
        <v>0</v>
      </c>
      <c r="W765" s="5">
        <v>0</v>
      </c>
      <c r="X765" s="4">
        <v>0</v>
      </c>
      <c r="Y765" s="4">
        <f t="shared" si="22"/>
        <v>743600</v>
      </c>
      <c r="Z765" s="6" t="s">
        <v>0</v>
      </c>
      <c r="AA765" t="s">
        <v>2</v>
      </c>
      <c r="AB765" t="s">
        <v>12</v>
      </c>
      <c r="AC765">
        <f>_xlfn.XLOOKUP(AB765,'[1]GST Codes'!$A:$A,'[1]GST Codes'!$C:$C,0,0)</f>
        <v>18</v>
      </c>
      <c r="AD765">
        <f t="shared" si="23"/>
        <v>877448</v>
      </c>
      <c r="AE765" t="s">
        <v>13</v>
      </c>
      <c r="AF765" t="s">
        <v>0</v>
      </c>
      <c r="AG765" t="s">
        <v>14</v>
      </c>
      <c r="AH765" t="s">
        <v>15</v>
      </c>
      <c r="AI765" t="s">
        <v>96</v>
      </c>
      <c r="AJ765" t="s">
        <v>17</v>
      </c>
      <c r="AK765" t="s">
        <v>18</v>
      </c>
      <c r="AL765" t="s">
        <v>19</v>
      </c>
      <c r="AM765" t="s">
        <v>363</v>
      </c>
      <c r="AN765" t="s">
        <v>0</v>
      </c>
      <c r="AO765" t="s">
        <v>0</v>
      </c>
      <c r="AP765" t="s">
        <v>0</v>
      </c>
      <c r="AQ765" s="5">
        <v>13</v>
      </c>
      <c r="AR765" t="s">
        <v>11</v>
      </c>
      <c r="AS765" t="s">
        <v>0</v>
      </c>
      <c r="AT765" t="s">
        <v>17</v>
      </c>
      <c r="AU765" s="4">
        <v>0</v>
      </c>
      <c r="AV765" s="4">
        <v>0</v>
      </c>
      <c r="AW765" s="4">
        <v>0</v>
      </c>
      <c r="AX765" s="4">
        <v>0</v>
      </c>
      <c r="AY765" s="5">
        <v>0</v>
      </c>
      <c r="AZ765" s="5">
        <v>0</v>
      </c>
      <c r="BA765" s="5">
        <v>0</v>
      </c>
      <c r="BB765" s="2"/>
      <c r="BC765" t="s">
        <v>0</v>
      </c>
      <c r="BD765" s="5">
        <v>1</v>
      </c>
      <c r="BE765" t="s">
        <v>0</v>
      </c>
      <c r="BF765" t="s">
        <v>371</v>
      </c>
      <c r="BG765" t="s">
        <v>17</v>
      </c>
      <c r="BH765" t="s">
        <v>0</v>
      </c>
      <c r="BI765" t="s">
        <v>11</v>
      </c>
      <c r="BJ765" t="s">
        <v>0</v>
      </c>
      <c r="BK765" t="s">
        <v>0</v>
      </c>
      <c r="BL765" s="5">
        <v>0</v>
      </c>
      <c r="BM765" t="s">
        <v>0</v>
      </c>
      <c r="BN765" t="s">
        <v>0</v>
      </c>
      <c r="BO765" t="s">
        <v>0</v>
      </c>
      <c r="BP765" t="s">
        <v>17</v>
      </c>
      <c r="BQ765" t="s">
        <v>0</v>
      </c>
      <c r="BR765" t="s">
        <v>17</v>
      </c>
      <c r="BS765" t="s">
        <v>17</v>
      </c>
      <c r="BT765" t="s">
        <v>0</v>
      </c>
      <c r="BU765" t="s">
        <v>0</v>
      </c>
      <c r="BV765" t="s">
        <v>0</v>
      </c>
      <c r="BW765" t="s">
        <v>0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</row>
    <row r="766" spans="1:80" ht="13.95" customHeight="1" x14ac:dyDescent="0.25">
      <c r="A766" t="s">
        <v>383</v>
      </c>
      <c r="B766" s="2">
        <v>46153</v>
      </c>
      <c r="C766" s="2">
        <v>46153</v>
      </c>
      <c r="D766" s="2">
        <v>46184</v>
      </c>
      <c r="E766" t="s">
        <v>2</v>
      </c>
      <c r="F766" t="s">
        <v>3</v>
      </c>
      <c r="G766" t="s">
        <v>0</v>
      </c>
      <c r="H766" t="s">
        <v>4</v>
      </c>
      <c r="I766" t="s">
        <v>363</v>
      </c>
      <c r="J766" t="s">
        <v>6</v>
      </c>
      <c r="K766" t="s">
        <v>205</v>
      </c>
      <c r="L766" t="s">
        <v>354</v>
      </c>
      <c r="M766" t="s">
        <v>338</v>
      </c>
      <c r="N766" t="s">
        <v>10</v>
      </c>
      <c r="O766" t="s">
        <v>0</v>
      </c>
      <c r="P766" t="s">
        <v>11</v>
      </c>
      <c r="Q766" s="5">
        <v>13</v>
      </c>
      <c r="R766" s="4">
        <v>57200</v>
      </c>
      <c r="S766" s="5">
        <v>1</v>
      </c>
      <c r="T766" s="4">
        <v>743600</v>
      </c>
      <c r="U766" s="5">
        <v>0</v>
      </c>
      <c r="V766" s="4">
        <v>0</v>
      </c>
      <c r="W766" s="5">
        <v>0</v>
      </c>
      <c r="X766" s="4">
        <v>0</v>
      </c>
      <c r="Y766" s="4">
        <f t="shared" si="22"/>
        <v>743600</v>
      </c>
      <c r="Z766" s="6" t="s">
        <v>0</v>
      </c>
      <c r="AA766" t="s">
        <v>2</v>
      </c>
      <c r="AB766" t="s">
        <v>12</v>
      </c>
      <c r="AC766">
        <f>_xlfn.XLOOKUP(AB766,'[1]GST Codes'!$A:$A,'[1]GST Codes'!$C:$C,0,0)</f>
        <v>18</v>
      </c>
      <c r="AD766">
        <f t="shared" si="23"/>
        <v>877448</v>
      </c>
      <c r="AE766" t="s">
        <v>13</v>
      </c>
      <c r="AF766" t="s">
        <v>0</v>
      </c>
      <c r="AG766" t="s">
        <v>14</v>
      </c>
      <c r="AH766" t="s">
        <v>15</v>
      </c>
      <c r="AI766" t="s">
        <v>96</v>
      </c>
      <c r="AJ766" t="s">
        <v>17</v>
      </c>
      <c r="AK766" t="s">
        <v>18</v>
      </c>
      <c r="AL766" t="s">
        <v>19</v>
      </c>
      <c r="AM766" t="s">
        <v>363</v>
      </c>
      <c r="AN766" t="s">
        <v>0</v>
      </c>
      <c r="AO766" t="s">
        <v>0</v>
      </c>
      <c r="AP766" t="s">
        <v>0</v>
      </c>
      <c r="AQ766" s="5">
        <v>13</v>
      </c>
      <c r="AR766" t="s">
        <v>11</v>
      </c>
      <c r="AS766" t="s">
        <v>0</v>
      </c>
      <c r="AT766" t="s">
        <v>17</v>
      </c>
      <c r="AU766" s="4">
        <v>0</v>
      </c>
      <c r="AV766" s="4">
        <v>0</v>
      </c>
      <c r="AW766" s="4">
        <v>0</v>
      </c>
      <c r="AX766" s="4">
        <v>0</v>
      </c>
      <c r="AY766" s="5">
        <v>0</v>
      </c>
      <c r="AZ766" s="5">
        <v>0</v>
      </c>
      <c r="BA766" s="5">
        <v>0</v>
      </c>
      <c r="BB766" s="2"/>
      <c r="BC766" t="s">
        <v>0</v>
      </c>
      <c r="BD766" s="5">
        <v>1</v>
      </c>
      <c r="BE766" t="s">
        <v>0</v>
      </c>
      <c r="BF766" t="s">
        <v>371</v>
      </c>
      <c r="BG766" t="s">
        <v>17</v>
      </c>
      <c r="BH766" t="s">
        <v>0</v>
      </c>
      <c r="BI766" t="s">
        <v>11</v>
      </c>
      <c r="BJ766" t="s">
        <v>0</v>
      </c>
      <c r="BK766" t="s">
        <v>0</v>
      </c>
      <c r="BL766" s="5">
        <v>0</v>
      </c>
      <c r="BM766" t="s">
        <v>0</v>
      </c>
      <c r="BN766" t="s">
        <v>0</v>
      </c>
      <c r="BO766" t="s">
        <v>0</v>
      </c>
      <c r="BP766" t="s">
        <v>17</v>
      </c>
      <c r="BQ766" t="s">
        <v>0</v>
      </c>
      <c r="BR766" t="s">
        <v>17</v>
      </c>
      <c r="BS766" t="s">
        <v>17</v>
      </c>
      <c r="BT766" t="s">
        <v>0</v>
      </c>
      <c r="BU766" t="s">
        <v>0</v>
      </c>
      <c r="BV766" t="s">
        <v>0</v>
      </c>
      <c r="BW766" t="s">
        <v>0</v>
      </c>
      <c r="BX766" t="s">
        <v>0</v>
      </c>
      <c r="BY766" t="s">
        <v>0</v>
      </c>
      <c r="BZ766" t="s">
        <v>0</v>
      </c>
      <c r="CA766" t="s">
        <v>0</v>
      </c>
      <c r="CB766" t="s">
        <v>0</v>
      </c>
    </row>
    <row r="767" spans="1:80" ht="13.95" customHeight="1" x14ac:dyDescent="0.25">
      <c r="A767" t="s">
        <v>383</v>
      </c>
      <c r="B767" s="2">
        <v>46153</v>
      </c>
      <c r="C767" s="2">
        <v>46153</v>
      </c>
      <c r="D767" s="2">
        <v>46184</v>
      </c>
      <c r="E767" t="s">
        <v>2</v>
      </c>
      <c r="F767" t="s">
        <v>3</v>
      </c>
      <c r="G767" t="s">
        <v>0</v>
      </c>
      <c r="H767" t="s">
        <v>4</v>
      </c>
      <c r="I767" t="s">
        <v>363</v>
      </c>
      <c r="J767" t="s">
        <v>6</v>
      </c>
      <c r="K767" t="s">
        <v>209</v>
      </c>
      <c r="L767" t="s">
        <v>354</v>
      </c>
      <c r="M767" t="s">
        <v>338</v>
      </c>
      <c r="N767" t="s">
        <v>10</v>
      </c>
      <c r="O767" t="s">
        <v>0</v>
      </c>
      <c r="P767" t="s">
        <v>11</v>
      </c>
      <c r="Q767" s="5">
        <v>13</v>
      </c>
      <c r="R767" s="4">
        <v>57200</v>
      </c>
      <c r="S767" s="5">
        <v>1</v>
      </c>
      <c r="T767" s="4">
        <v>743600</v>
      </c>
      <c r="U767" s="5">
        <v>0</v>
      </c>
      <c r="V767" s="4">
        <v>0</v>
      </c>
      <c r="W767" s="5">
        <v>0</v>
      </c>
      <c r="X767" s="4">
        <v>0</v>
      </c>
      <c r="Y767" s="4">
        <f t="shared" si="22"/>
        <v>743600</v>
      </c>
      <c r="Z767" s="6" t="s">
        <v>0</v>
      </c>
      <c r="AA767" t="s">
        <v>2</v>
      </c>
      <c r="AB767" t="s">
        <v>12</v>
      </c>
      <c r="AC767">
        <f>_xlfn.XLOOKUP(AB767,'[1]GST Codes'!$A:$A,'[1]GST Codes'!$C:$C,0,0)</f>
        <v>18</v>
      </c>
      <c r="AD767">
        <f t="shared" si="23"/>
        <v>877448</v>
      </c>
      <c r="AE767" t="s">
        <v>13</v>
      </c>
      <c r="AF767" t="s">
        <v>0</v>
      </c>
      <c r="AG767" t="s">
        <v>14</v>
      </c>
      <c r="AH767" t="s">
        <v>15</v>
      </c>
      <c r="AI767" t="s">
        <v>96</v>
      </c>
      <c r="AJ767" t="s">
        <v>17</v>
      </c>
      <c r="AK767" t="s">
        <v>18</v>
      </c>
      <c r="AL767" t="s">
        <v>19</v>
      </c>
      <c r="AM767" t="s">
        <v>363</v>
      </c>
      <c r="AN767" t="s">
        <v>0</v>
      </c>
      <c r="AO767" t="s">
        <v>0</v>
      </c>
      <c r="AP767" t="s">
        <v>0</v>
      </c>
      <c r="AQ767" s="5">
        <v>13</v>
      </c>
      <c r="AR767" t="s">
        <v>11</v>
      </c>
      <c r="AS767" t="s">
        <v>0</v>
      </c>
      <c r="AT767" t="s">
        <v>17</v>
      </c>
      <c r="AU767" s="4">
        <v>0</v>
      </c>
      <c r="AV767" s="4">
        <v>0</v>
      </c>
      <c r="AW767" s="4">
        <v>0</v>
      </c>
      <c r="AX767" s="4">
        <v>0</v>
      </c>
      <c r="AY767" s="5">
        <v>0</v>
      </c>
      <c r="AZ767" s="5">
        <v>0</v>
      </c>
      <c r="BA767" s="5">
        <v>0</v>
      </c>
      <c r="BB767" s="2"/>
      <c r="BC767" t="s">
        <v>0</v>
      </c>
      <c r="BD767" s="5">
        <v>1</v>
      </c>
      <c r="BE767" t="s">
        <v>0</v>
      </c>
      <c r="BF767" t="s">
        <v>371</v>
      </c>
      <c r="BG767" t="s">
        <v>17</v>
      </c>
      <c r="BH767" t="s">
        <v>0</v>
      </c>
      <c r="BI767" t="s">
        <v>11</v>
      </c>
      <c r="BJ767" t="s">
        <v>0</v>
      </c>
      <c r="BK767" t="s">
        <v>0</v>
      </c>
      <c r="BL767" s="5">
        <v>0</v>
      </c>
      <c r="BM767" t="s">
        <v>0</v>
      </c>
      <c r="BN767" t="s">
        <v>0</v>
      </c>
      <c r="BO767" t="s">
        <v>0</v>
      </c>
      <c r="BP767" t="s">
        <v>17</v>
      </c>
      <c r="BQ767" t="s">
        <v>0</v>
      </c>
      <c r="BR767" t="s">
        <v>17</v>
      </c>
      <c r="BS767" t="s">
        <v>17</v>
      </c>
      <c r="BT767" t="s">
        <v>0</v>
      </c>
      <c r="BU767" t="s">
        <v>0</v>
      </c>
      <c r="BV767" t="s">
        <v>0</v>
      </c>
      <c r="BW767" t="s">
        <v>0</v>
      </c>
      <c r="BX767" t="s">
        <v>0</v>
      </c>
      <c r="BY767" t="s">
        <v>0</v>
      </c>
      <c r="BZ767" t="s">
        <v>0</v>
      </c>
      <c r="CA767" t="s">
        <v>0</v>
      </c>
      <c r="CB767" t="s">
        <v>0</v>
      </c>
    </row>
    <row r="768" spans="1:80" ht="13.95" customHeight="1" x14ac:dyDescent="0.25">
      <c r="A768" t="s">
        <v>383</v>
      </c>
      <c r="B768" s="2">
        <v>46153</v>
      </c>
      <c r="C768" s="2">
        <v>46153</v>
      </c>
      <c r="D768" s="2">
        <v>46184</v>
      </c>
      <c r="E768" t="s">
        <v>2</v>
      </c>
      <c r="F768" t="s">
        <v>3</v>
      </c>
      <c r="G768" t="s">
        <v>0</v>
      </c>
      <c r="H768" t="s">
        <v>4</v>
      </c>
      <c r="I768" t="s">
        <v>363</v>
      </c>
      <c r="J768" t="s">
        <v>6</v>
      </c>
      <c r="K768" t="s">
        <v>213</v>
      </c>
      <c r="L768" t="s">
        <v>354</v>
      </c>
      <c r="M768" t="s">
        <v>338</v>
      </c>
      <c r="N768" t="s">
        <v>10</v>
      </c>
      <c r="O768" t="s">
        <v>0</v>
      </c>
      <c r="P768" t="s">
        <v>11</v>
      </c>
      <c r="Q768" s="5">
        <v>13</v>
      </c>
      <c r="R768" s="4">
        <v>57200</v>
      </c>
      <c r="S768" s="5">
        <v>1</v>
      </c>
      <c r="T768" s="4">
        <v>743600</v>
      </c>
      <c r="U768" s="5">
        <v>0</v>
      </c>
      <c r="V768" s="4">
        <v>0</v>
      </c>
      <c r="W768" s="5">
        <v>0</v>
      </c>
      <c r="X768" s="4">
        <v>0</v>
      </c>
      <c r="Y768" s="4">
        <f t="shared" si="22"/>
        <v>743600</v>
      </c>
      <c r="Z768" s="6" t="s">
        <v>0</v>
      </c>
      <c r="AA768" t="s">
        <v>2</v>
      </c>
      <c r="AB768" t="s">
        <v>12</v>
      </c>
      <c r="AC768">
        <f>_xlfn.XLOOKUP(AB768,'[1]GST Codes'!$A:$A,'[1]GST Codes'!$C:$C,0,0)</f>
        <v>18</v>
      </c>
      <c r="AD768">
        <f t="shared" si="23"/>
        <v>877448</v>
      </c>
      <c r="AE768" t="s">
        <v>13</v>
      </c>
      <c r="AF768" t="s">
        <v>0</v>
      </c>
      <c r="AG768" t="s">
        <v>14</v>
      </c>
      <c r="AH768" t="s">
        <v>15</v>
      </c>
      <c r="AI768" t="s">
        <v>96</v>
      </c>
      <c r="AJ768" t="s">
        <v>17</v>
      </c>
      <c r="AK768" t="s">
        <v>18</v>
      </c>
      <c r="AL768" t="s">
        <v>19</v>
      </c>
      <c r="AM768" t="s">
        <v>363</v>
      </c>
      <c r="AN768" t="s">
        <v>0</v>
      </c>
      <c r="AO768" t="s">
        <v>0</v>
      </c>
      <c r="AP768" t="s">
        <v>0</v>
      </c>
      <c r="AQ768" s="5">
        <v>13</v>
      </c>
      <c r="AR768" t="s">
        <v>11</v>
      </c>
      <c r="AS768" t="s">
        <v>0</v>
      </c>
      <c r="AT768" t="s">
        <v>17</v>
      </c>
      <c r="AU768" s="4">
        <v>0</v>
      </c>
      <c r="AV768" s="4">
        <v>0</v>
      </c>
      <c r="AW768" s="4">
        <v>0</v>
      </c>
      <c r="AX768" s="4">
        <v>0</v>
      </c>
      <c r="AY768" s="5">
        <v>0</v>
      </c>
      <c r="AZ768" s="5">
        <v>0</v>
      </c>
      <c r="BA768" s="5">
        <v>0</v>
      </c>
      <c r="BB768" s="2"/>
      <c r="BC768" t="s">
        <v>0</v>
      </c>
      <c r="BD768" s="5">
        <v>1</v>
      </c>
      <c r="BE768" t="s">
        <v>0</v>
      </c>
      <c r="BF768" t="s">
        <v>371</v>
      </c>
      <c r="BG768" t="s">
        <v>17</v>
      </c>
      <c r="BH768" t="s">
        <v>0</v>
      </c>
      <c r="BI768" t="s">
        <v>11</v>
      </c>
      <c r="BJ768" t="s">
        <v>0</v>
      </c>
      <c r="BK768" t="s">
        <v>0</v>
      </c>
      <c r="BL768" s="5">
        <v>0</v>
      </c>
      <c r="BM768" t="s">
        <v>0</v>
      </c>
      <c r="BN768" t="s">
        <v>0</v>
      </c>
      <c r="BO768" t="s">
        <v>0</v>
      </c>
      <c r="BP768" t="s">
        <v>17</v>
      </c>
      <c r="BQ768" t="s">
        <v>0</v>
      </c>
      <c r="BR768" t="s">
        <v>17</v>
      </c>
      <c r="BS768" t="s">
        <v>17</v>
      </c>
      <c r="BT768" t="s">
        <v>0</v>
      </c>
      <c r="BU768" t="s">
        <v>0</v>
      </c>
      <c r="BV768" t="s">
        <v>0</v>
      </c>
      <c r="BW768" t="s">
        <v>0</v>
      </c>
      <c r="BX768" t="s">
        <v>0</v>
      </c>
      <c r="BY768" t="s">
        <v>0</v>
      </c>
      <c r="BZ768" t="s">
        <v>0</v>
      </c>
      <c r="CA768" t="s">
        <v>0</v>
      </c>
      <c r="CB768" t="s">
        <v>0</v>
      </c>
    </row>
    <row r="769" spans="1:80" ht="13.95" customHeight="1" x14ac:dyDescent="0.25">
      <c r="A769" t="s">
        <v>383</v>
      </c>
      <c r="B769" s="2">
        <v>46153</v>
      </c>
      <c r="C769" s="2">
        <v>46153</v>
      </c>
      <c r="D769" s="2">
        <v>46184</v>
      </c>
      <c r="E769" t="s">
        <v>2</v>
      </c>
      <c r="F769" t="s">
        <v>3</v>
      </c>
      <c r="G769" t="s">
        <v>0</v>
      </c>
      <c r="H769" t="s">
        <v>4</v>
      </c>
      <c r="I769" t="s">
        <v>363</v>
      </c>
      <c r="J769" t="s">
        <v>6</v>
      </c>
      <c r="K769" t="s">
        <v>215</v>
      </c>
      <c r="L769" t="s">
        <v>354</v>
      </c>
      <c r="M769" t="s">
        <v>338</v>
      </c>
      <c r="N769" t="s">
        <v>10</v>
      </c>
      <c r="O769" t="s">
        <v>0</v>
      </c>
      <c r="P769" t="s">
        <v>11</v>
      </c>
      <c r="Q769" s="5">
        <v>13</v>
      </c>
      <c r="R769" s="4">
        <v>57200</v>
      </c>
      <c r="S769" s="5">
        <v>1</v>
      </c>
      <c r="T769" s="4">
        <v>743600</v>
      </c>
      <c r="U769" s="5">
        <v>0</v>
      </c>
      <c r="V769" s="4">
        <v>0</v>
      </c>
      <c r="W769" s="5">
        <v>0</v>
      </c>
      <c r="X769" s="4">
        <v>0</v>
      </c>
      <c r="Y769" s="4">
        <f t="shared" si="22"/>
        <v>743600</v>
      </c>
      <c r="Z769" s="6" t="s">
        <v>0</v>
      </c>
      <c r="AA769" t="s">
        <v>2</v>
      </c>
      <c r="AB769" t="s">
        <v>12</v>
      </c>
      <c r="AC769">
        <f>_xlfn.XLOOKUP(AB769,'[1]GST Codes'!$A:$A,'[1]GST Codes'!$C:$C,0,0)</f>
        <v>18</v>
      </c>
      <c r="AD769">
        <f t="shared" si="23"/>
        <v>877448</v>
      </c>
      <c r="AE769" t="s">
        <v>13</v>
      </c>
      <c r="AF769" t="s">
        <v>0</v>
      </c>
      <c r="AG769" t="s">
        <v>14</v>
      </c>
      <c r="AH769" t="s">
        <v>15</v>
      </c>
      <c r="AI769" t="s">
        <v>96</v>
      </c>
      <c r="AJ769" t="s">
        <v>17</v>
      </c>
      <c r="AK769" t="s">
        <v>18</v>
      </c>
      <c r="AL769" t="s">
        <v>19</v>
      </c>
      <c r="AM769" t="s">
        <v>363</v>
      </c>
      <c r="AN769" t="s">
        <v>0</v>
      </c>
      <c r="AO769" t="s">
        <v>0</v>
      </c>
      <c r="AP769" t="s">
        <v>0</v>
      </c>
      <c r="AQ769" s="5">
        <v>13</v>
      </c>
      <c r="AR769" t="s">
        <v>11</v>
      </c>
      <c r="AS769" t="s">
        <v>0</v>
      </c>
      <c r="AT769" t="s">
        <v>17</v>
      </c>
      <c r="AU769" s="4">
        <v>0</v>
      </c>
      <c r="AV769" s="4">
        <v>0</v>
      </c>
      <c r="AW769" s="4">
        <v>0</v>
      </c>
      <c r="AX769" s="4">
        <v>0</v>
      </c>
      <c r="AY769" s="5">
        <v>0</v>
      </c>
      <c r="AZ769" s="5">
        <v>0</v>
      </c>
      <c r="BA769" s="5">
        <v>0</v>
      </c>
      <c r="BB769" s="2"/>
      <c r="BC769" t="s">
        <v>0</v>
      </c>
      <c r="BD769" s="5">
        <v>1</v>
      </c>
      <c r="BE769" t="s">
        <v>0</v>
      </c>
      <c r="BF769" t="s">
        <v>371</v>
      </c>
      <c r="BG769" t="s">
        <v>17</v>
      </c>
      <c r="BH769" t="s">
        <v>0</v>
      </c>
      <c r="BI769" t="s">
        <v>11</v>
      </c>
      <c r="BJ769" t="s">
        <v>0</v>
      </c>
      <c r="BK769" t="s">
        <v>0</v>
      </c>
      <c r="BL769" s="5">
        <v>0</v>
      </c>
      <c r="BM769" t="s">
        <v>0</v>
      </c>
      <c r="BN769" t="s">
        <v>0</v>
      </c>
      <c r="BO769" t="s">
        <v>0</v>
      </c>
      <c r="BP769" t="s">
        <v>17</v>
      </c>
      <c r="BQ769" t="s">
        <v>0</v>
      </c>
      <c r="BR769" t="s">
        <v>17</v>
      </c>
      <c r="BS769" t="s">
        <v>17</v>
      </c>
      <c r="BT769" t="s">
        <v>0</v>
      </c>
      <c r="BU769" t="s">
        <v>0</v>
      </c>
      <c r="BV769" t="s">
        <v>0</v>
      </c>
      <c r="BW769" t="s">
        <v>0</v>
      </c>
      <c r="BX769" t="s">
        <v>0</v>
      </c>
      <c r="BY769" t="s">
        <v>0</v>
      </c>
      <c r="BZ769" t="s">
        <v>0</v>
      </c>
      <c r="CA769" t="s">
        <v>0</v>
      </c>
      <c r="CB769" t="s">
        <v>0</v>
      </c>
    </row>
    <row r="770" spans="1:80" ht="13.95" customHeight="1" x14ac:dyDescent="0.25">
      <c r="A770" t="s">
        <v>383</v>
      </c>
      <c r="B770" s="2">
        <v>46153</v>
      </c>
      <c r="C770" s="2">
        <v>46153</v>
      </c>
      <c r="D770" s="2">
        <v>46184</v>
      </c>
      <c r="E770" t="s">
        <v>2</v>
      </c>
      <c r="F770" t="s">
        <v>3</v>
      </c>
      <c r="G770" t="s">
        <v>0</v>
      </c>
      <c r="H770" t="s">
        <v>4</v>
      </c>
      <c r="I770" t="s">
        <v>363</v>
      </c>
      <c r="J770" t="s">
        <v>6</v>
      </c>
      <c r="K770" t="s">
        <v>216</v>
      </c>
      <c r="L770" t="s">
        <v>354</v>
      </c>
      <c r="M770" t="s">
        <v>338</v>
      </c>
      <c r="N770" t="s">
        <v>10</v>
      </c>
      <c r="O770" t="s">
        <v>0</v>
      </c>
      <c r="P770" t="s">
        <v>11</v>
      </c>
      <c r="Q770" s="5">
        <v>13</v>
      </c>
      <c r="R770" s="4">
        <v>57200</v>
      </c>
      <c r="S770" s="5">
        <v>1</v>
      </c>
      <c r="T770" s="4">
        <v>743600</v>
      </c>
      <c r="U770" s="5">
        <v>0</v>
      </c>
      <c r="V770" s="4">
        <v>0</v>
      </c>
      <c r="W770" s="5">
        <v>0</v>
      </c>
      <c r="X770" s="4">
        <v>0</v>
      </c>
      <c r="Y770" s="4">
        <f t="shared" si="22"/>
        <v>743600</v>
      </c>
      <c r="Z770" s="6" t="s">
        <v>0</v>
      </c>
      <c r="AA770" t="s">
        <v>2</v>
      </c>
      <c r="AB770" t="s">
        <v>12</v>
      </c>
      <c r="AC770">
        <f>_xlfn.XLOOKUP(AB770,'[1]GST Codes'!$A:$A,'[1]GST Codes'!$C:$C,0,0)</f>
        <v>18</v>
      </c>
      <c r="AD770">
        <f t="shared" si="23"/>
        <v>877448</v>
      </c>
      <c r="AE770" t="s">
        <v>13</v>
      </c>
      <c r="AF770" t="s">
        <v>0</v>
      </c>
      <c r="AG770" t="s">
        <v>14</v>
      </c>
      <c r="AH770" t="s">
        <v>15</v>
      </c>
      <c r="AI770" t="s">
        <v>96</v>
      </c>
      <c r="AJ770" t="s">
        <v>17</v>
      </c>
      <c r="AK770" t="s">
        <v>18</v>
      </c>
      <c r="AL770" t="s">
        <v>19</v>
      </c>
      <c r="AM770" t="s">
        <v>363</v>
      </c>
      <c r="AN770" t="s">
        <v>0</v>
      </c>
      <c r="AO770" t="s">
        <v>0</v>
      </c>
      <c r="AP770" t="s">
        <v>0</v>
      </c>
      <c r="AQ770" s="5">
        <v>13</v>
      </c>
      <c r="AR770" t="s">
        <v>11</v>
      </c>
      <c r="AS770" t="s">
        <v>0</v>
      </c>
      <c r="AT770" t="s">
        <v>17</v>
      </c>
      <c r="AU770" s="4">
        <v>0</v>
      </c>
      <c r="AV770" s="4">
        <v>0</v>
      </c>
      <c r="AW770" s="4">
        <v>0</v>
      </c>
      <c r="AX770" s="4">
        <v>0</v>
      </c>
      <c r="AY770" s="5">
        <v>0</v>
      </c>
      <c r="AZ770" s="5">
        <v>0</v>
      </c>
      <c r="BA770" s="5">
        <v>0</v>
      </c>
      <c r="BB770" s="2"/>
      <c r="BC770" t="s">
        <v>0</v>
      </c>
      <c r="BD770" s="5">
        <v>1</v>
      </c>
      <c r="BE770" t="s">
        <v>0</v>
      </c>
      <c r="BF770" t="s">
        <v>371</v>
      </c>
      <c r="BG770" t="s">
        <v>17</v>
      </c>
      <c r="BH770" t="s">
        <v>0</v>
      </c>
      <c r="BI770" t="s">
        <v>11</v>
      </c>
      <c r="BJ770" t="s">
        <v>0</v>
      </c>
      <c r="BK770" t="s">
        <v>0</v>
      </c>
      <c r="BL770" s="5">
        <v>0</v>
      </c>
      <c r="BM770" t="s">
        <v>0</v>
      </c>
      <c r="BN770" t="s">
        <v>0</v>
      </c>
      <c r="BO770" t="s">
        <v>0</v>
      </c>
      <c r="BP770" t="s">
        <v>17</v>
      </c>
      <c r="BQ770" t="s">
        <v>0</v>
      </c>
      <c r="BR770" t="s">
        <v>17</v>
      </c>
      <c r="BS770" t="s">
        <v>17</v>
      </c>
      <c r="BT770" t="s">
        <v>0</v>
      </c>
      <c r="BU770" t="s">
        <v>0</v>
      </c>
      <c r="BV770" t="s">
        <v>0</v>
      </c>
      <c r="BW770" t="s">
        <v>0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</row>
    <row r="771" spans="1:80" ht="13.95" customHeight="1" x14ac:dyDescent="0.25">
      <c r="A771" t="s">
        <v>383</v>
      </c>
      <c r="B771" s="2">
        <v>46153</v>
      </c>
      <c r="C771" s="2">
        <v>46153</v>
      </c>
      <c r="D771" s="2">
        <v>46184</v>
      </c>
      <c r="E771" t="s">
        <v>2</v>
      </c>
      <c r="F771" t="s">
        <v>3</v>
      </c>
      <c r="G771" t="s">
        <v>0</v>
      </c>
      <c r="H771" t="s">
        <v>4</v>
      </c>
      <c r="I771" t="s">
        <v>363</v>
      </c>
      <c r="J771" t="s">
        <v>6</v>
      </c>
      <c r="K771" t="s">
        <v>217</v>
      </c>
      <c r="L771" t="s">
        <v>329</v>
      </c>
      <c r="M771" t="s">
        <v>339</v>
      </c>
      <c r="N771" t="s">
        <v>10</v>
      </c>
      <c r="O771" t="s">
        <v>0</v>
      </c>
      <c r="P771" t="s">
        <v>11</v>
      </c>
      <c r="Q771" s="5">
        <v>4</v>
      </c>
      <c r="R771" s="4">
        <v>57200</v>
      </c>
      <c r="S771" s="5">
        <v>1</v>
      </c>
      <c r="T771" s="4">
        <v>228800</v>
      </c>
      <c r="U771" s="5">
        <v>0</v>
      </c>
      <c r="V771" s="4">
        <v>0</v>
      </c>
      <c r="W771" s="5">
        <v>0</v>
      </c>
      <c r="X771" s="4">
        <v>0</v>
      </c>
      <c r="Y771" s="4">
        <f t="shared" ref="Y771:Y834" si="24">T771-V771</f>
        <v>228800</v>
      </c>
      <c r="Z771" s="6" t="s">
        <v>0</v>
      </c>
      <c r="AA771" t="s">
        <v>2</v>
      </c>
      <c r="AB771" t="s">
        <v>12</v>
      </c>
      <c r="AC771">
        <f>_xlfn.XLOOKUP(AB771,'[1]GST Codes'!$A:$A,'[1]GST Codes'!$C:$C,0,0)</f>
        <v>18</v>
      </c>
      <c r="AD771">
        <f t="shared" ref="AD771:AD834" si="25">Y771+(Y771*AC771/100)</f>
        <v>269984</v>
      </c>
      <c r="AE771" t="s">
        <v>13</v>
      </c>
      <c r="AF771" t="s">
        <v>0</v>
      </c>
      <c r="AG771" t="s">
        <v>14</v>
      </c>
      <c r="AH771" t="s">
        <v>15</v>
      </c>
      <c r="AI771" t="s">
        <v>96</v>
      </c>
      <c r="AJ771" t="s">
        <v>17</v>
      </c>
      <c r="AK771" t="s">
        <v>18</v>
      </c>
      <c r="AL771" t="s">
        <v>19</v>
      </c>
      <c r="AM771" t="s">
        <v>363</v>
      </c>
      <c r="AN771" t="s">
        <v>0</v>
      </c>
      <c r="AO771" t="s">
        <v>0</v>
      </c>
      <c r="AP771" t="s">
        <v>0</v>
      </c>
      <c r="AQ771" s="5">
        <v>4</v>
      </c>
      <c r="AR771" t="s">
        <v>11</v>
      </c>
      <c r="AS771" t="s">
        <v>0</v>
      </c>
      <c r="AT771" t="s">
        <v>17</v>
      </c>
      <c r="AU771" s="4">
        <v>0</v>
      </c>
      <c r="AV771" s="4">
        <v>0</v>
      </c>
      <c r="AW771" s="4">
        <v>0</v>
      </c>
      <c r="AX771" s="4">
        <v>0</v>
      </c>
      <c r="AY771" s="5">
        <v>0</v>
      </c>
      <c r="AZ771" s="5">
        <v>0</v>
      </c>
      <c r="BA771" s="5">
        <v>0</v>
      </c>
      <c r="BB771" s="2"/>
      <c r="BC771" t="s">
        <v>0</v>
      </c>
      <c r="BD771" s="5">
        <v>1</v>
      </c>
      <c r="BE771" t="s">
        <v>0</v>
      </c>
      <c r="BF771" t="s">
        <v>365</v>
      </c>
      <c r="BG771" t="s">
        <v>17</v>
      </c>
      <c r="BH771" t="s">
        <v>0</v>
      </c>
      <c r="BI771" t="s">
        <v>11</v>
      </c>
      <c r="BJ771" t="s">
        <v>0</v>
      </c>
      <c r="BK771" t="s">
        <v>0</v>
      </c>
      <c r="BL771" s="5">
        <v>0</v>
      </c>
      <c r="BM771" t="s">
        <v>0</v>
      </c>
      <c r="BN771" t="s">
        <v>0</v>
      </c>
      <c r="BO771" t="s">
        <v>0</v>
      </c>
      <c r="BP771" t="s">
        <v>17</v>
      </c>
      <c r="BQ771" t="s">
        <v>0</v>
      </c>
      <c r="BR771" t="s">
        <v>17</v>
      </c>
      <c r="BS771" t="s">
        <v>17</v>
      </c>
      <c r="BT771" t="s">
        <v>0</v>
      </c>
      <c r="BU771" t="s">
        <v>0</v>
      </c>
      <c r="BV771" t="s">
        <v>0</v>
      </c>
      <c r="BW771" t="s">
        <v>0</v>
      </c>
      <c r="BX771" t="s">
        <v>0</v>
      </c>
      <c r="BY771" t="s">
        <v>0</v>
      </c>
      <c r="BZ771" t="s">
        <v>0</v>
      </c>
      <c r="CA771" t="s">
        <v>0</v>
      </c>
      <c r="CB771" t="s">
        <v>0</v>
      </c>
    </row>
    <row r="772" spans="1:80" ht="13.95" customHeight="1" x14ac:dyDescent="0.25">
      <c r="A772" t="s">
        <v>383</v>
      </c>
      <c r="B772" s="2">
        <v>46153</v>
      </c>
      <c r="C772" s="2">
        <v>46153</v>
      </c>
      <c r="D772" s="2">
        <v>46184</v>
      </c>
      <c r="E772" t="s">
        <v>2</v>
      </c>
      <c r="F772" t="s">
        <v>3</v>
      </c>
      <c r="G772" t="s">
        <v>0</v>
      </c>
      <c r="H772" t="s">
        <v>4</v>
      </c>
      <c r="I772" t="s">
        <v>363</v>
      </c>
      <c r="J772" t="s">
        <v>6</v>
      </c>
      <c r="K772" t="s">
        <v>218</v>
      </c>
      <c r="L772" t="s">
        <v>329</v>
      </c>
      <c r="M772" t="s">
        <v>339</v>
      </c>
      <c r="N772" t="s">
        <v>10</v>
      </c>
      <c r="O772" t="s">
        <v>0</v>
      </c>
      <c r="P772" t="s">
        <v>11</v>
      </c>
      <c r="Q772" s="5">
        <v>4</v>
      </c>
      <c r="R772" s="4">
        <v>57200</v>
      </c>
      <c r="S772" s="5">
        <v>1</v>
      </c>
      <c r="T772" s="4">
        <v>228800</v>
      </c>
      <c r="U772" s="5">
        <v>0</v>
      </c>
      <c r="V772" s="4">
        <v>0</v>
      </c>
      <c r="W772" s="5">
        <v>0</v>
      </c>
      <c r="X772" s="4">
        <v>0</v>
      </c>
      <c r="Y772" s="4">
        <f t="shared" si="24"/>
        <v>228800</v>
      </c>
      <c r="Z772" s="6" t="s">
        <v>0</v>
      </c>
      <c r="AA772" t="s">
        <v>2</v>
      </c>
      <c r="AB772" t="s">
        <v>12</v>
      </c>
      <c r="AC772">
        <f>_xlfn.XLOOKUP(AB772,'[1]GST Codes'!$A:$A,'[1]GST Codes'!$C:$C,0,0)</f>
        <v>18</v>
      </c>
      <c r="AD772">
        <f t="shared" si="25"/>
        <v>269984</v>
      </c>
      <c r="AE772" t="s">
        <v>13</v>
      </c>
      <c r="AF772" t="s">
        <v>0</v>
      </c>
      <c r="AG772" t="s">
        <v>14</v>
      </c>
      <c r="AH772" t="s">
        <v>15</v>
      </c>
      <c r="AI772" t="s">
        <v>96</v>
      </c>
      <c r="AJ772" t="s">
        <v>17</v>
      </c>
      <c r="AK772" t="s">
        <v>18</v>
      </c>
      <c r="AL772" t="s">
        <v>19</v>
      </c>
      <c r="AM772" t="s">
        <v>363</v>
      </c>
      <c r="AN772" t="s">
        <v>0</v>
      </c>
      <c r="AO772" t="s">
        <v>0</v>
      </c>
      <c r="AP772" t="s">
        <v>0</v>
      </c>
      <c r="AQ772" s="5">
        <v>4</v>
      </c>
      <c r="AR772" t="s">
        <v>11</v>
      </c>
      <c r="AS772" t="s">
        <v>0</v>
      </c>
      <c r="AT772" t="s">
        <v>17</v>
      </c>
      <c r="AU772" s="4">
        <v>0</v>
      </c>
      <c r="AV772" s="4">
        <v>0</v>
      </c>
      <c r="AW772" s="4">
        <v>0</v>
      </c>
      <c r="AX772" s="4">
        <v>0</v>
      </c>
      <c r="AY772" s="5">
        <v>0</v>
      </c>
      <c r="AZ772" s="5">
        <v>0</v>
      </c>
      <c r="BA772" s="5">
        <v>0</v>
      </c>
      <c r="BB772" s="2"/>
      <c r="BC772" t="s">
        <v>0</v>
      </c>
      <c r="BD772" s="5">
        <v>1</v>
      </c>
      <c r="BE772" t="s">
        <v>0</v>
      </c>
      <c r="BF772" t="s">
        <v>365</v>
      </c>
      <c r="BG772" t="s">
        <v>17</v>
      </c>
      <c r="BH772" t="s">
        <v>0</v>
      </c>
      <c r="BI772" t="s">
        <v>11</v>
      </c>
      <c r="BJ772" t="s">
        <v>0</v>
      </c>
      <c r="BK772" t="s">
        <v>0</v>
      </c>
      <c r="BL772" s="5">
        <v>0</v>
      </c>
      <c r="BM772" t="s">
        <v>0</v>
      </c>
      <c r="BN772" t="s">
        <v>0</v>
      </c>
      <c r="BO772" t="s">
        <v>0</v>
      </c>
      <c r="BP772" t="s">
        <v>17</v>
      </c>
      <c r="BQ772" t="s">
        <v>0</v>
      </c>
      <c r="BR772" t="s">
        <v>17</v>
      </c>
      <c r="BS772" t="s">
        <v>17</v>
      </c>
      <c r="BT772" t="s">
        <v>0</v>
      </c>
      <c r="BU772" t="s">
        <v>0</v>
      </c>
      <c r="BV772" t="s">
        <v>0</v>
      </c>
      <c r="BW772" t="s">
        <v>0</v>
      </c>
      <c r="BX772" t="s">
        <v>0</v>
      </c>
      <c r="BY772" t="s">
        <v>0</v>
      </c>
      <c r="BZ772" t="s">
        <v>0</v>
      </c>
      <c r="CA772" t="s">
        <v>0</v>
      </c>
      <c r="CB772" t="s">
        <v>0</v>
      </c>
    </row>
    <row r="773" spans="1:80" ht="13.95" customHeight="1" x14ac:dyDescent="0.25">
      <c r="A773" t="s">
        <v>383</v>
      </c>
      <c r="B773" s="2">
        <v>46153</v>
      </c>
      <c r="C773" s="2">
        <v>46153</v>
      </c>
      <c r="D773" s="2">
        <v>46184</v>
      </c>
      <c r="E773" t="s">
        <v>2</v>
      </c>
      <c r="F773" t="s">
        <v>3</v>
      </c>
      <c r="G773" t="s">
        <v>0</v>
      </c>
      <c r="H773" t="s">
        <v>4</v>
      </c>
      <c r="I773" t="s">
        <v>363</v>
      </c>
      <c r="J773" t="s">
        <v>6</v>
      </c>
      <c r="K773" t="s">
        <v>219</v>
      </c>
      <c r="L773" t="s">
        <v>329</v>
      </c>
      <c r="M773" t="s">
        <v>339</v>
      </c>
      <c r="N773" t="s">
        <v>10</v>
      </c>
      <c r="O773" t="s">
        <v>0</v>
      </c>
      <c r="P773" t="s">
        <v>11</v>
      </c>
      <c r="Q773" s="5">
        <v>4</v>
      </c>
      <c r="R773" s="4">
        <v>57200</v>
      </c>
      <c r="S773" s="5">
        <v>1</v>
      </c>
      <c r="T773" s="4">
        <v>228800</v>
      </c>
      <c r="U773" s="5">
        <v>0</v>
      </c>
      <c r="V773" s="4">
        <v>0</v>
      </c>
      <c r="W773" s="5">
        <v>0</v>
      </c>
      <c r="X773" s="4">
        <v>0</v>
      </c>
      <c r="Y773" s="4">
        <f t="shared" si="24"/>
        <v>228800</v>
      </c>
      <c r="Z773" s="6" t="s">
        <v>0</v>
      </c>
      <c r="AA773" t="s">
        <v>2</v>
      </c>
      <c r="AB773" t="s">
        <v>12</v>
      </c>
      <c r="AC773">
        <f>_xlfn.XLOOKUP(AB773,'[1]GST Codes'!$A:$A,'[1]GST Codes'!$C:$C,0,0)</f>
        <v>18</v>
      </c>
      <c r="AD773">
        <f t="shared" si="25"/>
        <v>269984</v>
      </c>
      <c r="AE773" t="s">
        <v>13</v>
      </c>
      <c r="AF773" t="s">
        <v>0</v>
      </c>
      <c r="AG773" t="s">
        <v>14</v>
      </c>
      <c r="AH773" t="s">
        <v>15</v>
      </c>
      <c r="AI773" t="s">
        <v>96</v>
      </c>
      <c r="AJ773" t="s">
        <v>17</v>
      </c>
      <c r="AK773" t="s">
        <v>18</v>
      </c>
      <c r="AL773" t="s">
        <v>19</v>
      </c>
      <c r="AM773" t="s">
        <v>363</v>
      </c>
      <c r="AN773" t="s">
        <v>0</v>
      </c>
      <c r="AO773" t="s">
        <v>0</v>
      </c>
      <c r="AP773" t="s">
        <v>0</v>
      </c>
      <c r="AQ773" s="5">
        <v>4</v>
      </c>
      <c r="AR773" t="s">
        <v>11</v>
      </c>
      <c r="AS773" t="s">
        <v>0</v>
      </c>
      <c r="AT773" t="s">
        <v>17</v>
      </c>
      <c r="AU773" s="4">
        <v>0</v>
      </c>
      <c r="AV773" s="4">
        <v>0</v>
      </c>
      <c r="AW773" s="4">
        <v>0</v>
      </c>
      <c r="AX773" s="4">
        <v>0</v>
      </c>
      <c r="AY773" s="5">
        <v>0</v>
      </c>
      <c r="AZ773" s="5">
        <v>0</v>
      </c>
      <c r="BA773" s="5">
        <v>0</v>
      </c>
      <c r="BB773" s="2"/>
      <c r="BC773" t="s">
        <v>0</v>
      </c>
      <c r="BD773" s="5">
        <v>1</v>
      </c>
      <c r="BE773" t="s">
        <v>0</v>
      </c>
      <c r="BF773" t="s">
        <v>365</v>
      </c>
      <c r="BG773" t="s">
        <v>17</v>
      </c>
      <c r="BH773" t="s">
        <v>0</v>
      </c>
      <c r="BI773" t="s">
        <v>11</v>
      </c>
      <c r="BJ773" t="s">
        <v>0</v>
      </c>
      <c r="BK773" t="s">
        <v>0</v>
      </c>
      <c r="BL773" s="5">
        <v>0</v>
      </c>
      <c r="BM773" t="s">
        <v>0</v>
      </c>
      <c r="BN773" t="s">
        <v>0</v>
      </c>
      <c r="BO773" t="s">
        <v>0</v>
      </c>
      <c r="BP773" t="s">
        <v>17</v>
      </c>
      <c r="BQ773" t="s">
        <v>0</v>
      </c>
      <c r="BR773" t="s">
        <v>17</v>
      </c>
      <c r="BS773" t="s">
        <v>17</v>
      </c>
      <c r="BT773" t="s">
        <v>0</v>
      </c>
      <c r="BU773" t="s">
        <v>0</v>
      </c>
      <c r="BV773" t="s">
        <v>0</v>
      </c>
      <c r="BW773" t="s">
        <v>0</v>
      </c>
      <c r="BX773" t="s">
        <v>0</v>
      </c>
      <c r="BY773" t="s">
        <v>0</v>
      </c>
      <c r="BZ773" t="s">
        <v>0</v>
      </c>
      <c r="CA773" t="s">
        <v>0</v>
      </c>
      <c r="CB773" t="s">
        <v>0</v>
      </c>
    </row>
    <row r="774" spans="1:80" ht="13.95" customHeight="1" x14ac:dyDescent="0.25">
      <c r="A774" t="s">
        <v>383</v>
      </c>
      <c r="B774" s="2">
        <v>46153</v>
      </c>
      <c r="C774" s="2">
        <v>46153</v>
      </c>
      <c r="D774" s="2">
        <v>46184</v>
      </c>
      <c r="E774" t="s">
        <v>2</v>
      </c>
      <c r="F774" t="s">
        <v>3</v>
      </c>
      <c r="G774" t="s">
        <v>0</v>
      </c>
      <c r="H774" t="s">
        <v>4</v>
      </c>
      <c r="I774" t="s">
        <v>363</v>
      </c>
      <c r="J774" t="s">
        <v>6</v>
      </c>
      <c r="K774" t="s">
        <v>223</v>
      </c>
      <c r="L774" t="s">
        <v>329</v>
      </c>
      <c r="M774" t="s">
        <v>339</v>
      </c>
      <c r="N774" t="s">
        <v>10</v>
      </c>
      <c r="O774" t="s">
        <v>0</v>
      </c>
      <c r="P774" t="s">
        <v>11</v>
      </c>
      <c r="Q774" s="5">
        <v>3</v>
      </c>
      <c r="R774" s="4">
        <v>57200</v>
      </c>
      <c r="S774" s="5">
        <v>1</v>
      </c>
      <c r="T774" s="4">
        <v>171600</v>
      </c>
      <c r="U774" s="3">
        <v>0.42299999999999999</v>
      </c>
      <c r="V774" s="4">
        <v>24195.599999999999</v>
      </c>
      <c r="W774" s="3">
        <v>0.42299999999999999</v>
      </c>
      <c r="X774" s="4">
        <v>24195.599999999999</v>
      </c>
      <c r="Y774" s="4">
        <f t="shared" si="24"/>
        <v>147404.4</v>
      </c>
      <c r="Z774" s="6" t="s">
        <v>0</v>
      </c>
      <c r="AA774" t="s">
        <v>2</v>
      </c>
      <c r="AB774" t="s">
        <v>12</v>
      </c>
      <c r="AC774">
        <f>_xlfn.XLOOKUP(AB774,'[1]GST Codes'!$A:$A,'[1]GST Codes'!$C:$C,0,0)</f>
        <v>18</v>
      </c>
      <c r="AD774">
        <f t="shared" si="25"/>
        <v>173937.19199999998</v>
      </c>
      <c r="AE774" t="s">
        <v>13</v>
      </c>
      <c r="AF774" t="s">
        <v>0</v>
      </c>
      <c r="AG774" t="s">
        <v>14</v>
      </c>
      <c r="AH774" t="s">
        <v>15</v>
      </c>
      <c r="AI774" t="s">
        <v>96</v>
      </c>
      <c r="AJ774" t="s">
        <v>17</v>
      </c>
      <c r="AK774" t="s">
        <v>18</v>
      </c>
      <c r="AL774" t="s">
        <v>19</v>
      </c>
      <c r="AM774" t="s">
        <v>363</v>
      </c>
      <c r="AN774" t="s">
        <v>0</v>
      </c>
      <c r="AO774" t="s">
        <v>0</v>
      </c>
      <c r="AP774" t="s">
        <v>0</v>
      </c>
      <c r="AQ774" s="5">
        <v>3</v>
      </c>
      <c r="AR774" t="s">
        <v>11</v>
      </c>
      <c r="AS774" t="s">
        <v>0</v>
      </c>
      <c r="AT774" t="s">
        <v>17</v>
      </c>
      <c r="AU774" s="4">
        <v>0</v>
      </c>
      <c r="AV774" s="4">
        <v>0</v>
      </c>
      <c r="AW774" s="4">
        <v>0</v>
      </c>
      <c r="AX774" s="4">
        <v>0</v>
      </c>
      <c r="AY774" s="5">
        <v>0</v>
      </c>
      <c r="AZ774" s="5">
        <v>0</v>
      </c>
      <c r="BA774" s="5">
        <v>0</v>
      </c>
      <c r="BB774" s="2"/>
      <c r="BC774" t="s">
        <v>0</v>
      </c>
      <c r="BD774" s="5">
        <v>1</v>
      </c>
      <c r="BE774" t="s">
        <v>0</v>
      </c>
      <c r="BF774" t="s">
        <v>365</v>
      </c>
      <c r="BG774" t="s">
        <v>17</v>
      </c>
      <c r="BH774" t="s">
        <v>0</v>
      </c>
      <c r="BI774" t="s">
        <v>11</v>
      </c>
      <c r="BJ774" t="s">
        <v>0</v>
      </c>
      <c r="BK774" t="s">
        <v>0</v>
      </c>
      <c r="BL774" s="5">
        <v>0</v>
      </c>
      <c r="BM774" t="s">
        <v>0</v>
      </c>
      <c r="BN774" t="s">
        <v>0</v>
      </c>
      <c r="BO774" t="s">
        <v>0</v>
      </c>
      <c r="BP774" t="s">
        <v>17</v>
      </c>
      <c r="BQ774" t="s">
        <v>0</v>
      </c>
      <c r="BR774" t="s">
        <v>17</v>
      </c>
      <c r="BS774" t="s">
        <v>17</v>
      </c>
      <c r="BT774" t="s">
        <v>0</v>
      </c>
      <c r="BU774" t="s">
        <v>0</v>
      </c>
      <c r="BV774" t="s">
        <v>0</v>
      </c>
      <c r="BW774" t="s">
        <v>0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</row>
    <row r="775" spans="1:80" ht="13.95" customHeight="1" x14ac:dyDescent="0.25">
      <c r="A775" t="s">
        <v>383</v>
      </c>
      <c r="B775" s="2">
        <v>46153</v>
      </c>
      <c r="C775" s="2">
        <v>46153</v>
      </c>
      <c r="D775" s="2">
        <v>46184</v>
      </c>
      <c r="E775" t="s">
        <v>2</v>
      </c>
      <c r="F775" t="s">
        <v>3</v>
      </c>
      <c r="G775" t="s">
        <v>0</v>
      </c>
      <c r="H775" t="s">
        <v>4</v>
      </c>
      <c r="I775" t="s">
        <v>363</v>
      </c>
      <c r="J775" t="s">
        <v>6</v>
      </c>
      <c r="K775" t="s">
        <v>224</v>
      </c>
      <c r="L775" t="s">
        <v>329</v>
      </c>
      <c r="M775" t="s">
        <v>339</v>
      </c>
      <c r="N775" t="s">
        <v>10</v>
      </c>
      <c r="O775" t="s">
        <v>0</v>
      </c>
      <c r="P775" t="s">
        <v>11</v>
      </c>
      <c r="Q775" s="5">
        <v>4</v>
      </c>
      <c r="R775" s="4">
        <v>57200</v>
      </c>
      <c r="S775" s="5">
        <v>1</v>
      </c>
      <c r="T775" s="4">
        <v>228800</v>
      </c>
      <c r="U775" s="5">
        <v>0</v>
      </c>
      <c r="V775" s="4">
        <v>0</v>
      </c>
      <c r="W775" s="5">
        <v>0</v>
      </c>
      <c r="X775" s="4">
        <v>0</v>
      </c>
      <c r="Y775" s="4">
        <f t="shared" si="24"/>
        <v>228800</v>
      </c>
      <c r="Z775" s="6" t="s">
        <v>0</v>
      </c>
      <c r="AA775" t="s">
        <v>2</v>
      </c>
      <c r="AB775" t="s">
        <v>12</v>
      </c>
      <c r="AC775">
        <f>_xlfn.XLOOKUP(AB775,'[1]GST Codes'!$A:$A,'[1]GST Codes'!$C:$C,0,0)</f>
        <v>18</v>
      </c>
      <c r="AD775">
        <f t="shared" si="25"/>
        <v>269984</v>
      </c>
      <c r="AE775" t="s">
        <v>13</v>
      </c>
      <c r="AF775" t="s">
        <v>0</v>
      </c>
      <c r="AG775" t="s">
        <v>14</v>
      </c>
      <c r="AH775" t="s">
        <v>15</v>
      </c>
      <c r="AI775" t="s">
        <v>96</v>
      </c>
      <c r="AJ775" t="s">
        <v>17</v>
      </c>
      <c r="AK775" t="s">
        <v>18</v>
      </c>
      <c r="AL775" t="s">
        <v>19</v>
      </c>
      <c r="AM775" t="s">
        <v>363</v>
      </c>
      <c r="AN775" t="s">
        <v>0</v>
      </c>
      <c r="AO775" t="s">
        <v>0</v>
      </c>
      <c r="AP775" t="s">
        <v>0</v>
      </c>
      <c r="AQ775" s="5">
        <v>4</v>
      </c>
      <c r="AR775" t="s">
        <v>11</v>
      </c>
      <c r="AS775" t="s">
        <v>0</v>
      </c>
      <c r="AT775" t="s">
        <v>17</v>
      </c>
      <c r="AU775" s="4">
        <v>0</v>
      </c>
      <c r="AV775" s="4">
        <v>0</v>
      </c>
      <c r="AW775" s="4">
        <v>0</v>
      </c>
      <c r="AX775" s="4">
        <v>0</v>
      </c>
      <c r="AY775" s="5">
        <v>0</v>
      </c>
      <c r="AZ775" s="5">
        <v>0</v>
      </c>
      <c r="BA775" s="5">
        <v>0</v>
      </c>
      <c r="BB775" s="2"/>
      <c r="BC775" t="s">
        <v>0</v>
      </c>
      <c r="BD775" s="5">
        <v>1</v>
      </c>
      <c r="BE775" t="s">
        <v>0</v>
      </c>
      <c r="BF775" t="s">
        <v>365</v>
      </c>
      <c r="BG775" t="s">
        <v>17</v>
      </c>
      <c r="BH775" t="s">
        <v>0</v>
      </c>
      <c r="BI775" t="s">
        <v>11</v>
      </c>
      <c r="BJ775" t="s">
        <v>0</v>
      </c>
      <c r="BK775" t="s">
        <v>0</v>
      </c>
      <c r="BL775" s="5">
        <v>0</v>
      </c>
      <c r="BM775" t="s">
        <v>0</v>
      </c>
      <c r="BN775" t="s">
        <v>0</v>
      </c>
      <c r="BO775" t="s">
        <v>0</v>
      </c>
      <c r="BP775" t="s">
        <v>17</v>
      </c>
      <c r="BQ775" t="s">
        <v>0</v>
      </c>
      <c r="BR775" t="s">
        <v>17</v>
      </c>
      <c r="BS775" t="s">
        <v>17</v>
      </c>
      <c r="BT775" t="s">
        <v>0</v>
      </c>
      <c r="BU775" t="s">
        <v>0</v>
      </c>
      <c r="BV775" t="s">
        <v>0</v>
      </c>
      <c r="BW775" t="s">
        <v>0</v>
      </c>
      <c r="BX775" t="s">
        <v>0</v>
      </c>
      <c r="BY775" t="s">
        <v>0</v>
      </c>
      <c r="BZ775" t="s">
        <v>0</v>
      </c>
      <c r="CA775" t="s">
        <v>0</v>
      </c>
      <c r="CB775" t="s">
        <v>0</v>
      </c>
    </row>
    <row r="776" spans="1:80" ht="13.95" customHeight="1" x14ac:dyDescent="0.25">
      <c r="A776" t="s">
        <v>383</v>
      </c>
      <c r="B776" s="2">
        <v>46153</v>
      </c>
      <c r="C776" s="2">
        <v>46153</v>
      </c>
      <c r="D776" s="2">
        <v>46184</v>
      </c>
      <c r="E776" t="s">
        <v>2</v>
      </c>
      <c r="F776" t="s">
        <v>3</v>
      </c>
      <c r="G776" t="s">
        <v>0</v>
      </c>
      <c r="H776" t="s">
        <v>4</v>
      </c>
      <c r="I776" t="s">
        <v>363</v>
      </c>
      <c r="J776" t="s">
        <v>6</v>
      </c>
      <c r="K776" t="s">
        <v>225</v>
      </c>
      <c r="L776" t="s">
        <v>329</v>
      </c>
      <c r="M776" t="s">
        <v>339</v>
      </c>
      <c r="N776" t="s">
        <v>10</v>
      </c>
      <c r="O776" t="s">
        <v>0</v>
      </c>
      <c r="P776" t="s">
        <v>11</v>
      </c>
      <c r="Q776" s="5">
        <v>4</v>
      </c>
      <c r="R776" s="4">
        <v>57200</v>
      </c>
      <c r="S776" s="5">
        <v>1</v>
      </c>
      <c r="T776" s="4">
        <v>228800</v>
      </c>
      <c r="U776" s="5">
        <v>0</v>
      </c>
      <c r="V776" s="4">
        <v>0</v>
      </c>
      <c r="W776" s="5">
        <v>0</v>
      </c>
      <c r="X776" s="4">
        <v>0</v>
      </c>
      <c r="Y776" s="4">
        <f t="shared" si="24"/>
        <v>228800</v>
      </c>
      <c r="Z776" s="6" t="s">
        <v>0</v>
      </c>
      <c r="AA776" t="s">
        <v>2</v>
      </c>
      <c r="AB776" t="s">
        <v>12</v>
      </c>
      <c r="AC776">
        <f>_xlfn.XLOOKUP(AB776,'[1]GST Codes'!$A:$A,'[1]GST Codes'!$C:$C,0,0)</f>
        <v>18</v>
      </c>
      <c r="AD776">
        <f t="shared" si="25"/>
        <v>269984</v>
      </c>
      <c r="AE776" t="s">
        <v>13</v>
      </c>
      <c r="AF776" t="s">
        <v>0</v>
      </c>
      <c r="AG776" t="s">
        <v>14</v>
      </c>
      <c r="AH776" t="s">
        <v>15</v>
      </c>
      <c r="AI776" t="s">
        <v>96</v>
      </c>
      <c r="AJ776" t="s">
        <v>17</v>
      </c>
      <c r="AK776" t="s">
        <v>18</v>
      </c>
      <c r="AL776" t="s">
        <v>19</v>
      </c>
      <c r="AM776" t="s">
        <v>363</v>
      </c>
      <c r="AN776" t="s">
        <v>0</v>
      </c>
      <c r="AO776" t="s">
        <v>0</v>
      </c>
      <c r="AP776" t="s">
        <v>0</v>
      </c>
      <c r="AQ776" s="5">
        <v>4</v>
      </c>
      <c r="AR776" t="s">
        <v>11</v>
      </c>
      <c r="AS776" t="s">
        <v>0</v>
      </c>
      <c r="AT776" t="s">
        <v>17</v>
      </c>
      <c r="AU776" s="4">
        <v>0</v>
      </c>
      <c r="AV776" s="4">
        <v>0</v>
      </c>
      <c r="AW776" s="4">
        <v>0</v>
      </c>
      <c r="AX776" s="4">
        <v>0</v>
      </c>
      <c r="AY776" s="5">
        <v>0</v>
      </c>
      <c r="AZ776" s="5">
        <v>0</v>
      </c>
      <c r="BA776" s="5">
        <v>0</v>
      </c>
      <c r="BB776" s="2"/>
      <c r="BC776" t="s">
        <v>0</v>
      </c>
      <c r="BD776" s="5">
        <v>1</v>
      </c>
      <c r="BE776" t="s">
        <v>0</v>
      </c>
      <c r="BF776" t="s">
        <v>365</v>
      </c>
      <c r="BG776" t="s">
        <v>17</v>
      </c>
      <c r="BH776" t="s">
        <v>0</v>
      </c>
      <c r="BI776" t="s">
        <v>11</v>
      </c>
      <c r="BJ776" t="s">
        <v>0</v>
      </c>
      <c r="BK776" t="s">
        <v>0</v>
      </c>
      <c r="BL776" s="5">
        <v>0</v>
      </c>
      <c r="BM776" t="s">
        <v>0</v>
      </c>
      <c r="BN776" t="s">
        <v>0</v>
      </c>
      <c r="BO776" t="s">
        <v>0</v>
      </c>
      <c r="BP776" t="s">
        <v>17</v>
      </c>
      <c r="BQ776" t="s">
        <v>0</v>
      </c>
      <c r="BR776" t="s">
        <v>17</v>
      </c>
      <c r="BS776" t="s">
        <v>17</v>
      </c>
      <c r="BT776" t="s">
        <v>0</v>
      </c>
      <c r="BU776" t="s">
        <v>0</v>
      </c>
      <c r="BV776" t="s">
        <v>0</v>
      </c>
      <c r="BW776" t="s">
        <v>0</v>
      </c>
      <c r="BX776" t="s">
        <v>0</v>
      </c>
      <c r="BY776" t="s">
        <v>0</v>
      </c>
      <c r="BZ776" t="s">
        <v>0</v>
      </c>
      <c r="CA776" t="s">
        <v>0</v>
      </c>
      <c r="CB776" t="s">
        <v>0</v>
      </c>
    </row>
    <row r="777" spans="1:80" ht="13.95" customHeight="1" x14ac:dyDescent="0.25">
      <c r="A777" t="s">
        <v>384</v>
      </c>
      <c r="B777" s="2">
        <v>45625</v>
      </c>
      <c r="C777" s="2">
        <v>45625</v>
      </c>
      <c r="D777" s="2">
        <v>45654</v>
      </c>
      <c r="E777" t="s">
        <v>2</v>
      </c>
      <c r="F777" t="s">
        <v>3</v>
      </c>
      <c r="G777" t="s">
        <v>0</v>
      </c>
      <c r="H777" t="s">
        <v>4</v>
      </c>
      <c r="I777" t="s">
        <v>385</v>
      </c>
      <c r="J777" t="s">
        <v>6</v>
      </c>
      <c r="K777" t="s">
        <v>7</v>
      </c>
      <c r="L777" t="s">
        <v>386</v>
      </c>
      <c r="M777" t="s">
        <v>387</v>
      </c>
      <c r="N777" t="s">
        <v>10</v>
      </c>
      <c r="O777" t="s">
        <v>0</v>
      </c>
      <c r="P777" t="s">
        <v>11</v>
      </c>
      <c r="Q777" s="5">
        <v>15</v>
      </c>
      <c r="R777" s="4">
        <v>55950</v>
      </c>
      <c r="S777" s="5">
        <v>1</v>
      </c>
      <c r="T777" s="4">
        <v>839250</v>
      </c>
      <c r="U777" s="5">
        <v>0</v>
      </c>
      <c r="V777" s="4">
        <v>0</v>
      </c>
      <c r="W777" s="5">
        <v>0</v>
      </c>
      <c r="X777" s="4">
        <v>0</v>
      </c>
      <c r="Y777" s="4">
        <f t="shared" si="24"/>
        <v>839250</v>
      </c>
      <c r="Z777" s="6" t="s">
        <v>0</v>
      </c>
      <c r="AA777" t="s">
        <v>2</v>
      </c>
      <c r="AB777" t="s">
        <v>103</v>
      </c>
      <c r="AC777">
        <f>_xlfn.XLOOKUP(AB777,'[1]GST Codes'!$A:$A,'[1]GST Codes'!$C:$C,0,0)</f>
        <v>18</v>
      </c>
      <c r="AD777">
        <f t="shared" si="25"/>
        <v>990315</v>
      </c>
      <c r="AE777" t="s">
        <v>13</v>
      </c>
      <c r="AF777" t="s">
        <v>0</v>
      </c>
      <c r="AG777" t="s">
        <v>14</v>
      </c>
      <c r="AH777" t="s">
        <v>15</v>
      </c>
      <c r="AI777" t="s">
        <v>16</v>
      </c>
      <c r="AJ777" t="s">
        <v>17</v>
      </c>
      <c r="AK777" t="s">
        <v>18</v>
      </c>
      <c r="AL777" t="s">
        <v>19</v>
      </c>
      <c r="AM777" t="s">
        <v>388</v>
      </c>
      <c r="AN777" t="s">
        <v>0</v>
      </c>
      <c r="AO777" t="s">
        <v>0</v>
      </c>
      <c r="AP777" t="s">
        <v>0</v>
      </c>
      <c r="AQ777" s="5">
        <v>15</v>
      </c>
      <c r="AR777" t="s">
        <v>11</v>
      </c>
      <c r="AS777" t="s">
        <v>0</v>
      </c>
      <c r="AT777" t="s">
        <v>17</v>
      </c>
      <c r="AU777" s="4">
        <v>0</v>
      </c>
      <c r="AV777" s="4">
        <v>0</v>
      </c>
      <c r="AW777" s="4">
        <v>0</v>
      </c>
      <c r="AX777" s="4">
        <v>0</v>
      </c>
      <c r="AY777" s="5">
        <v>0</v>
      </c>
      <c r="AZ777" s="5">
        <v>0</v>
      </c>
      <c r="BA777" s="5">
        <v>0</v>
      </c>
      <c r="BB777" s="2"/>
      <c r="BC777" t="s">
        <v>0</v>
      </c>
      <c r="BD777" s="5">
        <v>1</v>
      </c>
      <c r="BE777" t="s">
        <v>0</v>
      </c>
      <c r="BF777" t="s">
        <v>389</v>
      </c>
      <c r="BG777" t="s">
        <v>17</v>
      </c>
      <c r="BH777" t="s">
        <v>0</v>
      </c>
      <c r="BI777" t="s">
        <v>11</v>
      </c>
      <c r="BJ777" t="s">
        <v>0</v>
      </c>
      <c r="BK777" t="s">
        <v>0</v>
      </c>
      <c r="BL777" s="5">
        <v>0</v>
      </c>
      <c r="BM777" t="s">
        <v>0</v>
      </c>
      <c r="BN777" t="s">
        <v>0</v>
      </c>
      <c r="BO777" t="s">
        <v>0</v>
      </c>
      <c r="BP777" t="s">
        <v>17</v>
      </c>
      <c r="BQ777" t="s">
        <v>0</v>
      </c>
      <c r="BR777" t="s">
        <v>17</v>
      </c>
      <c r="BS777" t="s">
        <v>17</v>
      </c>
      <c r="BT777" t="s">
        <v>0</v>
      </c>
      <c r="BU777" t="s">
        <v>0</v>
      </c>
      <c r="BV777" t="s">
        <v>0</v>
      </c>
      <c r="BW777" t="s">
        <v>0</v>
      </c>
      <c r="BX777" t="s">
        <v>0</v>
      </c>
      <c r="BY777" t="s">
        <v>0</v>
      </c>
      <c r="BZ777" t="s">
        <v>0</v>
      </c>
      <c r="CA777" t="s">
        <v>0</v>
      </c>
      <c r="CB777" t="s">
        <v>0</v>
      </c>
    </row>
    <row r="778" spans="1:80" ht="13.95" customHeight="1" x14ac:dyDescent="0.25">
      <c r="A778" t="s">
        <v>384</v>
      </c>
      <c r="B778" s="2">
        <v>45625</v>
      </c>
      <c r="C778" s="2">
        <v>45625</v>
      </c>
      <c r="D778" s="2">
        <v>45654</v>
      </c>
      <c r="E778" t="s">
        <v>2</v>
      </c>
      <c r="F778" t="s">
        <v>3</v>
      </c>
      <c r="G778" t="s">
        <v>0</v>
      </c>
      <c r="H778" t="s">
        <v>4</v>
      </c>
      <c r="I778" t="s">
        <v>385</v>
      </c>
      <c r="J778" t="s">
        <v>6</v>
      </c>
      <c r="K778" t="s">
        <v>22</v>
      </c>
      <c r="L778" t="s">
        <v>390</v>
      </c>
      <c r="M778" t="s">
        <v>391</v>
      </c>
      <c r="N778" t="s">
        <v>10</v>
      </c>
      <c r="O778" t="s">
        <v>0</v>
      </c>
      <c r="P778" t="s">
        <v>11</v>
      </c>
      <c r="Q778" s="5">
        <v>52</v>
      </c>
      <c r="R778" s="4">
        <v>54450</v>
      </c>
      <c r="S778" s="5">
        <v>1</v>
      </c>
      <c r="T778" s="4">
        <v>2831400</v>
      </c>
      <c r="U778" s="5">
        <v>0</v>
      </c>
      <c r="V778" s="4">
        <v>0</v>
      </c>
      <c r="W778" s="5">
        <v>0</v>
      </c>
      <c r="X778" s="4">
        <v>0</v>
      </c>
      <c r="Y778" s="4">
        <f t="shared" si="24"/>
        <v>2831400</v>
      </c>
      <c r="Z778" s="6" t="s">
        <v>0</v>
      </c>
      <c r="AA778" t="s">
        <v>2</v>
      </c>
      <c r="AB778" t="s">
        <v>103</v>
      </c>
      <c r="AC778">
        <f>_xlfn.XLOOKUP(AB778,'[1]GST Codes'!$A:$A,'[1]GST Codes'!$C:$C,0,0)</f>
        <v>18</v>
      </c>
      <c r="AD778">
        <f t="shared" si="25"/>
        <v>3341052</v>
      </c>
      <c r="AE778" t="s">
        <v>13</v>
      </c>
      <c r="AF778" t="s">
        <v>0</v>
      </c>
      <c r="AG778" t="s">
        <v>14</v>
      </c>
      <c r="AH778" t="s">
        <v>15</v>
      </c>
      <c r="AI778" t="s">
        <v>16</v>
      </c>
      <c r="AJ778" t="s">
        <v>17</v>
      </c>
      <c r="AK778" t="s">
        <v>18</v>
      </c>
      <c r="AL778" t="s">
        <v>19</v>
      </c>
      <c r="AM778" t="s">
        <v>388</v>
      </c>
      <c r="AN778" t="s">
        <v>0</v>
      </c>
      <c r="AO778" t="s">
        <v>0</v>
      </c>
      <c r="AP778" t="s">
        <v>0</v>
      </c>
      <c r="AQ778" s="5">
        <v>52</v>
      </c>
      <c r="AR778" t="s">
        <v>11</v>
      </c>
      <c r="AS778" t="s">
        <v>0</v>
      </c>
      <c r="AT778" t="s">
        <v>17</v>
      </c>
      <c r="AU778" s="4">
        <v>0</v>
      </c>
      <c r="AV778" s="4">
        <v>0</v>
      </c>
      <c r="AW778" s="4">
        <v>0</v>
      </c>
      <c r="AX778" s="4">
        <v>0</v>
      </c>
      <c r="AY778" s="5">
        <v>0</v>
      </c>
      <c r="AZ778" s="5">
        <v>0</v>
      </c>
      <c r="BA778" s="5">
        <v>0</v>
      </c>
      <c r="BB778" s="2"/>
      <c r="BC778" t="s">
        <v>0</v>
      </c>
      <c r="BD778" s="5">
        <v>1</v>
      </c>
      <c r="BE778" t="s">
        <v>0</v>
      </c>
      <c r="BF778" t="s">
        <v>392</v>
      </c>
      <c r="BG778" t="s">
        <v>17</v>
      </c>
      <c r="BH778" t="s">
        <v>0</v>
      </c>
      <c r="BI778" t="s">
        <v>11</v>
      </c>
      <c r="BJ778" t="s">
        <v>0</v>
      </c>
      <c r="BK778" t="s">
        <v>0</v>
      </c>
      <c r="BL778" s="5">
        <v>0</v>
      </c>
      <c r="BM778" t="s">
        <v>0</v>
      </c>
      <c r="BN778" t="s">
        <v>0</v>
      </c>
      <c r="BO778" t="s">
        <v>0</v>
      </c>
      <c r="BP778" t="s">
        <v>17</v>
      </c>
      <c r="BQ778" t="s">
        <v>0</v>
      </c>
      <c r="BR778" t="s">
        <v>17</v>
      </c>
      <c r="BS778" t="s">
        <v>17</v>
      </c>
      <c r="BT778" t="s">
        <v>0</v>
      </c>
      <c r="BU778" t="s">
        <v>0</v>
      </c>
      <c r="BV778" t="s">
        <v>0</v>
      </c>
      <c r="BW778" t="s">
        <v>0</v>
      </c>
      <c r="BX778" t="s">
        <v>0</v>
      </c>
      <c r="BY778" t="s">
        <v>0</v>
      </c>
      <c r="BZ778" t="s">
        <v>0</v>
      </c>
      <c r="CA778" t="s">
        <v>0</v>
      </c>
      <c r="CB778" t="s">
        <v>0</v>
      </c>
    </row>
    <row r="779" spans="1:80" ht="13.95" customHeight="1" x14ac:dyDescent="0.25">
      <c r="A779" t="s">
        <v>384</v>
      </c>
      <c r="B779" s="2">
        <v>45625</v>
      </c>
      <c r="C779" s="2">
        <v>45625</v>
      </c>
      <c r="D779" s="2">
        <v>45654</v>
      </c>
      <c r="E779" t="s">
        <v>2</v>
      </c>
      <c r="F779" t="s">
        <v>3</v>
      </c>
      <c r="G779" t="s">
        <v>0</v>
      </c>
      <c r="H779" t="s">
        <v>4</v>
      </c>
      <c r="I779" t="s">
        <v>385</v>
      </c>
      <c r="J779" t="s">
        <v>6</v>
      </c>
      <c r="K779" t="s">
        <v>26</v>
      </c>
      <c r="L779" t="s">
        <v>390</v>
      </c>
      <c r="M779" t="s">
        <v>391</v>
      </c>
      <c r="N779" t="s">
        <v>10</v>
      </c>
      <c r="O779" t="s">
        <v>0</v>
      </c>
      <c r="P779" t="s">
        <v>11</v>
      </c>
      <c r="Q779" s="5">
        <v>51</v>
      </c>
      <c r="R779" s="4">
        <v>54450</v>
      </c>
      <c r="S779" s="5">
        <v>1</v>
      </c>
      <c r="T779" s="4">
        <v>2776950</v>
      </c>
      <c r="U779" s="5">
        <v>0</v>
      </c>
      <c r="V779" s="4">
        <v>0</v>
      </c>
      <c r="W779" s="5">
        <v>0</v>
      </c>
      <c r="X779" s="4">
        <v>0</v>
      </c>
      <c r="Y779" s="4">
        <f t="shared" si="24"/>
        <v>2776950</v>
      </c>
      <c r="Z779" s="6" t="s">
        <v>0</v>
      </c>
      <c r="AA779" t="s">
        <v>2</v>
      </c>
      <c r="AB779" t="s">
        <v>103</v>
      </c>
      <c r="AC779">
        <f>_xlfn.XLOOKUP(AB779,'[1]GST Codes'!$A:$A,'[1]GST Codes'!$C:$C,0,0)</f>
        <v>18</v>
      </c>
      <c r="AD779">
        <f t="shared" si="25"/>
        <v>3276801</v>
      </c>
      <c r="AE779" t="s">
        <v>13</v>
      </c>
      <c r="AF779" t="s">
        <v>0</v>
      </c>
      <c r="AG779" t="s">
        <v>14</v>
      </c>
      <c r="AH779" t="s">
        <v>15</v>
      </c>
      <c r="AI779" t="s">
        <v>16</v>
      </c>
      <c r="AJ779" t="s">
        <v>17</v>
      </c>
      <c r="AK779" t="s">
        <v>18</v>
      </c>
      <c r="AL779" t="s">
        <v>19</v>
      </c>
      <c r="AM779" t="s">
        <v>388</v>
      </c>
      <c r="AN779" t="s">
        <v>0</v>
      </c>
      <c r="AO779" t="s">
        <v>0</v>
      </c>
      <c r="AP779" t="s">
        <v>0</v>
      </c>
      <c r="AQ779" s="5">
        <v>51</v>
      </c>
      <c r="AR779" t="s">
        <v>11</v>
      </c>
      <c r="AS779" t="s">
        <v>0</v>
      </c>
      <c r="AT779" t="s">
        <v>17</v>
      </c>
      <c r="AU779" s="4">
        <v>0</v>
      </c>
      <c r="AV779" s="4">
        <v>0</v>
      </c>
      <c r="AW779" s="4">
        <v>0</v>
      </c>
      <c r="AX779" s="4">
        <v>0</v>
      </c>
      <c r="AY779" s="5">
        <v>0</v>
      </c>
      <c r="AZ779" s="5">
        <v>0</v>
      </c>
      <c r="BA779" s="5">
        <v>0</v>
      </c>
      <c r="BB779" s="2"/>
      <c r="BC779" t="s">
        <v>0</v>
      </c>
      <c r="BD779" s="5">
        <v>1</v>
      </c>
      <c r="BE779" t="s">
        <v>0</v>
      </c>
      <c r="BF779" t="s">
        <v>392</v>
      </c>
      <c r="BG779" t="s">
        <v>17</v>
      </c>
      <c r="BH779" t="s">
        <v>0</v>
      </c>
      <c r="BI779" t="s">
        <v>11</v>
      </c>
      <c r="BJ779" t="s">
        <v>0</v>
      </c>
      <c r="BK779" t="s">
        <v>0</v>
      </c>
      <c r="BL779" s="5">
        <v>0</v>
      </c>
      <c r="BM779" t="s">
        <v>0</v>
      </c>
      <c r="BN779" t="s">
        <v>0</v>
      </c>
      <c r="BO779" t="s">
        <v>0</v>
      </c>
      <c r="BP779" t="s">
        <v>17</v>
      </c>
      <c r="BQ779" t="s">
        <v>0</v>
      </c>
      <c r="BR779" t="s">
        <v>17</v>
      </c>
      <c r="BS779" t="s">
        <v>17</v>
      </c>
      <c r="BT779" t="s">
        <v>0</v>
      </c>
      <c r="BU779" t="s">
        <v>0</v>
      </c>
      <c r="BV779" t="s">
        <v>0</v>
      </c>
      <c r="BW779" t="s">
        <v>0</v>
      </c>
      <c r="BX779" t="s">
        <v>0</v>
      </c>
      <c r="BY779" t="s">
        <v>0</v>
      </c>
      <c r="BZ779" t="s">
        <v>0</v>
      </c>
      <c r="CA779" t="s">
        <v>0</v>
      </c>
      <c r="CB779" t="s">
        <v>0</v>
      </c>
    </row>
    <row r="780" spans="1:80" ht="13.95" customHeight="1" x14ac:dyDescent="0.25">
      <c r="A780" t="s">
        <v>384</v>
      </c>
      <c r="B780" s="2">
        <v>45625</v>
      </c>
      <c r="C780" s="2">
        <v>45625</v>
      </c>
      <c r="D780" s="2">
        <v>45654</v>
      </c>
      <c r="E780" t="s">
        <v>2</v>
      </c>
      <c r="F780" t="s">
        <v>3</v>
      </c>
      <c r="G780" t="s">
        <v>0</v>
      </c>
      <c r="H780" t="s">
        <v>4</v>
      </c>
      <c r="I780" t="s">
        <v>385</v>
      </c>
      <c r="J780" t="s">
        <v>6</v>
      </c>
      <c r="K780" t="s">
        <v>30</v>
      </c>
      <c r="L780" t="s">
        <v>390</v>
      </c>
      <c r="M780" t="s">
        <v>391</v>
      </c>
      <c r="N780" t="s">
        <v>10</v>
      </c>
      <c r="O780" t="s">
        <v>0</v>
      </c>
      <c r="P780" t="s">
        <v>11</v>
      </c>
      <c r="Q780" s="5">
        <v>4</v>
      </c>
      <c r="R780" s="4">
        <v>54450</v>
      </c>
      <c r="S780" s="5">
        <v>1</v>
      </c>
      <c r="T780" s="4">
        <v>217800</v>
      </c>
      <c r="U780" s="5">
        <v>0</v>
      </c>
      <c r="V780" s="4">
        <v>0</v>
      </c>
      <c r="W780" s="5">
        <v>0</v>
      </c>
      <c r="X780" s="4">
        <v>0</v>
      </c>
      <c r="Y780" s="4">
        <f t="shared" si="24"/>
        <v>217800</v>
      </c>
      <c r="Z780" s="6" t="s">
        <v>0</v>
      </c>
      <c r="AA780" t="s">
        <v>2</v>
      </c>
      <c r="AB780" t="s">
        <v>103</v>
      </c>
      <c r="AC780">
        <f>_xlfn.XLOOKUP(AB780,'[1]GST Codes'!$A:$A,'[1]GST Codes'!$C:$C,0,0)</f>
        <v>18</v>
      </c>
      <c r="AD780">
        <f t="shared" si="25"/>
        <v>257004</v>
      </c>
      <c r="AE780" t="s">
        <v>13</v>
      </c>
      <c r="AF780" t="s">
        <v>0</v>
      </c>
      <c r="AG780" t="s">
        <v>14</v>
      </c>
      <c r="AH780" t="s">
        <v>15</v>
      </c>
      <c r="AI780" t="s">
        <v>16</v>
      </c>
      <c r="AJ780" t="s">
        <v>17</v>
      </c>
      <c r="AK780" t="s">
        <v>18</v>
      </c>
      <c r="AL780" t="s">
        <v>19</v>
      </c>
      <c r="AM780" t="s">
        <v>388</v>
      </c>
      <c r="AN780" t="s">
        <v>0</v>
      </c>
      <c r="AO780" t="s">
        <v>0</v>
      </c>
      <c r="AP780" t="s">
        <v>0</v>
      </c>
      <c r="AQ780" s="5">
        <v>4</v>
      </c>
      <c r="AR780" t="s">
        <v>11</v>
      </c>
      <c r="AS780" t="s">
        <v>0</v>
      </c>
      <c r="AT780" t="s">
        <v>17</v>
      </c>
      <c r="AU780" s="4">
        <v>0</v>
      </c>
      <c r="AV780" s="4">
        <v>0</v>
      </c>
      <c r="AW780" s="4">
        <v>0</v>
      </c>
      <c r="AX780" s="4">
        <v>0</v>
      </c>
      <c r="AY780" s="5">
        <v>0</v>
      </c>
      <c r="AZ780" s="5">
        <v>0</v>
      </c>
      <c r="BA780" s="5">
        <v>0</v>
      </c>
      <c r="BB780" s="2"/>
      <c r="BC780" t="s">
        <v>0</v>
      </c>
      <c r="BD780" s="5">
        <v>1</v>
      </c>
      <c r="BE780" t="s">
        <v>0</v>
      </c>
      <c r="BF780" t="s">
        <v>392</v>
      </c>
      <c r="BG780" t="s">
        <v>17</v>
      </c>
      <c r="BH780" t="s">
        <v>0</v>
      </c>
      <c r="BI780" t="s">
        <v>11</v>
      </c>
      <c r="BJ780" t="s">
        <v>0</v>
      </c>
      <c r="BK780" t="s">
        <v>0</v>
      </c>
      <c r="BL780" s="5">
        <v>0</v>
      </c>
      <c r="BM780" t="s">
        <v>0</v>
      </c>
      <c r="BN780" t="s">
        <v>0</v>
      </c>
      <c r="BO780" t="s">
        <v>0</v>
      </c>
      <c r="BP780" t="s">
        <v>17</v>
      </c>
      <c r="BQ780" t="s">
        <v>0</v>
      </c>
      <c r="BR780" t="s">
        <v>17</v>
      </c>
      <c r="BS780" t="s">
        <v>17</v>
      </c>
      <c r="BT780" t="s">
        <v>0</v>
      </c>
      <c r="BU780" t="s">
        <v>0</v>
      </c>
      <c r="BV780" t="s">
        <v>0</v>
      </c>
      <c r="BW780" t="s">
        <v>0</v>
      </c>
      <c r="BX780" t="s">
        <v>0</v>
      </c>
      <c r="BY780" t="s">
        <v>0</v>
      </c>
      <c r="BZ780" t="s">
        <v>0</v>
      </c>
      <c r="CA780" t="s">
        <v>0</v>
      </c>
      <c r="CB780" t="s">
        <v>0</v>
      </c>
    </row>
    <row r="781" spans="1:80" ht="13.95" customHeight="1" x14ac:dyDescent="0.25">
      <c r="A781" t="s">
        <v>384</v>
      </c>
      <c r="B781" s="2">
        <v>45625</v>
      </c>
      <c r="C781" s="2">
        <v>45625</v>
      </c>
      <c r="D781" s="2">
        <v>45654</v>
      </c>
      <c r="E781" t="s">
        <v>2</v>
      </c>
      <c r="F781" t="s">
        <v>3</v>
      </c>
      <c r="G781" t="s">
        <v>0</v>
      </c>
      <c r="H781" t="s">
        <v>4</v>
      </c>
      <c r="I781" t="s">
        <v>385</v>
      </c>
      <c r="J781" t="s">
        <v>6</v>
      </c>
      <c r="K781" t="s">
        <v>34</v>
      </c>
      <c r="L781" t="s">
        <v>390</v>
      </c>
      <c r="M781" t="s">
        <v>391</v>
      </c>
      <c r="N781" t="s">
        <v>10</v>
      </c>
      <c r="O781" t="s">
        <v>0</v>
      </c>
      <c r="P781" t="s">
        <v>11</v>
      </c>
      <c r="Q781" s="5">
        <v>4</v>
      </c>
      <c r="R781" s="4">
        <v>54450</v>
      </c>
      <c r="S781" s="5">
        <v>1</v>
      </c>
      <c r="T781" s="4">
        <v>217800</v>
      </c>
      <c r="U781" s="5">
        <v>0</v>
      </c>
      <c r="V781" s="4">
        <v>0</v>
      </c>
      <c r="W781" s="5">
        <v>0</v>
      </c>
      <c r="X781" s="4">
        <v>0</v>
      </c>
      <c r="Y781" s="4">
        <f t="shared" si="24"/>
        <v>217800</v>
      </c>
      <c r="Z781" s="6" t="s">
        <v>0</v>
      </c>
      <c r="AA781" t="s">
        <v>2</v>
      </c>
      <c r="AB781" t="s">
        <v>103</v>
      </c>
      <c r="AC781">
        <f>_xlfn.XLOOKUP(AB781,'[1]GST Codes'!$A:$A,'[1]GST Codes'!$C:$C,0,0)</f>
        <v>18</v>
      </c>
      <c r="AD781">
        <f t="shared" si="25"/>
        <v>257004</v>
      </c>
      <c r="AE781" t="s">
        <v>13</v>
      </c>
      <c r="AF781" t="s">
        <v>0</v>
      </c>
      <c r="AG781" t="s">
        <v>14</v>
      </c>
      <c r="AH781" t="s">
        <v>15</v>
      </c>
      <c r="AI781" t="s">
        <v>16</v>
      </c>
      <c r="AJ781" t="s">
        <v>17</v>
      </c>
      <c r="AK781" t="s">
        <v>18</v>
      </c>
      <c r="AL781" t="s">
        <v>19</v>
      </c>
      <c r="AM781" t="s">
        <v>388</v>
      </c>
      <c r="AN781" t="s">
        <v>0</v>
      </c>
      <c r="AO781" t="s">
        <v>0</v>
      </c>
      <c r="AP781" t="s">
        <v>0</v>
      </c>
      <c r="AQ781" s="5">
        <v>4</v>
      </c>
      <c r="AR781" t="s">
        <v>11</v>
      </c>
      <c r="AS781" t="s">
        <v>0</v>
      </c>
      <c r="AT781" t="s">
        <v>17</v>
      </c>
      <c r="AU781" s="4">
        <v>0</v>
      </c>
      <c r="AV781" s="4">
        <v>0</v>
      </c>
      <c r="AW781" s="4">
        <v>0</v>
      </c>
      <c r="AX781" s="4">
        <v>0</v>
      </c>
      <c r="AY781" s="5">
        <v>0</v>
      </c>
      <c r="AZ781" s="5">
        <v>0</v>
      </c>
      <c r="BA781" s="5">
        <v>0</v>
      </c>
      <c r="BB781" s="2"/>
      <c r="BC781" t="s">
        <v>0</v>
      </c>
      <c r="BD781" s="5">
        <v>1</v>
      </c>
      <c r="BE781" t="s">
        <v>0</v>
      </c>
      <c r="BF781" t="s">
        <v>392</v>
      </c>
      <c r="BG781" t="s">
        <v>17</v>
      </c>
      <c r="BH781" t="s">
        <v>0</v>
      </c>
      <c r="BI781" t="s">
        <v>11</v>
      </c>
      <c r="BJ781" t="s">
        <v>0</v>
      </c>
      <c r="BK781" t="s">
        <v>0</v>
      </c>
      <c r="BL781" s="5">
        <v>0</v>
      </c>
      <c r="BM781" t="s">
        <v>0</v>
      </c>
      <c r="BN781" t="s">
        <v>0</v>
      </c>
      <c r="BO781" t="s">
        <v>0</v>
      </c>
      <c r="BP781" t="s">
        <v>17</v>
      </c>
      <c r="BQ781" t="s">
        <v>0</v>
      </c>
      <c r="BR781" t="s">
        <v>17</v>
      </c>
      <c r="BS781" t="s">
        <v>17</v>
      </c>
      <c r="BT781" t="s">
        <v>0</v>
      </c>
      <c r="BU781" t="s">
        <v>0</v>
      </c>
      <c r="BV781" t="s">
        <v>0</v>
      </c>
      <c r="BW781" t="s">
        <v>0</v>
      </c>
      <c r="BX781" t="s">
        <v>0</v>
      </c>
      <c r="BY781" t="s">
        <v>0</v>
      </c>
      <c r="BZ781" t="s">
        <v>0</v>
      </c>
      <c r="CA781" t="s">
        <v>0</v>
      </c>
      <c r="CB781" t="s">
        <v>0</v>
      </c>
    </row>
    <row r="782" spans="1:80" ht="13.95" customHeight="1" x14ac:dyDescent="0.25">
      <c r="A782" t="s">
        <v>384</v>
      </c>
      <c r="B782" s="2">
        <v>45625</v>
      </c>
      <c r="C782" s="2">
        <v>45625</v>
      </c>
      <c r="D782" s="2">
        <v>45654</v>
      </c>
      <c r="E782" t="s">
        <v>2</v>
      </c>
      <c r="F782" t="s">
        <v>3</v>
      </c>
      <c r="G782" t="s">
        <v>0</v>
      </c>
      <c r="H782" t="s">
        <v>4</v>
      </c>
      <c r="I782" t="s">
        <v>385</v>
      </c>
      <c r="J782" t="s">
        <v>6</v>
      </c>
      <c r="K782" t="s">
        <v>38</v>
      </c>
      <c r="L782" t="s">
        <v>390</v>
      </c>
      <c r="M782" t="s">
        <v>391</v>
      </c>
      <c r="N782" t="s">
        <v>10</v>
      </c>
      <c r="O782" t="s">
        <v>0</v>
      </c>
      <c r="P782" t="s">
        <v>11</v>
      </c>
      <c r="Q782" s="5">
        <v>37</v>
      </c>
      <c r="R782" s="4">
        <v>54450</v>
      </c>
      <c r="S782" s="5">
        <v>1</v>
      </c>
      <c r="T782" s="4">
        <v>2014650</v>
      </c>
      <c r="U782" s="5">
        <v>0</v>
      </c>
      <c r="V782" s="4">
        <v>0</v>
      </c>
      <c r="W782" s="5">
        <v>0</v>
      </c>
      <c r="X782" s="4">
        <v>0</v>
      </c>
      <c r="Y782" s="4">
        <f t="shared" si="24"/>
        <v>2014650</v>
      </c>
      <c r="Z782" s="6" t="s">
        <v>0</v>
      </c>
      <c r="AA782" t="s">
        <v>2</v>
      </c>
      <c r="AB782" t="s">
        <v>103</v>
      </c>
      <c r="AC782">
        <f>_xlfn.XLOOKUP(AB782,'[1]GST Codes'!$A:$A,'[1]GST Codes'!$C:$C,0,0)</f>
        <v>18</v>
      </c>
      <c r="AD782">
        <f t="shared" si="25"/>
        <v>2377287</v>
      </c>
      <c r="AE782" t="s">
        <v>13</v>
      </c>
      <c r="AF782" t="s">
        <v>0</v>
      </c>
      <c r="AG782" t="s">
        <v>14</v>
      </c>
      <c r="AH782" t="s">
        <v>15</v>
      </c>
      <c r="AI782" t="s">
        <v>16</v>
      </c>
      <c r="AJ782" t="s">
        <v>17</v>
      </c>
      <c r="AK782" t="s">
        <v>18</v>
      </c>
      <c r="AL782" t="s">
        <v>19</v>
      </c>
      <c r="AM782" t="s">
        <v>388</v>
      </c>
      <c r="AN782" t="s">
        <v>0</v>
      </c>
      <c r="AO782" t="s">
        <v>0</v>
      </c>
      <c r="AP782" t="s">
        <v>0</v>
      </c>
      <c r="AQ782" s="5">
        <v>37</v>
      </c>
      <c r="AR782" t="s">
        <v>11</v>
      </c>
      <c r="AS782" t="s">
        <v>0</v>
      </c>
      <c r="AT782" t="s">
        <v>17</v>
      </c>
      <c r="AU782" s="4">
        <v>0</v>
      </c>
      <c r="AV782" s="4">
        <v>0</v>
      </c>
      <c r="AW782" s="4">
        <v>0</v>
      </c>
      <c r="AX782" s="4">
        <v>0</v>
      </c>
      <c r="AY782" s="5">
        <v>0</v>
      </c>
      <c r="AZ782" s="5">
        <v>0</v>
      </c>
      <c r="BA782" s="5">
        <v>0</v>
      </c>
      <c r="BB782" s="2"/>
      <c r="BC782" t="s">
        <v>0</v>
      </c>
      <c r="BD782" s="5">
        <v>1</v>
      </c>
      <c r="BE782" t="s">
        <v>0</v>
      </c>
      <c r="BF782" t="s">
        <v>392</v>
      </c>
      <c r="BG782" t="s">
        <v>17</v>
      </c>
      <c r="BH782" t="s">
        <v>0</v>
      </c>
      <c r="BI782" t="s">
        <v>11</v>
      </c>
      <c r="BJ782" t="s">
        <v>0</v>
      </c>
      <c r="BK782" t="s">
        <v>0</v>
      </c>
      <c r="BL782" s="5">
        <v>0</v>
      </c>
      <c r="BM782" t="s">
        <v>0</v>
      </c>
      <c r="BN782" t="s">
        <v>0</v>
      </c>
      <c r="BO782" t="s">
        <v>0</v>
      </c>
      <c r="BP782" t="s">
        <v>17</v>
      </c>
      <c r="BQ782" t="s">
        <v>0</v>
      </c>
      <c r="BR782" t="s">
        <v>17</v>
      </c>
      <c r="BS782" t="s">
        <v>17</v>
      </c>
      <c r="BT782" t="s">
        <v>0</v>
      </c>
      <c r="BU782" t="s">
        <v>0</v>
      </c>
      <c r="BV782" t="s">
        <v>0</v>
      </c>
      <c r="BW782" t="s">
        <v>0</v>
      </c>
      <c r="BX782" t="s">
        <v>0</v>
      </c>
      <c r="BY782" t="s">
        <v>0</v>
      </c>
      <c r="BZ782" t="s">
        <v>0</v>
      </c>
      <c r="CA782" t="s">
        <v>0</v>
      </c>
      <c r="CB782" t="s">
        <v>0</v>
      </c>
    </row>
    <row r="783" spans="1:80" ht="13.95" customHeight="1" x14ac:dyDescent="0.25">
      <c r="A783" t="s">
        <v>384</v>
      </c>
      <c r="B783" s="2">
        <v>45625</v>
      </c>
      <c r="C783" s="2">
        <v>45625</v>
      </c>
      <c r="D783" s="2">
        <v>45654</v>
      </c>
      <c r="E783" t="s">
        <v>2</v>
      </c>
      <c r="F783" t="s">
        <v>3</v>
      </c>
      <c r="G783" t="s">
        <v>0</v>
      </c>
      <c r="H783" t="s">
        <v>4</v>
      </c>
      <c r="I783" t="s">
        <v>385</v>
      </c>
      <c r="J783" t="s">
        <v>6</v>
      </c>
      <c r="K783" t="s">
        <v>42</v>
      </c>
      <c r="L783" t="s">
        <v>390</v>
      </c>
      <c r="M783" t="s">
        <v>391</v>
      </c>
      <c r="N783" t="s">
        <v>10</v>
      </c>
      <c r="O783" t="s">
        <v>0</v>
      </c>
      <c r="P783" t="s">
        <v>11</v>
      </c>
      <c r="Q783" s="5">
        <v>37</v>
      </c>
      <c r="R783" s="4">
        <v>54450</v>
      </c>
      <c r="S783" s="5">
        <v>1</v>
      </c>
      <c r="T783" s="4">
        <v>2014650</v>
      </c>
      <c r="U783" s="5">
        <v>0</v>
      </c>
      <c r="V783" s="4">
        <v>0</v>
      </c>
      <c r="W783" s="5">
        <v>0</v>
      </c>
      <c r="X783" s="4">
        <v>0</v>
      </c>
      <c r="Y783" s="4">
        <f t="shared" si="24"/>
        <v>2014650</v>
      </c>
      <c r="Z783" s="6" t="s">
        <v>0</v>
      </c>
      <c r="AA783" t="s">
        <v>2</v>
      </c>
      <c r="AB783" t="s">
        <v>103</v>
      </c>
      <c r="AC783">
        <f>_xlfn.XLOOKUP(AB783,'[1]GST Codes'!$A:$A,'[1]GST Codes'!$C:$C,0,0)</f>
        <v>18</v>
      </c>
      <c r="AD783">
        <f t="shared" si="25"/>
        <v>2377287</v>
      </c>
      <c r="AE783" t="s">
        <v>13</v>
      </c>
      <c r="AF783" t="s">
        <v>0</v>
      </c>
      <c r="AG783" t="s">
        <v>14</v>
      </c>
      <c r="AH783" t="s">
        <v>15</v>
      </c>
      <c r="AI783" t="s">
        <v>16</v>
      </c>
      <c r="AJ783" t="s">
        <v>17</v>
      </c>
      <c r="AK783" t="s">
        <v>18</v>
      </c>
      <c r="AL783" t="s">
        <v>19</v>
      </c>
      <c r="AM783" t="s">
        <v>388</v>
      </c>
      <c r="AN783" t="s">
        <v>0</v>
      </c>
      <c r="AO783" t="s">
        <v>0</v>
      </c>
      <c r="AP783" t="s">
        <v>0</v>
      </c>
      <c r="AQ783" s="5">
        <v>37</v>
      </c>
      <c r="AR783" t="s">
        <v>11</v>
      </c>
      <c r="AS783" t="s">
        <v>0</v>
      </c>
      <c r="AT783" t="s">
        <v>17</v>
      </c>
      <c r="AU783" s="4">
        <v>0</v>
      </c>
      <c r="AV783" s="4">
        <v>0</v>
      </c>
      <c r="AW783" s="4">
        <v>0</v>
      </c>
      <c r="AX783" s="4">
        <v>0</v>
      </c>
      <c r="AY783" s="5">
        <v>0</v>
      </c>
      <c r="AZ783" s="5">
        <v>0</v>
      </c>
      <c r="BA783" s="5">
        <v>0</v>
      </c>
      <c r="BB783" s="2"/>
      <c r="BC783" t="s">
        <v>0</v>
      </c>
      <c r="BD783" s="5">
        <v>1</v>
      </c>
      <c r="BE783" t="s">
        <v>0</v>
      </c>
      <c r="BF783" t="s">
        <v>392</v>
      </c>
      <c r="BG783" t="s">
        <v>17</v>
      </c>
      <c r="BH783" t="s">
        <v>0</v>
      </c>
      <c r="BI783" t="s">
        <v>11</v>
      </c>
      <c r="BJ783" t="s">
        <v>0</v>
      </c>
      <c r="BK783" t="s">
        <v>0</v>
      </c>
      <c r="BL783" s="5">
        <v>0</v>
      </c>
      <c r="BM783" t="s">
        <v>0</v>
      </c>
      <c r="BN783" t="s">
        <v>0</v>
      </c>
      <c r="BO783" t="s">
        <v>0</v>
      </c>
      <c r="BP783" t="s">
        <v>17</v>
      </c>
      <c r="BQ783" t="s">
        <v>0</v>
      </c>
      <c r="BR783" t="s">
        <v>17</v>
      </c>
      <c r="BS783" t="s">
        <v>17</v>
      </c>
      <c r="BT783" t="s">
        <v>0</v>
      </c>
      <c r="BU783" t="s">
        <v>0</v>
      </c>
      <c r="BV783" t="s">
        <v>0</v>
      </c>
      <c r="BW783" t="s">
        <v>0</v>
      </c>
      <c r="BX783" t="s">
        <v>0</v>
      </c>
      <c r="BY783" t="s">
        <v>0</v>
      </c>
      <c r="BZ783" t="s">
        <v>0</v>
      </c>
      <c r="CA783" t="s">
        <v>0</v>
      </c>
      <c r="CB783" t="s">
        <v>0</v>
      </c>
    </row>
    <row r="784" spans="1:80" ht="13.95" customHeight="1" x14ac:dyDescent="0.25">
      <c r="A784" t="s">
        <v>384</v>
      </c>
      <c r="B784" s="2">
        <v>45625</v>
      </c>
      <c r="C784" s="2">
        <v>45625</v>
      </c>
      <c r="D784" s="2">
        <v>45654</v>
      </c>
      <c r="E784" t="s">
        <v>2</v>
      </c>
      <c r="F784" t="s">
        <v>3</v>
      </c>
      <c r="G784" t="s">
        <v>0</v>
      </c>
      <c r="H784" t="s">
        <v>4</v>
      </c>
      <c r="I784" t="s">
        <v>385</v>
      </c>
      <c r="J784" t="s">
        <v>6</v>
      </c>
      <c r="K784" t="s">
        <v>86</v>
      </c>
      <c r="L784" t="s">
        <v>390</v>
      </c>
      <c r="M784" t="s">
        <v>391</v>
      </c>
      <c r="N784" t="s">
        <v>10</v>
      </c>
      <c r="O784" t="s">
        <v>0</v>
      </c>
      <c r="P784" t="s">
        <v>11</v>
      </c>
      <c r="Q784" s="5">
        <v>58</v>
      </c>
      <c r="R784" s="4">
        <v>54450</v>
      </c>
      <c r="S784" s="5">
        <v>1</v>
      </c>
      <c r="T784" s="4">
        <v>3158100</v>
      </c>
      <c r="U784" s="5">
        <v>0</v>
      </c>
      <c r="V784" s="4">
        <v>0</v>
      </c>
      <c r="W784" s="5">
        <v>0</v>
      </c>
      <c r="X784" s="4">
        <v>0</v>
      </c>
      <c r="Y784" s="4">
        <f t="shared" si="24"/>
        <v>3158100</v>
      </c>
      <c r="Z784" s="6" t="s">
        <v>0</v>
      </c>
      <c r="AA784" t="s">
        <v>2</v>
      </c>
      <c r="AB784" t="s">
        <v>103</v>
      </c>
      <c r="AC784">
        <f>_xlfn.XLOOKUP(AB784,'[1]GST Codes'!$A:$A,'[1]GST Codes'!$C:$C,0,0)</f>
        <v>18</v>
      </c>
      <c r="AD784">
        <f t="shared" si="25"/>
        <v>3726558</v>
      </c>
      <c r="AE784" t="s">
        <v>13</v>
      </c>
      <c r="AF784" t="s">
        <v>0</v>
      </c>
      <c r="AG784" t="s">
        <v>14</v>
      </c>
      <c r="AH784" t="s">
        <v>15</v>
      </c>
      <c r="AI784" t="s">
        <v>16</v>
      </c>
      <c r="AJ784" t="s">
        <v>17</v>
      </c>
      <c r="AK784" t="s">
        <v>18</v>
      </c>
      <c r="AL784" t="s">
        <v>19</v>
      </c>
      <c r="AM784" t="s">
        <v>388</v>
      </c>
      <c r="AN784" t="s">
        <v>0</v>
      </c>
      <c r="AO784" t="s">
        <v>0</v>
      </c>
      <c r="AP784" t="s">
        <v>0</v>
      </c>
      <c r="AQ784" s="5">
        <v>58</v>
      </c>
      <c r="AR784" t="s">
        <v>11</v>
      </c>
      <c r="AS784" t="s">
        <v>0</v>
      </c>
      <c r="AT784" t="s">
        <v>17</v>
      </c>
      <c r="AU784" s="4">
        <v>0</v>
      </c>
      <c r="AV784" s="4">
        <v>0</v>
      </c>
      <c r="AW784" s="4">
        <v>0</v>
      </c>
      <c r="AX784" s="4">
        <v>0</v>
      </c>
      <c r="AY784" s="5">
        <v>0</v>
      </c>
      <c r="AZ784" s="5">
        <v>0</v>
      </c>
      <c r="BA784" s="5">
        <v>0</v>
      </c>
      <c r="BB784" s="2"/>
      <c r="BC784" t="s">
        <v>0</v>
      </c>
      <c r="BD784" s="5">
        <v>1</v>
      </c>
      <c r="BE784" t="s">
        <v>0</v>
      </c>
      <c r="BF784" t="s">
        <v>392</v>
      </c>
      <c r="BG784" t="s">
        <v>17</v>
      </c>
      <c r="BH784" t="s">
        <v>0</v>
      </c>
      <c r="BI784" t="s">
        <v>11</v>
      </c>
      <c r="BJ784" t="s">
        <v>0</v>
      </c>
      <c r="BK784" t="s">
        <v>0</v>
      </c>
      <c r="BL784" s="5">
        <v>0</v>
      </c>
      <c r="BM784" t="s">
        <v>0</v>
      </c>
      <c r="BN784" t="s">
        <v>0</v>
      </c>
      <c r="BO784" t="s">
        <v>0</v>
      </c>
      <c r="BP784" t="s">
        <v>17</v>
      </c>
      <c r="BQ784" t="s">
        <v>0</v>
      </c>
      <c r="BR784" t="s">
        <v>17</v>
      </c>
      <c r="BS784" t="s">
        <v>17</v>
      </c>
      <c r="BT784" t="s">
        <v>0</v>
      </c>
      <c r="BU784" t="s">
        <v>0</v>
      </c>
      <c r="BV784" t="s">
        <v>0</v>
      </c>
      <c r="BW784" t="s">
        <v>0</v>
      </c>
      <c r="BX784" t="s">
        <v>0</v>
      </c>
      <c r="BY784" t="s">
        <v>0</v>
      </c>
      <c r="BZ784" t="s">
        <v>0</v>
      </c>
      <c r="CA784" t="s">
        <v>0</v>
      </c>
      <c r="CB784" t="s">
        <v>0</v>
      </c>
    </row>
    <row r="785" spans="1:80" ht="13.95" customHeight="1" x14ac:dyDescent="0.25">
      <c r="A785" t="s">
        <v>384</v>
      </c>
      <c r="B785" s="2">
        <v>45625</v>
      </c>
      <c r="C785" s="2">
        <v>45625</v>
      </c>
      <c r="D785" s="2">
        <v>45654</v>
      </c>
      <c r="E785" t="s">
        <v>2</v>
      </c>
      <c r="F785" t="s">
        <v>3</v>
      </c>
      <c r="G785" t="s">
        <v>0</v>
      </c>
      <c r="H785" t="s">
        <v>4</v>
      </c>
      <c r="I785" t="s">
        <v>385</v>
      </c>
      <c r="J785" t="s">
        <v>6</v>
      </c>
      <c r="K785" t="s">
        <v>87</v>
      </c>
      <c r="L785" t="s">
        <v>393</v>
      </c>
      <c r="M785" t="s">
        <v>394</v>
      </c>
      <c r="N785" t="s">
        <v>10</v>
      </c>
      <c r="O785" t="s">
        <v>0</v>
      </c>
      <c r="P785" t="s">
        <v>11</v>
      </c>
      <c r="Q785" s="5">
        <v>20</v>
      </c>
      <c r="R785" s="4">
        <v>53950</v>
      </c>
      <c r="S785" s="5">
        <v>1</v>
      </c>
      <c r="T785" s="4">
        <v>1079000</v>
      </c>
      <c r="U785" s="5">
        <v>0</v>
      </c>
      <c r="V785" s="4">
        <v>0</v>
      </c>
      <c r="W785" s="5">
        <v>0</v>
      </c>
      <c r="X785" s="4">
        <v>0</v>
      </c>
      <c r="Y785" s="4">
        <f t="shared" si="24"/>
        <v>1079000</v>
      </c>
      <c r="Z785" s="6" t="s">
        <v>0</v>
      </c>
      <c r="AA785" t="s">
        <v>2</v>
      </c>
      <c r="AB785" t="s">
        <v>103</v>
      </c>
      <c r="AC785">
        <f>_xlfn.XLOOKUP(AB785,'[1]GST Codes'!$A:$A,'[1]GST Codes'!$C:$C,0,0)</f>
        <v>18</v>
      </c>
      <c r="AD785">
        <f t="shared" si="25"/>
        <v>1273220</v>
      </c>
      <c r="AE785" t="s">
        <v>13</v>
      </c>
      <c r="AF785" t="s">
        <v>0</v>
      </c>
      <c r="AG785" t="s">
        <v>14</v>
      </c>
      <c r="AH785" t="s">
        <v>15</v>
      </c>
      <c r="AI785" t="s">
        <v>16</v>
      </c>
      <c r="AJ785" t="s">
        <v>17</v>
      </c>
      <c r="AK785" t="s">
        <v>18</v>
      </c>
      <c r="AL785" t="s">
        <v>19</v>
      </c>
      <c r="AM785" t="s">
        <v>388</v>
      </c>
      <c r="AN785" t="s">
        <v>0</v>
      </c>
      <c r="AO785" t="s">
        <v>0</v>
      </c>
      <c r="AP785" t="s">
        <v>0</v>
      </c>
      <c r="AQ785" s="5">
        <v>20</v>
      </c>
      <c r="AR785" t="s">
        <v>11</v>
      </c>
      <c r="AS785" t="s">
        <v>0</v>
      </c>
      <c r="AT785" t="s">
        <v>17</v>
      </c>
      <c r="AU785" s="4">
        <v>0</v>
      </c>
      <c r="AV785" s="4">
        <v>0</v>
      </c>
      <c r="AW785" s="4">
        <v>0</v>
      </c>
      <c r="AX785" s="4">
        <v>0</v>
      </c>
      <c r="AY785" s="5">
        <v>0</v>
      </c>
      <c r="AZ785" s="5">
        <v>0</v>
      </c>
      <c r="BA785" s="5">
        <v>0</v>
      </c>
      <c r="BB785" s="2"/>
      <c r="BC785" t="s">
        <v>0</v>
      </c>
      <c r="BD785" s="5">
        <v>1</v>
      </c>
      <c r="BE785" t="s">
        <v>0</v>
      </c>
      <c r="BF785" t="s">
        <v>395</v>
      </c>
      <c r="BG785" t="s">
        <v>17</v>
      </c>
      <c r="BH785" t="s">
        <v>0</v>
      </c>
      <c r="BI785" t="s">
        <v>11</v>
      </c>
      <c r="BJ785" t="s">
        <v>0</v>
      </c>
      <c r="BK785" t="s">
        <v>0</v>
      </c>
      <c r="BL785" s="5">
        <v>0</v>
      </c>
      <c r="BM785" t="s">
        <v>0</v>
      </c>
      <c r="BN785" t="s">
        <v>0</v>
      </c>
      <c r="BO785" t="s">
        <v>0</v>
      </c>
      <c r="BP785" t="s">
        <v>17</v>
      </c>
      <c r="BQ785" t="s">
        <v>0</v>
      </c>
      <c r="BR785" t="s">
        <v>17</v>
      </c>
      <c r="BS785" t="s">
        <v>17</v>
      </c>
      <c r="BT785" t="s">
        <v>0</v>
      </c>
      <c r="BU785" t="s">
        <v>0</v>
      </c>
      <c r="BV785" t="s">
        <v>0</v>
      </c>
      <c r="BW785" t="s">
        <v>0</v>
      </c>
      <c r="BX785" t="s">
        <v>0</v>
      </c>
      <c r="BY785" t="s">
        <v>0</v>
      </c>
      <c r="BZ785" t="s">
        <v>0</v>
      </c>
      <c r="CA785" t="s">
        <v>0</v>
      </c>
      <c r="CB785" t="s">
        <v>0</v>
      </c>
    </row>
    <row r="786" spans="1:80" ht="13.95" customHeight="1" x14ac:dyDescent="0.25">
      <c r="A786" t="s">
        <v>384</v>
      </c>
      <c r="B786" s="2">
        <v>45625</v>
      </c>
      <c r="C786" s="2">
        <v>45625</v>
      </c>
      <c r="D786" s="2">
        <v>45654</v>
      </c>
      <c r="E786" t="s">
        <v>2</v>
      </c>
      <c r="F786" t="s">
        <v>3</v>
      </c>
      <c r="G786" t="s">
        <v>0</v>
      </c>
      <c r="H786" t="s">
        <v>4</v>
      </c>
      <c r="I786" t="s">
        <v>385</v>
      </c>
      <c r="J786" t="s">
        <v>6</v>
      </c>
      <c r="K786" t="s">
        <v>88</v>
      </c>
      <c r="L786" t="s">
        <v>393</v>
      </c>
      <c r="M786" t="s">
        <v>394</v>
      </c>
      <c r="N786" t="s">
        <v>10</v>
      </c>
      <c r="O786" t="s">
        <v>0</v>
      </c>
      <c r="P786" t="s">
        <v>11</v>
      </c>
      <c r="Q786" s="5">
        <v>16</v>
      </c>
      <c r="R786" s="4">
        <v>53950</v>
      </c>
      <c r="S786" s="5">
        <v>1</v>
      </c>
      <c r="T786" s="4">
        <v>863200</v>
      </c>
      <c r="U786" s="3">
        <v>2.5099999999999998</v>
      </c>
      <c r="V786" s="4">
        <v>135414.5</v>
      </c>
      <c r="W786" s="3">
        <v>2.5099999999999998</v>
      </c>
      <c r="X786" s="4">
        <v>135414.5</v>
      </c>
      <c r="Y786" s="4">
        <f t="shared" si="24"/>
        <v>727785.5</v>
      </c>
      <c r="Z786" s="6" t="s">
        <v>0</v>
      </c>
      <c r="AA786" t="s">
        <v>2</v>
      </c>
      <c r="AB786" t="s">
        <v>103</v>
      </c>
      <c r="AC786">
        <f>_xlfn.XLOOKUP(AB786,'[1]GST Codes'!$A:$A,'[1]GST Codes'!$C:$C,0,0)</f>
        <v>18</v>
      </c>
      <c r="AD786">
        <f t="shared" si="25"/>
        <v>858786.89</v>
      </c>
      <c r="AE786" t="s">
        <v>13</v>
      </c>
      <c r="AF786" t="s">
        <v>0</v>
      </c>
      <c r="AG786" t="s">
        <v>14</v>
      </c>
      <c r="AH786" t="s">
        <v>15</v>
      </c>
      <c r="AI786" t="s">
        <v>16</v>
      </c>
      <c r="AJ786" t="s">
        <v>17</v>
      </c>
      <c r="AK786" t="s">
        <v>18</v>
      </c>
      <c r="AL786" t="s">
        <v>19</v>
      </c>
      <c r="AM786" t="s">
        <v>388</v>
      </c>
      <c r="AN786" t="s">
        <v>0</v>
      </c>
      <c r="AO786" t="s">
        <v>0</v>
      </c>
      <c r="AP786" t="s">
        <v>0</v>
      </c>
      <c r="AQ786" s="5">
        <v>16</v>
      </c>
      <c r="AR786" t="s">
        <v>11</v>
      </c>
      <c r="AS786" t="s">
        <v>0</v>
      </c>
      <c r="AT786" t="s">
        <v>17</v>
      </c>
      <c r="AU786" s="4">
        <v>0</v>
      </c>
      <c r="AV786" s="4">
        <v>0</v>
      </c>
      <c r="AW786" s="4">
        <v>0</v>
      </c>
      <c r="AX786" s="4">
        <v>0</v>
      </c>
      <c r="AY786" s="5">
        <v>0</v>
      </c>
      <c r="AZ786" s="5">
        <v>0</v>
      </c>
      <c r="BA786" s="5">
        <v>0</v>
      </c>
      <c r="BB786" s="2"/>
      <c r="BC786" t="s">
        <v>0</v>
      </c>
      <c r="BD786" s="5">
        <v>1</v>
      </c>
      <c r="BE786" t="s">
        <v>0</v>
      </c>
      <c r="BF786" t="s">
        <v>395</v>
      </c>
      <c r="BG786" t="s">
        <v>17</v>
      </c>
      <c r="BH786" t="s">
        <v>0</v>
      </c>
      <c r="BI786" t="s">
        <v>11</v>
      </c>
      <c r="BJ786" t="s">
        <v>0</v>
      </c>
      <c r="BK786" t="s">
        <v>0</v>
      </c>
      <c r="BL786" s="5">
        <v>0</v>
      </c>
      <c r="BM786" t="s">
        <v>0</v>
      </c>
      <c r="BN786" t="s">
        <v>0</v>
      </c>
      <c r="BO786" t="s">
        <v>0</v>
      </c>
      <c r="BP786" t="s">
        <v>17</v>
      </c>
      <c r="BQ786" t="s">
        <v>0</v>
      </c>
      <c r="BR786" t="s">
        <v>17</v>
      </c>
      <c r="BS786" t="s">
        <v>17</v>
      </c>
      <c r="BT786" t="s">
        <v>0</v>
      </c>
      <c r="BU786" t="s">
        <v>0</v>
      </c>
      <c r="BV786" t="s">
        <v>0</v>
      </c>
      <c r="BW786" t="s">
        <v>0</v>
      </c>
      <c r="BX786" t="s">
        <v>0</v>
      </c>
      <c r="BY786" t="s">
        <v>0</v>
      </c>
      <c r="BZ786" t="s">
        <v>0</v>
      </c>
      <c r="CA786" t="s">
        <v>0</v>
      </c>
      <c r="CB786" t="s">
        <v>0</v>
      </c>
    </row>
    <row r="787" spans="1:80" ht="13.95" customHeight="1" x14ac:dyDescent="0.25">
      <c r="A787" t="s">
        <v>384</v>
      </c>
      <c r="B787" s="2">
        <v>45625</v>
      </c>
      <c r="C787" s="2">
        <v>45625</v>
      </c>
      <c r="D787" s="2">
        <v>45654</v>
      </c>
      <c r="E787" t="s">
        <v>2</v>
      </c>
      <c r="F787" t="s">
        <v>3</v>
      </c>
      <c r="G787" t="s">
        <v>0</v>
      </c>
      <c r="H787" t="s">
        <v>4</v>
      </c>
      <c r="I787" t="s">
        <v>385</v>
      </c>
      <c r="J787" t="s">
        <v>6</v>
      </c>
      <c r="K787" t="s">
        <v>89</v>
      </c>
      <c r="L787" t="s">
        <v>393</v>
      </c>
      <c r="M787" t="s">
        <v>394</v>
      </c>
      <c r="N787" t="s">
        <v>10</v>
      </c>
      <c r="O787" t="s">
        <v>0</v>
      </c>
      <c r="P787" t="s">
        <v>11</v>
      </c>
      <c r="Q787" s="5">
        <v>8</v>
      </c>
      <c r="R787" s="4">
        <v>53950</v>
      </c>
      <c r="S787" s="5">
        <v>1</v>
      </c>
      <c r="T787" s="4">
        <v>431600</v>
      </c>
      <c r="U787" s="5">
        <v>2</v>
      </c>
      <c r="V787" s="4">
        <v>107900</v>
      </c>
      <c r="W787" s="5">
        <v>2</v>
      </c>
      <c r="X787" s="4">
        <v>107900</v>
      </c>
      <c r="Y787" s="4">
        <f t="shared" si="24"/>
        <v>323700</v>
      </c>
      <c r="Z787" s="6" t="s">
        <v>0</v>
      </c>
      <c r="AA787" t="s">
        <v>2</v>
      </c>
      <c r="AB787" t="s">
        <v>103</v>
      </c>
      <c r="AC787">
        <f>_xlfn.XLOOKUP(AB787,'[1]GST Codes'!$A:$A,'[1]GST Codes'!$C:$C,0,0)</f>
        <v>18</v>
      </c>
      <c r="AD787">
        <f t="shared" si="25"/>
        <v>381966</v>
      </c>
      <c r="AE787" t="s">
        <v>13</v>
      </c>
      <c r="AF787" t="s">
        <v>0</v>
      </c>
      <c r="AG787" t="s">
        <v>14</v>
      </c>
      <c r="AH787" t="s">
        <v>15</v>
      </c>
      <c r="AI787" t="s">
        <v>16</v>
      </c>
      <c r="AJ787" t="s">
        <v>17</v>
      </c>
      <c r="AK787" t="s">
        <v>18</v>
      </c>
      <c r="AL787" t="s">
        <v>19</v>
      </c>
      <c r="AM787" t="s">
        <v>388</v>
      </c>
      <c r="AN787" t="s">
        <v>0</v>
      </c>
      <c r="AO787" t="s">
        <v>0</v>
      </c>
      <c r="AP787" t="s">
        <v>0</v>
      </c>
      <c r="AQ787" s="5">
        <v>8</v>
      </c>
      <c r="AR787" t="s">
        <v>11</v>
      </c>
      <c r="AS787" t="s">
        <v>0</v>
      </c>
      <c r="AT787" t="s">
        <v>17</v>
      </c>
      <c r="AU787" s="4">
        <v>0</v>
      </c>
      <c r="AV787" s="4">
        <v>0</v>
      </c>
      <c r="AW787" s="4">
        <v>0</v>
      </c>
      <c r="AX787" s="4">
        <v>0</v>
      </c>
      <c r="AY787" s="5">
        <v>0</v>
      </c>
      <c r="AZ787" s="5">
        <v>0</v>
      </c>
      <c r="BA787" s="5">
        <v>0</v>
      </c>
      <c r="BB787" s="2"/>
      <c r="BC787" t="s">
        <v>0</v>
      </c>
      <c r="BD787" s="5">
        <v>1</v>
      </c>
      <c r="BE787" t="s">
        <v>0</v>
      </c>
      <c r="BF787" t="s">
        <v>395</v>
      </c>
      <c r="BG787" t="s">
        <v>17</v>
      </c>
      <c r="BH787" t="s">
        <v>0</v>
      </c>
      <c r="BI787" t="s">
        <v>11</v>
      </c>
      <c r="BJ787" t="s">
        <v>0</v>
      </c>
      <c r="BK787" t="s">
        <v>0</v>
      </c>
      <c r="BL787" s="5">
        <v>0</v>
      </c>
      <c r="BM787" t="s">
        <v>0</v>
      </c>
      <c r="BN787" t="s">
        <v>0</v>
      </c>
      <c r="BO787" t="s">
        <v>0</v>
      </c>
      <c r="BP787" t="s">
        <v>17</v>
      </c>
      <c r="BQ787" t="s">
        <v>0</v>
      </c>
      <c r="BR787" t="s">
        <v>17</v>
      </c>
      <c r="BS787" t="s">
        <v>17</v>
      </c>
      <c r="BT787" t="s">
        <v>0</v>
      </c>
      <c r="BU787" t="s">
        <v>0</v>
      </c>
      <c r="BV787" t="s">
        <v>0</v>
      </c>
      <c r="BW787" t="s">
        <v>0</v>
      </c>
      <c r="BX787" t="s">
        <v>0</v>
      </c>
      <c r="BY787" t="s">
        <v>0</v>
      </c>
      <c r="BZ787" t="s">
        <v>0</v>
      </c>
      <c r="CA787" t="s">
        <v>0</v>
      </c>
      <c r="CB787" t="s">
        <v>0</v>
      </c>
    </row>
    <row r="788" spans="1:80" ht="13.95" customHeight="1" x14ac:dyDescent="0.25">
      <c r="A788" t="s">
        <v>384</v>
      </c>
      <c r="B788" s="2">
        <v>45625</v>
      </c>
      <c r="C788" s="2">
        <v>45625</v>
      </c>
      <c r="D788" s="2">
        <v>45654</v>
      </c>
      <c r="E788" t="s">
        <v>2</v>
      </c>
      <c r="F788" t="s">
        <v>3</v>
      </c>
      <c r="G788" t="s">
        <v>0</v>
      </c>
      <c r="H788" t="s">
        <v>4</v>
      </c>
      <c r="I788" t="s">
        <v>385</v>
      </c>
      <c r="J788" t="s">
        <v>6</v>
      </c>
      <c r="K788" t="s">
        <v>90</v>
      </c>
      <c r="L788" t="s">
        <v>393</v>
      </c>
      <c r="M788" t="s">
        <v>394</v>
      </c>
      <c r="N788" t="s">
        <v>10</v>
      </c>
      <c r="O788" t="s">
        <v>0</v>
      </c>
      <c r="P788" t="s">
        <v>11</v>
      </c>
      <c r="Q788" s="5">
        <v>8</v>
      </c>
      <c r="R788" s="4">
        <v>53950</v>
      </c>
      <c r="S788" s="5">
        <v>1</v>
      </c>
      <c r="T788" s="4">
        <v>431600</v>
      </c>
      <c r="U788" s="5">
        <v>2</v>
      </c>
      <c r="V788" s="4">
        <v>107900</v>
      </c>
      <c r="W788" s="5">
        <v>2</v>
      </c>
      <c r="X788" s="4">
        <v>107900</v>
      </c>
      <c r="Y788" s="4">
        <f t="shared" si="24"/>
        <v>323700</v>
      </c>
      <c r="Z788" s="6" t="s">
        <v>0</v>
      </c>
      <c r="AA788" t="s">
        <v>2</v>
      </c>
      <c r="AB788" t="s">
        <v>103</v>
      </c>
      <c r="AC788">
        <f>_xlfn.XLOOKUP(AB788,'[1]GST Codes'!$A:$A,'[1]GST Codes'!$C:$C,0,0)</f>
        <v>18</v>
      </c>
      <c r="AD788">
        <f t="shared" si="25"/>
        <v>381966</v>
      </c>
      <c r="AE788" t="s">
        <v>13</v>
      </c>
      <c r="AF788" t="s">
        <v>0</v>
      </c>
      <c r="AG788" t="s">
        <v>14</v>
      </c>
      <c r="AH788" t="s">
        <v>15</v>
      </c>
      <c r="AI788" t="s">
        <v>16</v>
      </c>
      <c r="AJ788" t="s">
        <v>17</v>
      </c>
      <c r="AK788" t="s">
        <v>18</v>
      </c>
      <c r="AL788" t="s">
        <v>19</v>
      </c>
      <c r="AM788" t="s">
        <v>388</v>
      </c>
      <c r="AN788" t="s">
        <v>0</v>
      </c>
      <c r="AO788" t="s">
        <v>0</v>
      </c>
      <c r="AP788" t="s">
        <v>0</v>
      </c>
      <c r="AQ788" s="5">
        <v>8</v>
      </c>
      <c r="AR788" t="s">
        <v>11</v>
      </c>
      <c r="AS788" t="s">
        <v>0</v>
      </c>
      <c r="AT788" t="s">
        <v>17</v>
      </c>
      <c r="AU788" s="4">
        <v>0</v>
      </c>
      <c r="AV788" s="4">
        <v>0</v>
      </c>
      <c r="AW788" s="4">
        <v>0</v>
      </c>
      <c r="AX788" s="4">
        <v>0</v>
      </c>
      <c r="AY788" s="5">
        <v>0</v>
      </c>
      <c r="AZ788" s="5">
        <v>0</v>
      </c>
      <c r="BA788" s="5">
        <v>0</v>
      </c>
      <c r="BB788" s="2"/>
      <c r="BC788" t="s">
        <v>0</v>
      </c>
      <c r="BD788" s="5">
        <v>1</v>
      </c>
      <c r="BE788" t="s">
        <v>0</v>
      </c>
      <c r="BF788" t="s">
        <v>395</v>
      </c>
      <c r="BG788" t="s">
        <v>17</v>
      </c>
      <c r="BH788" t="s">
        <v>0</v>
      </c>
      <c r="BI788" t="s">
        <v>11</v>
      </c>
      <c r="BJ788" t="s">
        <v>0</v>
      </c>
      <c r="BK788" t="s">
        <v>0</v>
      </c>
      <c r="BL788" s="5">
        <v>0</v>
      </c>
      <c r="BM788" t="s">
        <v>0</v>
      </c>
      <c r="BN788" t="s">
        <v>0</v>
      </c>
      <c r="BO788" t="s">
        <v>0</v>
      </c>
      <c r="BP788" t="s">
        <v>17</v>
      </c>
      <c r="BQ788" t="s">
        <v>0</v>
      </c>
      <c r="BR788" t="s">
        <v>17</v>
      </c>
      <c r="BS788" t="s">
        <v>17</v>
      </c>
      <c r="BT788" t="s">
        <v>0</v>
      </c>
      <c r="BU788" t="s">
        <v>0</v>
      </c>
      <c r="BV788" t="s">
        <v>0</v>
      </c>
      <c r="BW788" t="s">
        <v>0</v>
      </c>
      <c r="BX788" t="s">
        <v>0</v>
      </c>
      <c r="BY788" t="s">
        <v>0</v>
      </c>
      <c r="BZ788" t="s">
        <v>0</v>
      </c>
      <c r="CA788" t="s">
        <v>0</v>
      </c>
      <c r="CB788" t="s">
        <v>0</v>
      </c>
    </row>
    <row r="789" spans="1:80" ht="13.95" customHeight="1" x14ac:dyDescent="0.25">
      <c r="A789" t="s">
        <v>384</v>
      </c>
      <c r="B789" s="2">
        <v>45625</v>
      </c>
      <c r="C789" s="2">
        <v>45625</v>
      </c>
      <c r="D789" s="2">
        <v>45654</v>
      </c>
      <c r="E789" t="s">
        <v>2</v>
      </c>
      <c r="F789" t="s">
        <v>3</v>
      </c>
      <c r="G789" t="s">
        <v>0</v>
      </c>
      <c r="H789" t="s">
        <v>4</v>
      </c>
      <c r="I789" t="s">
        <v>385</v>
      </c>
      <c r="J789" t="s">
        <v>6</v>
      </c>
      <c r="K789" t="s">
        <v>177</v>
      </c>
      <c r="L789" t="s">
        <v>393</v>
      </c>
      <c r="M789" t="s">
        <v>394</v>
      </c>
      <c r="N789" t="s">
        <v>10</v>
      </c>
      <c r="O789" t="s">
        <v>0</v>
      </c>
      <c r="P789" t="s">
        <v>11</v>
      </c>
      <c r="Q789" s="5">
        <v>16</v>
      </c>
      <c r="R789" s="4">
        <v>53950</v>
      </c>
      <c r="S789" s="5">
        <v>1</v>
      </c>
      <c r="T789" s="4">
        <v>863200</v>
      </c>
      <c r="U789" s="5">
        <v>0</v>
      </c>
      <c r="V789" s="4">
        <v>0</v>
      </c>
      <c r="W789" s="5">
        <v>0</v>
      </c>
      <c r="X789" s="4">
        <v>0</v>
      </c>
      <c r="Y789" s="4">
        <f t="shared" si="24"/>
        <v>863200</v>
      </c>
      <c r="Z789" s="6" t="s">
        <v>0</v>
      </c>
      <c r="AA789" t="s">
        <v>2</v>
      </c>
      <c r="AB789" t="s">
        <v>103</v>
      </c>
      <c r="AC789">
        <f>_xlfn.XLOOKUP(AB789,'[1]GST Codes'!$A:$A,'[1]GST Codes'!$C:$C,0,0)</f>
        <v>18</v>
      </c>
      <c r="AD789">
        <f t="shared" si="25"/>
        <v>1018576</v>
      </c>
      <c r="AE789" t="s">
        <v>13</v>
      </c>
      <c r="AF789" t="s">
        <v>0</v>
      </c>
      <c r="AG789" t="s">
        <v>14</v>
      </c>
      <c r="AH789" t="s">
        <v>15</v>
      </c>
      <c r="AI789" t="s">
        <v>16</v>
      </c>
      <c r="AJ789" t="s">
        <v>17</v>
      </c>
      <c r="AK789" t="s">
        <v>18</v>
      </c>
      <c r="AL789" t="s">
        <v>19</v>
      </c>
      <c r="AM789" t="s">
        <v>388</v>
      </c>
      <c r="AN789" t="s">
        <v>0</v>
      </c>
      <c r="AO789" t="s">
        <v>0</v>
      </c>
      <c r="AP789" t="s">
        <v>0</v>
      </c>
      <c r="AQ789" s="5">
        <v>16</v>
      </c>
      <c r="AR789" t="s">
        <v>11</v>
      </c>
      <c r="AS789" t="s">
        <v>0</v>
      </c>
      <c r="AT789" t="s">
        <v>17</v>
      </c>
      <c r="AU789" s="4">
        <v>0</v>
      </c>
      <c r="AV789" s="4">
        <v>0</v>
      </c>
      <c r="AW789" s="4">
        <v>0</v>
      </c>
      <c r="AX789" s="4">
        <v>0</v>
      </c>
      <c r="AY789" s="5">
        <v>0</v>
      </c>
      <c r="AZ789" s="5">
        <v>0</v>
      </c>
      <c r="BA789" s="5">
        <v>0</v>
      </c>
      <c r="BB789" s="2"/>
      <c r="BC789" t="s">
        <v>0</v>
      </c>
      <c r="BD789" s="5">
        <v>1</v>
      </c>
      <c r="BE789" t="s">
        <v>0</v>
      </c>
      <c r="BF789" t="s">
        <v>395</v>
      </c>
      <c r="BG789" t="s">
        <v>17</v>
      </c>
      <c r="BH789" t="s">
        <v>0</v>
      </c>
      <c r="BI789" t="s">
        <v>11</v>
      </c>
      <c r="BJ789" t="s">
        <v>0</v>
      </c>
      <c r="BK789" t="s">
        <v>0</v>
      </c>
      <c r="BL789" s="5">
        <v>0</v>
      </c>
      <c r="BM789" t="s">
        <v>0</v>
      </c>
      <c r="BN789" t="s">
        <v>0</v>
      </c>
      <c r="BO789" t="s">
        <v>0</v>
      </c>
      <c r="BP789" t="s">
        <v>17</v>
      </c>
      <c r="BQ789" t="s">
        <v>0</v>
      </c>
      <c r="BR789" t="s">
        <v>17</v>
      </c>
      <c r="BS789" t="s">
        <v>17</v>
      </c>
      <c r="BT789" t="s">
        <v>0</v>
      </c>
      <c r="BU789" t="s">
        <v>0</v>
      </c>
      <c r="BV789" t="s">
        <v>0</v>
      </c>
      <c r="BW789" t="s">
        <v>0</v>
      </c>
      <c r="BX789" t="s">
        <v>0</v>
      </c>
      <c r="BY789" t="s">
        <v>0</v>
      </c>
      <c r="BZ789" t="s">
        <v>0</v>
      </c>
      <c r="CA789" t="s">
        <v>0</v>
      </c>
      <c r="CB789" t="s">
        <v>0</v>
      </c>
    </row>
    <row r="790" spans="1:80" ht="13.95" customHeight="1" x14ac:dyDescent="0.25">
      <c r="A790" t="s">
        <v>384</v>
      </c>
      <c r="B790" s="2">
        <v>45625</v>
      </c>
      <c r="C790" s="2">
        <v>45625</v>
      </c>
      <c r="D790" s="2">
        <v>45654</v>
      </c>
      <c r="E790" t="s">
        <v>2</v>
      </c>
      <c r="F790" t="s">
        <v>3</v>
      </c>
      <c r="G790" t="s">
        <v>0</v>
      </c>
      <c r="H790" t="s">
        <v>4</v>
      </c>
      <c r="I790" t="s">
        <v>385</v>
      </c>
      <c r="J790" t="s">
        <v>6</v>
      </c>
      <c r="K790" t="s">
        <v>181</v>
      </c>
      <c r="L790" t="s">
        <v>393</v>
      </c>
      <c r="M790" t="s">
        <v>394</v>
      </c>
      <c r="N790" t="s">
        <v>10</v>
      </c>
      <c r="O790" t="s">
        <v>0</v>
      </c>
      <c r="P790" t="s">
        <v>11</v>
      </c>
      <c r="Q790" s="5">
        <v>16</v>
      </c>
      <c r="R790" s="4">
        <v>53950</v>
      </c>
      <c r="S790" s="5">
        <v>1</v>
      </c>
      <c r="T790" s="4">
        <v>863200</v>
      </c>
      <c r="U790" s="5">
        <v>0</v>
      </c>
      <c r="V790" s="4">
        <v>0</v>
      </c>
      <c r="W790" s="5">
        <v>0</v>
      </c>
      <c r="X790" s="4">
        <v>0</v>
      </c>
      <c r="Y790" s="4">
        <f t="shared" si="24"/>
        <v>863200</v>
      </c>
      <c r="Z790" s="6" t="s">
        <v>0</v>
      </c>
      <c r="AA790" t="s">
        <v>2</v>
      </c>
      <c r="AB790" t="s">
        <v>103</v>
      </c>
      <c r="AC790">
        <f>_xlfn.XLOOKUP(AB790,'[1]GST Codes'!$A:$A,'[1]GST Codes'!$C:$C,0,0)</f>
        <v>18</v>
      </c>
      <c r="AD790">
        <f t="shared" si="25"/>
        <v>1018576</v>
      </c>
      <c r="AE790" t="s">
        <v>13</v>
      </c>
      <c r="AF790" t="s">
        <v>0</v>
      </c>
      <c r="AG790" t="s">
        <v>14</v>
      </c>
      <c r="AH790" t="s">
        <v>15</v>
      </c>
      <c r="AI790" t="s">
        <v>16</v>
      </c>
      <c r="AJ790" t="s">
        <v>17</v>
      </c>
      <c r="AK790" t="s">
        <v>18</v>
      </c>
      <c r="AL790" t="s">
        <v>19</v>
      </c>
      <c r="AM790" t="s">
        <v>388</v>
      </c>
      <c r="AN790" t="s">
        <v>0</v>
      </c>
      <c r="AO790" t="s">
        <v>0</v>
      </c>
      <c r="AP790" t="s">
        <v>0</v>
      </c>
      <c r="AQ790" s="5">
        <v>16</v>
      </c>
      <c r="AR790" t="s">
        <v>11</v>
      </c>
      <c r="AS790" t="s">
        <v>0</v>
      </c>
      <c r="AT790" t="s">
        <v>17</v>
      </c>
      <c r="AU790" s="4">
        <v>0</v>
      </c>
      <c r="AV790" s="4">
        <v>0</v>
      </c>
      <c r="AW790" s="4">
        <v>0</v>
      </c>
      <c r="AX790" s="4">
        <v>0</v>
      </c>
      <c r="AY790" s="5">
        <v>0</v>
      </c>
      <c r="AZ790" s="5">
        <v>0</v>
      </c>
      <c r="BA790" s="5">
        <v>0</v>
      </c>
      <c r="BB790" s="2"/>
      <c r="BC790" t="s">
        <v>0</v>
      </c>
      <c r="BD790" s="5">
        <v>1</v>
      </c>
      <c r="BE790" t="s">
        <v>0</v>
      </c>
      <c r="BF790" t="s">
        <v>395</v>
      </c>
      <c r="BG790" t="s">
        <v>17</v>
      </c>
      <c r="BH790" t="s">
        <v>0</v>
      </c>
      <c r="BI790" t="s">
        <v>11</v>
      </c>
      <c r="BJ790" t="s">
        <v>0</v>
      </c>
      <c r="BK790" t="s">
        <v>0</v>
      </c>
      <c r="BL790" s="5">
        <v>0</v>
      </c>
      <c r="BM790" t="s">
        <v>0</v>
      </c>
      <c r="BN790" t="s">
        <v>0</v>
      </c>
      <c r="BO790" t="s">
        <v>0</v>
      </c>
      <c r="BP790" t="s">
        <v>17</v>
      </c>
      <c r="BQ790" t="s">
        <v>0</v>
      </c>
      <c r="BR790" t="s">
        <v>17</v>
      </c>
      <c r="BS790" t="s">
        <v>17</v>
      </c>
      <c r="BT790" t="s">
        <v>0</v>
      </c>
      <c r="BU790" t="s">
        <v>0</v>
      </c>
      <c r="BV790" t="s">
        <v>0</v>
      </c>
      <c r="BW790" t="s">
        <v>0</v>
      </c>
      <c r="BX790" t="s">
        <v>0</v>
      </c>
      <c r="BY790" t="s">
        <v>0</v>
      </c>
      <c r="BZ790" t="s">
        <v>0</v>
      </c>
      <c r="CA790" t="s">
        <v>0</v>
      </c>
      <c r="CB790" t="s">
        <v>0</v>
      </c>
    </row>
    <row r="791" spans="1:80" ht="13.95" customHeight="1" x14ac:dyDescent="0.25">
      <c r="A791" t="s">
        <v>384</v>
      </c>
      <c r="B791" s="2">
        <v>45625</v>
      </c>
      <c r="C791" s="2">
        <v>45625</v>
      </c>
      <c r="D791" s="2">
        <v>45654</v>
      </c>
      <c r="E791" t="s">
        <v>2</v>
      </c>
      <c r="F791" t="s">
        <v>3</v>
      </c>
      <c r="G791" t="s">
        <v>0</v>
      </c>
      <c r="H791" t="s">
        <v>4</v>
      </c>
      <c r="I791" t="s">
        <v>385</v>
      </c>
      <c r="J791" t="s">
        <v>6</v>
      </c>
      <c r="K791" t="s">
        <v>185</v>
      </c>
      <c r="L791" t="s">
        <v>393</v>
      </c>
      <c r="M791" t="s">
        <v>394</v>
      </c>
      <c r="N791" t="s">
        <v>10</v>
      </c>
      <c r="O791" t="s">
        <v>0</v>
      </c>
      <c r="P791" t="s">
        <v>11</v>
      </c>
      <c r="Q791" s="5">
        <v>17</v>
      </c>
      <c r="R791" s="4">
        <v>53950</v>
      </c>
      <c r="S791" s="5">
        <v>1</v>
      </c>
      <c r="T791" s="4">
        <v>917150</v>
      </c>
      <c r="U791" s="5">
        <v>2</v>
      </c>
      <c r="V791" s="4">
        <v>107900</v>
      </c>
      <c r="W791" s="5">
        <v>2</v>
      </c>
      <c r="X791" s="4">
        <v>107900</v>
      </c>
      <c r="Y791" s="4">
        <f t="shared" si="24"/>
        <v>809250</v>
      </c>
      <c r="Z791" s="6" t="s">
        <v>0</v>
      </c>
      <c r="AA791" t="s">
        <v>2</v>
      </c>
      <c r="AB791" t="s">
        <v>103</v>
      </c>
      <c r="AC791">
        <f>_xlfn.XLOOKUP(AB791,'[1]GST Codes'!$A:$A,'[1]GST Codes'!$C:$C,0,0)</f>
        <v>18</v>
      </c>
      <c r="AD791">
        <f t="shared" si="25"/>
        <v>954915</v>
      </c>
      <c r="AE791" t="s">
        <v>13</v>
      </c>
      <c r="AF791" t="s">
        <v>0</v>
      </c>
      <c r="AG791" t="s">
        <v>14</v>
      </c>
      <c r="AH791" t="s">
        <v>15</v>
      </c>
      <c r="AI791" t="s">
        <v>16</v>
      </c>
      <c r="AJ791" t="s">
        <v>17</v>
      </c>
      <c r="AK791" t="s">
        <v>18</v>
      </c>
      <c r="AL791" t="s">
        <v>19</v>
      </c>
      <c r="AM791" t="s">
        <v>388</v>
      </c>
      <c r="AN791" t="s">
        <v>0</v>
      </c>
      <c r="AO791" t="s">
        <v>0</v>
      </c>
      <c r="AP791" t="s">
        <v>0</v>
      </c>
      <c r="AQ791" s="5">
        <v>17</v>
      </c>
      <c r="AR791" t="s">
        <v>11</v>
      </c>
      <c r="AS791" t="s">
        <v>0</v>
      </c>
      <c r="AT791" t="s">
        <v>17</v>
      </c>
      <c r="AU791" s="4">
        <v>0</v>
      </c>
      <c r="AV791" s="4">
        <v>0</v>
      </c>
      <c r="AW791" s="4">
        <v>0</v>
      </c>
      <c r="AX791" s="4">
        <v>0</v>
      </c>
      <c r="AY791" s="5">
        <v>0</v>
      </c>
      <c r="AZ791" s="5">
        <v>0</v>
      </c>
      <c r="BA791" s="5">
        <v>0</v>
      </c>
      <c r="BB791" s="2"/>
      <c r="BC791" t="s">
        <v>0</v>
      </c>
      <c r="BD791" s="5">
        <v>1</v>
      </c>
      <c r="BE791" t="s">
        <v>0</v>
      </c>
      <c r="BF791" t="s">
        <v>395</v>
      </c>
      <c r="BG791" t="s">
        <v>17</v>
      </c>
      <c r="BH791" t="s">
        <v>0</v>
      </c>
      <c r="BI791" t="s">
        <v>11</v>
      </c>
      <c r="BJ791" t="s">
        <v>0</v>
      </c>
      <c r="BK791" t="s">
        <v>0</v>
      </c>
      <c r="BL791" s="5">
        <v>0</v>
      </c>
      <c r="BM791" t="s">
        <v>0</v>
      </c>
      <c r="BN791" t="s">
        <v>0</v>
      </c>
      <c r="BO791" t="s">
        <v>0</v>
      </c>
      <c r="BP791" t="s">
        <v>17</v>
      </c>
      <c r="BQ791" t="s">
        <v>0</v>
      </c>
      <c r="BR791" t="s">
        <v>17</v>
      </c>
      <c r="BS791" t="s">
        <v>17</v>
      </c>
      <c r="BT791" t="s">
        <v>0</v>
      </c>
      <c r="BU791" t="s">
        <v>0</v>
      </c>
      <c r="BV791" t="s">
        <v>0</v>
      </c>
      <c r="BW791" t="s">
        <v>0</v>
      </c>
      <c r="BX791" t="s">
        <v>0</v>
      </c>
      <c r="BY791" t="s">
        <v>0</v>
      </c>
      <c r="BZ791" t="s">
        <v>0</v>
      </c>
      <c r="CA791" t="s">
        <v>0</v>
      </c>
      <c r="CB791" t="s">
        <v>0</v>
      </c>
    </row>
    <row r="792" spans="1:80" x14ac:dyDescent="0.25">
      <c r="A792" t="s">
        <v>396</v>
      </c>
      <c r="B792" s="2">
        <v>45727</v>
      </c>
      <c r="C792" s="2"/>
      <c r="D792" s="2"/>
      <c r="E792" t="s">
        <v>2</v>
      </c>
      <c r="F792" t="s">
        <v>3</v>
      </c>
      <c r="G792" t="s">
        <v>98</v>
      </c>
      <c r="H792" t="s">
        <v>4</v>
      </c>
      <c r="I792" t="s">
        <v>385</v>
      </c>
      <c r="J792" t="s">
        <v>6</v>
      </c>
      <c r="K792" t="s">
        <v>7</v>
      </c>
      <c r="L792" t="s">
        <v>386</v>
      </c>
      <c r="M792" t="s">
        <v>387</v>
      </c>
      <c r="N792" t="s">
        <v>10</v>
      </c>
      <c r="O792" t="s">
        <v>0</v>
      </c>
      <c r="P792" t="s">
        <v>11</v>
      </c>
      <c r="Q792" s="3">
        <v>7.5</v>
      </c>
      <c r="R792" s="4">
        <v>54000</v>
      </c>
      <c r="S792" s="5">
        <v>1</v>
      </c>
      <c r="T792" s="4">
        <v>405000</v>
      </c>
      <c r="U792" s="5">
        <v>0</v>
      </c>
      <c r="V792" s="4">
        <v>0</v>
      </c>
      <c r="W792" s="5">
        <v>0</v>
      </c>
      <c r="X792" s="4">
        <v>0</v>
      </c>
      <c r="Y792" s="4">
        <f t="shared" si="24"/>
        <v>405000</v>
      </c>
      <c r="Z792" t="s">
        <v>0</v>
      </c>
      <c r="AA792" t="s">
        <v>2</v>
      </c>
      <c r="AB792" t="s">
        <v>103</v>
      </c>
      <c r="AC792">
        <f>_xlfn.XLOOKUP(AB792,'[1]GST Codes'!$A:$A,'[1]GST Codes'!$C:$C,0,0)</f>
        <v>18</v>
      </c>
      <c r="AD792">
        <f t="shared" si="25"/>
        <v>477900</v>
      </c>
      <c r="AE792" t="s">
        <v>0</v>
      </c>
      <c r="AF792" t="s">
        <v>0</v>
      </c>
      <c r="AG792" t="s">
        <v>0</v>
      </c>
      <c r="AH792" t="s">
        <v>0</v>
      </c>
      <c r="AI792" t="s">
        <v>0</v>
      </c>
      <c r="AJ792" t="s">
        <v>17</v>
      </c>
      <c r="AK792" t="s">
        <v>18</v>
      </c>
      <c r="AL792" t="s">
        <v>19</v>
      </c>
      <c r="AM792" t="s">
        <v>388</v>
      </c>
      <c r="AN792" t="s">
        <v>0</v>
      </c>
      <c r="AO792" t="s">
        <v>0</v>
      </c>
      <c r="AP792" t="s">
        <v>0</v>
      </c>
      <c r="AQ792" s="3">
        <v>7.5</v>
      </c>
      <c r="AR792" t="s">
        <v>11</v>
      </c>
      <c r="AS792" t="s">
        <v>0</v>
      </c>
      <c r="AT792" t="s">
        <v>17</v>
      </c>
      <c r="AU792" s="4">
        <v>0</v>
      </c>
      <c r="AV792" s="4">
        <v>0</v>
      </c>
      <c r="AW792" s="4">
        <v>0</v>
      </c>
      <c r="AX792" s="4">
        <v>0</v>
      </c>
      <c r="AY792" s="5">
        <v>0</v>
      </c>
      <c r="AZ792" s="5">
        <v>0</v>
      </c>
      <c r="BA792" s="5">
        <v>0</v>
      </c>
      <c r="BB792" s="2"/>
      <c r="BC792" t="s">
        <v>0</v>
      </c>
      <c r="BD792" s="5">
        <v>1</v>
      </c>
      <c r="BE792" t="s">
        <v>0</v>
      </c>
      <c r="BF792" t="s">
        <v>389</v>
      </c>
      <c r="BG792" t="s">
        <v>17</v>
      </c>
      <c r="BH792" t="s">
        <v>0</v>
      </c>
      <c r="BI792" t="s">
        <v>11</v>
      </c>
      <c r="BJ792" t="s">
        <v>0</v>
      </c>
      <c r="BK792" t="s">
        <v>0</v>
      </c>
      <c r="BL792" s="5">
        <v>0</v>
      </c>
      <c r="BM792" t="s">
        <v>0</v>
      </c>
      <c r="BN792" t="s">
        <v>0</v>
      </c>
      <c r="BO792" t="s">
        <v>0</v>
      </c>
      <c r="BP792" t="s">
        <v>17</v>
      </c>
      <c r="BQ792" t="s">
        <v>0</v>
      </c>
      <c r="BR792" t="s">
        <v>17</v>
      </c>
      <c r="BS792" t="s">
        <v>17</v>
      </c>
      <c r="BT792" t="s">
        <v>0</v>
      </c>
      <c r="BU792" t="s">
        <v>0</v>
      </c>
      <c r="BV792" t="s">
        <v>0</v>
      </c>
      <c r="BW792" t="s">
        <v>0</v>
      </c>
      <c r="BX792" t="s">
        <v>0</v>
      </c>
      <c r="BY792" t="s">
        <v>0</v>
      </c>
      <c r="BZ792" t="s">
        <v>0</v>
      </c>
      <c r="CA792" t="s">
        <v>0</v>
      </c>
      <c r="CB792" t="s">
        <v>0</v>
      </c>
    </row>
    <row r="793" spans="1:80" x14ac:dyDescent="0.25">
      <c r="A793" t="s">
        <v>396</v>
      </c>
      <c r="B793" s="2">
        <v>45727</v>
      </c>
      <c r="C793" s="2"/>
      <c r="D793" s="2"/>
      <c r="E793" t="s">
        <v>2</v>
      </c>
      <c r="F793" t="s">
        <v>3</v>
      </c>
      <c r="G793" t="s">
        <v>98</v>
      </c>
      <c r="H793" t="s">
        <v>4</v>
      </c>
      <c r="I793" t="s">
        <v>385</v>
      </c>
      <c r="J793" t="s">
        <v>6</v>
      </c>
      <c r="K793" t="s">
        <v>22</v>
      </c>
      <c r="L793" t="s">
        <v>386</v>
      </c>
      <c r="M793" t="s">
        <v>387</v>
      </c>
      <c r="N793" t="s">
        <v>10</v>
      </c>
      <c r="O793" t="s">
        <v>0</v>
      </c>
      <c r="P793" t="s">
        <v>11</v>
      </c>
      <c r="Q793" s="3">
        <v>7.5</v>
      </c>
      <c r="R793" s="4">
        <v>54000</v>
      </c>
      <c r="S793" s="5">
        <v>1</v>
      </c>
      <c r="T793" s="4">
        <v>405000</v>
      </c>
      <c r="U793" s="5">
        <v>0</v>
      </c>
      <c r="V793" s="4">
        <v>0</v>
      </c>
      <c r="W793" s="5">
        <v>0</v>
      </c>
      <c r="X793" s="4">
        <v>0</v>
      </c>
      <c r="Y793" s="4">
        <f t="shared" si="24"/>
        <v>405000</v>
      </c>
      <c r="Z793" t="s">
        <v>0</v>
      </c>
      <c r="AA793" t="s">
        <v>2</v>
      </c>
      <c r="AB793" t="s">
        <v>103</v>
      </c>
      <c r="AC793">
        <f>_xlfn.XLOOKUP(AB793,'[1]GST Codes'!$A:$A,'[1]GST Codes'!$C:$C,0,0)</f>
        <v>18</v>
      </c>
      <c r="AD793">
        <f t="shared" si="25"/>
        <v>477900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17</v>
      </c>
      <c r="AK793" t="s">
        <v>18</v>
      </c>
      <c r="AL793" t="s">
        <v>19</v>
      </c>
      <c r="AM793" t="s">
        <v>388</v>
      </c>
      <c r="AN793" t="s">
        <v>0</v>
      </c>
      <c r="AO793" t="s">
        <v>0</v>
      </c>
      <c r="AP793" t="s">
        <v>0</v>
      </c>
      <c r="AQ793" s="3">
        <v>7.5</v>
      </c>
      <c r="AR793" t="s">
        <v>11</v>
      </c>
      <c r="AS793" t="s">
        <v>0</v>
      </c>
      <c r="AT793" t="s">
        <v>17</v>
      </c>
      <c r="AU793" s="4">
        <v>0</v>
      </c>
      <c r="AV793" s="4">
        <v>0</v>
      </c>
      <c r="AW793" s="4">
        <v>0</v>
      </c>
      <c r="AX793" s="4">
        <v>0</v>
      </c>
      <c r="AY793" s="5">
        <v>0</v>
      </c>
      <c r="AZ793" s="5">
        <v>0</v>
      </c>
      <c r="BA793" s="5">
        <v>0</v>
      </c>
      <c r="BB793" s="2"/>
      <c r="BC793" t="s">
        <v>0</v>
      </c>
      <c r="BD793" s="5">
        <v>1</v>
      </c>
      <c r="BE793" t="s">
        <v>0</v>
      </c>
      <c r="BF793" t="s">
        <v>389</v>
      </c>
      <c r="BG793" t="s">
        <v>17</v>
      </c>
      <c r="BH793" t="s">
        <v>0</v>
      </c>
      <c r="BI793" t="s">
        <v>11</v>
      </c>
      <c r="BJ793" t="s">
        <v>0</v>
      </c>
      <c r="BK793" t="s">
        <v>0</v>
      </c>
      <c r="BL793" s="5">
        <v>0</v>
      </c>
      <c r="BM793" t="s">
        <v>0</v>
      </c>
      <c r="BN793" t="s">
        <v>0</v>
      </c>
      <c r="BO793" t="s">
        <v>0</v>
      </c>
      <c r="BP793" t="s">
        <v>17</v>
      </c>
      <c r="BQ793" t="s">
        <v>0</v>
      </c>
      <c r="BR793" t="s">
        <v>17</v>
      </c>
      <c r="BS793" t="s">
        <v>17</v>
      </c>
      <c r="BT793" t="s">
        <v>0</v>
      </c>
      <c r="BU793" t="s">
        <v>0</v>
      </c>
      <c r="BV793" t="s">
        <v>0</v>
      </c>
      <c r="BW793" t="s">
        <v>0</v>
      </c>
      <c r="BX793" t="s">
        <v>0</v>
      </c>
      <c r="BY793" t="s">
        <v>0</v>
      </c>
      <c r="BZ793" t="s">
        <v>0</v>
      </c>
      <c r="CA793" t="s">
        <v>0</v>
      </c>
      <c r="CB793" t="s">
        <v>0</v>
      </c>
    </row>
    <row r="794" spans="1:80" x14ac:dyDescent="0.25">
      <c r="A794" t="s">
        <v>396</v>
      </c>
      <c r="B794" s="2">
        <v>45727</v>
      </c>
      <c r="C794" s="2"/>
      <c r="D794" s="2"/>
      <c r="E794" t="s">
        <v>2</v>
      </c>
      <c r="F794" t="s">
        <v>3</v>
      </c>
      <c r="G794" t="s">
        <v>98</v>
      </c>
      <c r="H794" t="s">
        <v>4</v>
      </c>
      <c r="I794" t="s">
        <v>385</v>
      </c>
      <c r="J794" t="s">
        <v>6</v>
      </c>
      <c r="K794" t="s">
        <v>26</v>
      </c>
      <c r="L794" t="s">
        <v>390</v>
      </c>
      <c r="M794" t="s">
        <v>391</v>
      </c>
      <c r="N794" t="s">
        <v>10</v>
      </c>
      <c r="O794" t="s">
        <v>0</v>
      </c>
      <c r="P794" t="s">
        <v>11</v>
      </c>
      <c r="Q794" s="5">
        <v>4</v>
      </c>
      <c r="R794" s="4">
        <v>51750</v>
      </c>
      <c r="S794" s="5">
        <v>1</v>
      </c>
      <c r="T794" s="4">
        <v>207000</v>
      </c>
      <c r="U794" s="5">
        <v>0</v>
      </c>
      <c r="V794" s="4">
        <v>0</v>
      </c>
      <c r="W794" s="5">
        <v>0</v>
      </c>
      <c r="X794" s="4">
        <v>0</v>
      </c>
      <c r="Y794" s="4">
        <f t="shared" si="24"/>
        <v>207000</v>
      </c>
      <c r="Z794" t="s">
        <v>0</v>
      </c>
      <c r="AA794" t="s">
        <v>2</v>
      </c>
      <c r="AB794" t="s">
        <v>103</v>
      </c>
      <c r="AC794">
        <f>_xlfn.XLOOKUP(AB794,'[1]GST Codes'!$A:$A,'[1]GST Codes'!$C:$C,0,0)</f>
        <v>18</v>
      </c>
      <c r="AD794">
        <f t="shared" si="25"/>
        <v>244260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  <c r="AJ794" t="s">
        <v>17</v>
      </c>
      <c r="AK794" t="s">
        <v>18</v>
      </c>
      <c r="AL794" t="s">
        <v>19</v>
      </c>
      <c r="AM794" t="s">
        <v>388</v>
      </c>
      <c r="AN794" t="s">
        <v>0</v>
      </c>
      <c r="AO794" t="s">
        <v>0</v>
      </c>
      <c r="AP794" t="s">
        <v>0</v>
      </c>
      <c r="AQ794" s="5">
        <v>4</v>
      </c>
      <c r="AR794" t="s">
        <v>11</v>
      </c>
      <c r="AS794" t="s">
        <v>0</v>
      </c>
      <c r="AT794" t="s">
        <v>17</v>
      </c>
      <c r="AU794" s="4">
        <v>0</v>
      </c>
      <c r="AV794" s="4">
        <v>0</v>
      </c>
      <c r="AW794" s="4">
        <v>0</v>
      </c>
      <c r="AX794" s="4">
        <v>0</v>
      </c>
      <c r="AY794" s="5">
        <v>0</v>
      </c>
      <c r="AZ794" s="5">
        <v>0</v>
      </c>
      <c r="BA794" s="5">
        <v>0</v>
      </c>
      <c r="BB794" s="2"/>
      <c r="BC794" t="s">
        <v>0</v>
      </c>
      <c r="BD794" s="5">
        <v>1</v>
      </c>
      <c r="BE794" t="s">
        <v>0</v>
      </c>
      <c r="BF794" t="s">
        <v>392</v>
      </c>
      <c r="BG794" t="s">
        <v>17</v>
      </c>
      <c r="BH794" t="s">
        <v>0</v>
      </c>
      <c r="BI794" t="s">
        <v>11</v>
      </c>
      <c r="BJ794" t="s">
        <v>0</v>
      </c>
      <c r="BK794" t="s">
        <v>0</v>
      </c>
      <c r="BL794" s="5">
        <v>0</v>
      </c>
      <c r="BM794" t="s">
        <v>0</v>
      </c>
      <c r="BN794" t="s">
        <v>0</v>
      </c>
      <c r="BO794" t="s">
        <v>0</v>
      </c>
      <c r="BP794" t="s">
        <v>17</v>
      </c>
      <c r="BQ794" t="s">
        <v>0</v>
      </c>
      <c r="BR794" t="s">
        <v>17</v>
      </c>
      <c r="BS794" t="s">
        <v>17</v>
      </c>
      <c r="BT794" t="s">
        <v>0</v>
      </c>
      <c r="BU794" t="s">
        <v>0</v>
      </c>
      <c r="BV794" t="s">
        <v>0</v>
      </c>
      <c r="BW794" t="s">
        <v>0</v>
      </c>
      <c r="BX794" t="s">
        <v>0</v>
      </c>
      <c r="BY794" t="s">
        <v>0</v>
      </c>
      <c r="BZ794" t="s">
        <v>0</v>
      </c>
      <c r="CA794" t="s">
        <v>0</v>
      </c>
      <c r="CB794" t="s">
        <v>0</v>
      </c>
    </row>
    <row r="795" spans="1:80" x14ac:dyDescent="0.25">
      <c r="A795" t="s">
        <v>396</v>
      </c>
      <c r="B795" s="2">
        <v>45727</v>
      </c>
      <c r="C795" s="2"/>
      <c r="D795" s="2"/>
      <c r="E795" t="s">
        <v>2</v>
      </c>
      <c r="F795" t="s">
        <v>3</v>
      </c>
      <c r="G795" t="s">
        <v>98</v>
      </c>
      <c r="H795" t="s">
        <v>4</v>
      </c>
      <c r="I795" t="s">
        <v>385</v>
      </c>
      <c r="J795" t="s">
        <v>6</v>
      </c>
      <c r="K795" t="s">
        <v>30</v>
      </c>
      <c r="L795" t="s">
        <v>390</v>
      </c>
      <c r="M795" t="s">
        <v>391</v>
      </c>
      <c r="N795" t="s">
        <v>10</v>
      </c>
      <c r="O795" t="s">
        <v>0</v>
      </c>
      <c r="P795" t="s">
        <v>11</v>
      </c>
      <c r="Q795" s="5">
        <v>4</v>
      </c>
      <c r="R795" s="4">
        <v>51750</v>
      </c>
      <c r="S795" s="5">
        <v>1</v>
      </c>
      <c r="T795" s="4">
        <v>207000</v>
      </c>
      <c r="U795" s="5">
        <v>0</v>
      </c>
      <c r="V795" s="4">
        <v>0</v>
      </c>
      <c r="W795" s="5">
        <v>0</v>
      </c>
      <c r="X795" s="4">
        <v>0</v>
      </c>
      <c r="Y795" s="4">
        <f t="shared" si="24"/>
        <v>207000</v>
      </c>
      <c r="Z795" t="s">
        <v>0</v>
      </c>
      <c r="AA795" t="s">
        <v>2</v>
      </c>
      <c r="AB795" t="s">
        <v>103</v>
      </c>
      <c r="AC795">
        <f>_xlfn.XLOOKUP(AB795,'[1]GST Codes'!$A:$A,'[1]GST Codes'!$C:$C,0,0)</f>
        <v>18</v>
      </c>
      <c r="AD795">
        <f t="shared" si="25"/>
        <v>244260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  <c r="AJ795" t="s">
        <v>17</v>
      </c>
      <c r="AK795" t="s">
        <v>18</v>
      </c>
      <c r="AL795" t="s">
        <v>19</v>
      </c>
      <c r="AM795" t="s">
        <v>388</v>
      </c>
      <c r="AN795" t="s">
        <v>0</v>
      </c>
      <c r="AO795" t="s">
        <v>0</v>
      </c>
      <c r="AP795" t="s">
        <v>0</v>
      </c>
      <c r="AQ795" s="5">
        <v>4</v>
      </c>
      <c r="AR795" t="s">
        <v>11</v>
      </c>
      <c r="AS795" t="s">
        <v>0</v>
      </c>
      <c r="AT795" t="s">
        <v>17</v>
      </c>
      <c r="AU795" s="4">
        <v>0</v>
      </c>
      <c r="AV795" s="4">
        <v>0</v>
      </c>
      <c r="AW795" s="4">
        <v>0</v>
      </c>
      <c r="AX795" s="4">
        <v>0</v>
      </c>
      <c r="AY795" s="5">
        <v>0</v>
      </c>
      <c r="AZ795" s="5">
        <v>0</v>
      </c>
      <c r="BA795" s="5">
        <v>0</v>
      </c>
      <c r="BB795" s="2"/>
      <c r="BC795" t="s">
        <v>0</v>
      </c>
      <c r="BD795" s="5">
        <v>1</v>
      </c>
      <c r="BE795" t="s">
        <v>0</v>
      </c>
      <c r="BF795" t="s">
        <v>392</v>
      </c>
      <c r="BG795" t="s">
        <v>17</v>
      </c>
      <c r="BH795" t="s">
        <v>0</v>
      </c>
      <c r="BI795" t="s">
        <v>11</v>
      </c>
      <c r="BJ795" t="s">
        <v>0</v>
      </c>
      <c r="BK795" t="s">
        <v>0</v>
      </c>
      <c r="BL795" s="5">
        <v>0</v>
      </c>
      <c r="BM795" t="s">
        <v>0</v>
      </c>
      <c r="BN795" t="s">
        <v>0</v>
      </c>
      <c r="BO795" t="s">
        <v>0</v>
      </c>
      <c r="BP795" t="s">
        <v>17</v>
      </c>
      <c r="BQ795" t="s">
        <v>0</v>
      </c>
      <c r="BR795" t="s">
        <v>17</v>
      </c>
      <c r="BS795" t="s">
        <v>17</v>
      </c>
      <c r="BT795" t="s">
        <v>0</v>
      </c>
      <c r="BU795" t="s">
        <v>0</v>
      </c>
      <c r="BV795" t="s">
        <v>0</v>
      </c>
      <c r="BW795" t="s">
        <v>0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</row>
    <row r="796" spans="1:80" x14ac:dyDescent="0.25">
      <c r="A796" t="s">
        <v>396</v>
      </c>
      <c r="B796" s="2">
        <v>45727</v>
      </c>
      <c r="C796" s="2"/>
      <c r="D796" s="2"/>
      <c r="E796" t="s">
        <v>2</v>
      </c>
      <c r="F796" t="s">
        <v>3</v>
      </c>
      <c r="G796" t="s">
        <v>98</v>
      </c>
      <c r="H796" t="s">
        <v>4</v>
      </c>
      <c r="I796" t="s">
        <v>385</v>
      </c>
      <c r="J796" t="s">
        <v>6</v>
      </c>
      <c r="K796" t="s">
        <v>34</v>
      </c>
      <c r="L796" t="s">
        <v>390</v>
      </c>
      <c r="M796" t="s">
        <v>391</v>
      </c>
      <c r="N796" t="s">
        <v>10</v>
      </c>
      <c r="O796" t="s">
        <v>0</v>
      </c>
      <c r="P796" t="s">
        <v>11</v>
      </c>
      <c r="Q796" s="5">
        <v>7</v>
      </c>
      <c r="R796" s="4">
        <v>51750</v>
      </c>
      <c r="S796" s="5">
        <v>1</v>
      </c>
      <c r="T796" s="4">
        <v>362250</v>
      </c>
      <c r="U796" s="5">
        <v>0</v>
      </c>
      <c r="V796" s="4">
        <v>0</v>
      </c>
      <c r="W796" s="5">
        <v>0</v>
      </c>
      <c r="X796" s="4">
        <v>0</v>
      </c>
      <c r="Y796" s="4">
        <f t="shared" si="24"/>
        <v>362250</v>
      </c>
      <c r="Z796" t="s">
        <v>0</v>
      </c>
      <c r="AA796" t="s">
        <v>2</v>
      </c>
      <c r="AB796" t="s">
        <v>103</v>
      </c>
      <c r="AC796">
        <f>_xlfn.XLOOKUP(AB796,'[1]GST Codes'!$A:$A,'[1]GST Codes'!$C:$C,0,0)</f>
        <v>18</v>
      </c>
      <c r="AD796">
        <f t="shared" si="25"/>
        <v>427455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17</v>
      </c>
      <c r="AK796" t="s">
        <v>18</v>
      </c>
      <c r="AL796" t="s">
        <v>19</v>
      </c>
      <c r="AM796" t="s">
        <v>388</v>
      </c>
      <c r="AN796" t="s">
        <v>0</v>
      </c>
      <c r="AO796" t="s">
        <v>0</v>
      </c>
      <c r="AP796" t="s">
        <v>0</v>
      </c>
      <c r="AQ796" s="5">
        <v>7</v>
      </c>
      <c r="AR796" t="s">
        <v>11</v>
      </c>
      <c r="AS796" t="s">
        <v>0</v>
      </c>
      <c r="AT796" t="s">
        <v>17</v>
      </c>
      <c r="AU796" s="4">
        <v>0</v>
      </c>
      <c r="AV796" s="4">
        <v>0</v>
      </c>
      <c r="AW796" s="4">
        <v>0</v>
      </c>
      <c r="AX796" s="4">
        <v>0</v>
      </c>
      <c r="AY796" s="5">
        <v>0</v>
      </c>
      <c r="AZ796" s="5">
        <v>0</v>
      </c>
      <c r="BA796" s="5">
        <v>0</v>
      </c>
      <c r="BB796" s="2"/>
      <c r="BC796" t="s">
        <v>0</v>
      </c>
      <c r="BD796" s="5">
        <v>1</v>
      </c>
      <c r="BE796" t="s">
        <v>0</v>
      </c>
      <c r="BF796" t="s">
        <v>392</v>
      </c>
      <c r="BG796" t="s">
        <v>17</v>
      </c>
      <c r="BH796" t="s">
        <v>0</v>
      </c>
      <c r="BI796" t="s">
        <v>11</v>
      </c>
      <c r="BJ796" t="s">
        <v>0</v>
      </c>
      <c r="BK796" t="s">
        <v>0</v>
      </c>
      <c r="BL796" s="5">
        <v>0</v>
      </c>
      <c r="BM796" t="s">
        <v>0</v>
      </c>
      <c r="BN796" t="s">
        <v>0</v>
      </c>
      <c r="BO796" t="s">
        <v>0</v>
      </c>
      <c r="BP796" t="s">
        <v>17</v>
      </c>
      <c r="BQ796" t="s">
        <v>0</v>
      </c>
      <c r="BR796" t="s">
        <v>17</v>
      </c>
      <c r="BS796" t="s">
        <v>17</v>
      </c>
      <c r="BT796" t="s">
        <v>0</v>
      </c>
      <c r="BU796" t="s">
        <v>0</v>
      </c>
      <c r="BV796" t="s">
        <v>0</v>
      </c>
      <c r="BW796" t="s">
        <v>0</v>
      </c>
      <c r="BX796" t="s">
        <v>0</v>
      </c>
      <c r="BY796" t="s">
        <v>0</v>
      </c>
      <c r="BZ796" t="s">
        <v>0</v>
      </c>
      <c r="CA796" t="s">
        <v>0</v>
      </c>
      <c r="CB796" t="s">
        <v>0</v>
      </c>
    </row>
    <row r="797" spans="1:80" x14ac:dyDescent="0.25">
      <c r="A797" t="s">
        <v>396</v>
      </c>
      <c r="B797" s="2">
        <v>45727</v>
      </c>
      <c r="C797" s="2"/>
      <c r="D797" s="2"/>
      <c r="E797" t="s">
        <v>2</v>
      </c>
      <c r="F797" t="s">
        <v>3</v>
      </c>
      <c r="G797" t="s">
        <v>98</v>
      </c>
      <c r="H797" t="s">
        <v>4</v>
      </c>
      <c r="I797" t="s">
        <v>385</v>
      </c>
      <c r="J797" t="s">
        <v>6</v>
      </c>
      <c r="K797" t="s">
        <v>38</v>
      </c>
      <c r="L797" t="s">
        <v>390</v>
      </c>
      <c r="M797" t="s">
        <v>391</v>
      </c>
      <c r="N797" t="s">
        <v>10</v>
      </c>
      <c r="O797" t="s">
        <v>0</v>
      </c>
      <c r="P797" t="s">
        <v>11</v>
      </c>
      <c r="Q797" s="5">
        <v>7</v>
      </c>
      <c r="R797" s="4">
        <v>51750</v>
      </c>
      <c r="S797" s="5">
        <v>1</v>
      </c>
      <c r="T797" s="4">
        <v>362250</v>
      </c>
      <c r="U797" s="5">
        <v>0</v>
      </c>
      <c r="V797" s="4">
        <v>0</v>
      </c>
      <c r="W797" s="5">
        <v>0</v>
      </c>
      <c r="X797" s="4">
        <v>0</v>
      </c>
      <c r="Y797" s="4">
        <f t="shared" si="24"/>
        <v>362250</v>
      </c>
      <c r="Z797" t="s">
        <v>0</v>
      </c>
      <c r="AA797" t="s">
        <v>2</v>
      </c>
      <c r="AB797" t="s">
        <v>103</v>
      </c>
      <c r="AC797">
        <f>_xlfn.XLOOKUP(AB797,'[1]GST Codes'!$A:$A,'[1]GST Codes'!$C:$C,0,0)</f>
        <v>18</v>
      </c>
      <c r="AD797">
        <f t="shared" si="25"/>
        <v>427455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17</v>
      </c>
      <c r="AK797" t="s">
        <v>18</v>
      </c>
      <c r="AL797" t="s">
        <v>19</v>
      </c>
      <c r="AM797" t="s">
        <v>388</v>
      </c>
      <c r="AN797" t="s">
        <v>0</v>
      </c>
      <c r="AO797" t="s">
        <v>0</v>
      </c>
      <c r="AP797" t="s">
        <v>0</v>
      </c>
      <c r="AQ797" s="5">
        <v>7</v>
      </c>
      <c r="AR797" t="s">
        <v>11</v>
      </c>
      <c r="AS797" t="s">
        <v>0</v>
      </c>
      <c r="AT797" t="s">
        <v>17</v>
      </c>
      <c r="AU797" s="4">
        <v>0</v>
      </c>
      <c r="AV797" s="4">
        <v>0</v>
      </c>
      <c r="AW797" s="4">
        <v>0</v>
      </c>
      <c r="AX797" s="4">
        <v>0</v>
      </c>
      <c r="AY797" s="5">
        <v>0</v>
      </c>
      <c r="AZ797" s="5">
        <v>0</v>
      </c>
      <c r="BA797" s="5">
        <v>0</v>
      </c>
      <c r="BB797" s="2"/>
      <c r="BC797" t="s">
        <v>0</v>
      </c>
      <c r="BD797" s="5">
        <v>1</v>
      </c>
      <c r="BE797" t="s">
        <v>0</v>
      </c>
      <c r="BF797" t="s">
        <v>392</v>
      </c>
      <c r="BG797" t="s">
        <v>17</v>
      </c>
      <c r="BH797" t="s">
        <v>0</v>
      </c>
      <c r="BI797" t="s">
        <v>11</v>
      </c>
      <c r="BJ797" t="s">
        <v>0</v>
      </c>
      <c r="BK797" t="s">
        <v>0</v>
      </c>
      <c r="BL797" s="5">
        <v>0</v>
      </c>
      <c r="BM797" t="s">
        <v>0</v>
      </c>
      <c r="BN797" t="s">
        <v>0</v>
      </c>
      <c r="BO797" t="s">
        <v>0</v>
      </c>
      <c r="BP797" t="s">
        <v>17</v>
      </c>
      <c r="BQ797" t="s">
        <v>0</v>
      </c>
      <c r="BR797" t="s">
        <v>17</v>
      </c>
      <c r="BS797" t="s">
        <v>17</v>
      </c>
      <c r="BT797" t="s">
        <v>0</v>
      </c>
      <c r="BU797" t="s">
        <v>0</v>
      </c>
      <c r="BV797" t="s">
        <v>0</v>
      </c>
      <c r="BW797" t="s">
        <v>0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</row>
    <row r="798" spans="1:80" x14ac:dyDescent="0.25">
      <c r="A798" t="s">
        <v>396</v>
      </c>
      <c r="B798" s="2">
        <v>45727</v>
      </c>
      <c r="C798" s="2"/>
      <c r="D798" s="2"/>
      <c r="E798" t="s">
        <v>2</v>
      </c>
      <c r="F798" t="s">
        <v>3</v>
      </c>
      <c r="G798" t="s">
        <v>98</v>
      </c>
      <c r="H798" t="s">
        <v>4</v>
      </c>
      <c r="I798" t="s">
        <v>385</v>
      </c>
      <c r="J798" t="s">
        <v>6</v>
      </c>
      <c r="K798" t="s">
        <v>42</v>
      </c>
      <c r="L798" t="s">
        <v>390</v>
      </c>
      <c r="M798" t="s">
        <v>391</v>
      </c>
      <c r="N798" t="s">
        <v>10</v>
      </c>
      <c r="O798" t="s">
        <v>0</v>
      </c>
      <c r="P798" t="s">
        <v>11</v>
      </c>
      <c r="Q798" s="5">
        <v>2</v>
      </c>
      <c r="R798" s="4">
        <v>51750</v>
      </c>
      <c r="S798" s="5">
        <v>1</v>
      </c>
      <c r="T798" s="4">
        <v>103500</v>
      </c>
      <c r="U798" s="5">
        <v>0</v>
      </c>
      <c r="V798" s="4">
        <v>0</v>
      </c>
      <c r="W798" s="5">
        <v>0</v>
      </c>
      <c r="X798" s="4">
        <v>0</v>
      </c>
      <c r="Y798" s="4">
        <f t="shared" si="24"/>
        <v>103500</v>
      </c>
      <c r="Z798" t="s">
        <v>0</v>
      </c>
      <c r="AA798" t="s">
        <v>2</v>
      </c>
      <c r="AB798" t="s">
        <v>103</v>
      </c>
      <c r="AC798">
        <f>_xlfn.XLOOKUP(AB798,'[1]GST Codes'!$A:$A,'[1]GST Codes'!$C:$C,0,0)</f>
        <v>18</v>
      </c>
      <c r="AD798">
        <f t="shared" si="25"/>
        <v>122130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17</v>
      </c>
      <c r="AK798" t="s">
        <v>18</v>
      </c>
      <c r="AL798" t="s">
        <v>19</v>
      </c>
      <c r="AM798" t="s">
        <v>388</v>
      </c>
      <c r="AN798" t="s">
        <v>0</v>
      </c>
      <c r="AO798" t="s">
        <v>0</v>
      </c>
      <c r="AP798" t="s">
        <v>0</v>
      </c>
      <c r="AQ798" s="5">
        <v>2</v>
      </c>
      <c r="AR798" t="s">
        <v>11</v>
      </c>
      <c r="AS798" t="s">
        <v>0</v>
      </c>
      <c r="AT798" t="s">
        <v>17</v>
      </c>
      <c r="AU798" s="4">
        <v>0</v>
      </c>
      <c r="AV798" s="4">
        <v>0</v>
      </c>
      <c r="AW798" s="4">
        <v>0</v>
      </c>
      <c r="AX798" s="4">
        <v>0</v>
      </c>
      <c r="AY798" s="5">
        <v>0</v>
      </c>
      <c r="AZ798" s="5">
        <v>0</v>
      </c>
      <c r="BA798" s="5">
        <v>0</v>
      </c>
      <c r="BB798" s="2"/>
      <c r="BC798" t="s">
        <v>0</v>
      </c>
      <c r="BD798" s="5">
        <v>1</v>
      </c>
      <c r="BE798" t="s">
        <v>0</v>
      </c>
      <c r="BF798" t="s">
        <v>392</v>
      </c>
      <c r="BG798" t="s">
        <v>17</v>
      </c>
      <c r="BH798" t="s">
        <v>0</v>
      </c>
      <c r="BI798" t="s">
        <v>11</v>
      </c>
      <c r="BJ798" t="s">
        <v>0</v>
      </c>
      <c r="BK798" t="s">
        <v>0</v>
      </c>
      <c r="BL798" s="5">
        <v>0</v>
      </c>
      <c r="BM798" t="s">
        <v>0</v>
      </c>
      <c r="BN798" t="s">
        <v>0</v>
      </c>
      <c r="BO798" t="s">
        <v>0</v>
      </c>
      <c r="BP798" t="s">
        <v>17</v>
      </c>
      <c r="BQ798" t="s">
        <v>0</v>
      </c>
      <c r="BR798" t="s">
        <v>17</v>
      </c>
      <c r="BS798" t="s">
        <v>17</v>
      </c>
      <c r="BT798" t="s">
        <v>0</v>
      </c>
      <c r="BU798" t="s">
        <v>0</v>
      </c>
      <c r="BV798" t="s">
        <v>0</v>
      </c>
      <c r="BW798" t="s">
        <v>0</v>
      </c>
      <c r="BX798" t="s">
        <v>0</v>
      </c>
      <c r="BY798" t="s">
        <v>0</v>
      </c>
      <c r="BZ798" t="s">
        <v>0</v>
      </c>
      <c r="CA798" t="s">
        <v>0</v>
      </c>
      <c r="CB798" t="s">
        <v>0</v>
      </c>
    </row>
    <row r="799" spans="1:80" x14ac:dyDescent="0.25">
      <c r="A799" t="s">
        <v>396</v>
      </c>
      <c r="B799" s="2">
        <v>45727</v>
      </c>
      <c r="C799" s="2"/>
      <c r="D799" s="2"/>
      <c r="E799" t="s">
        <v>2</v>
      </c>
      <c r="F799" t="s">
        <v>3</v>
      </c>
      <c r="G799" t="s">
        <v>98</v>
      </c>
      <c r="H799" t="s">
        <v>4</v>
      </c>
      <c r="I799" t="s">
        <v>385</v>
      </c>
      <c r="J799" t="s">
        <v>6</v>
      </c>
      <c r="K799" t="s">
        <v>86</v>
      </c>
      <c r="L799" t="s">
        <v>390</v>
      </c>
      <c r="M799" t="s">
        <v>391</v>
      </c>
      <c r="N799" t="s">
        <v>10</v>
      </c>
      <c r="O799" t="s">
        <v>0</v>
      </c>
      <c r="P799" t="s">
        <v>11</v>
      </c>
      <c r="Q799" s="5">
        <v>2</v>
      </c>
      <c r="R799" s="4">
        <v>51750</v>
      </c>
      <c r="S799" s="5">
        <v>1</v>
      </c>
      <c r="T799" s="4">
        <v>103500</v>
      </c>
      <c r="U799" s="5">
        <v>0</v>
      </c>
      <c r="V799" s="4">
        <v>0</v>
      </c>
      <c r="W799" s="5">
        <v>0</v>
      </c>
      <c r="X799" s="4">
        <v>0</v>
      </c>
      <c r="Y799" s="4">
        <f t="shared" si="24"/>
        <v>103500</v>
      </c>
      <c r="Z799" t="s">
        <v>0</v>
      </c>
      <c r="AA799" t="s">
        <v>2</v>
      </c>
      <c r="AB799" t="s">
        <v>103</v>
      </c>
      <c r="AC799">
        <f>_xlfn.XLOOKUP(AB799,'[1]GST Codes'!$A:$A,'[1]GST Codes'!$C:$C,0,0)</f>
        <v>18</v>
      </c>
      <c r="AD799">
        <f t="shared" si="25"/>
        <v>122130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17</v>
      </c>
      <c r="AK799" t="s">
        <v>18</v>
      </c>
      <c r="AL799" t="s">
        <v>19</v>
      </c>
      <c r="AM799" t="s">
        <v>388</v>
      </c>
      <c r="AN799" t="s">
        <v>0</v>
      </c>
      <c r="AO799" t="s">
        <v>0</v>
      </c>
      <c r="AP799" t="s">
        <v>0</v>
      </c>
      <c r="AQ799" s="5">
        <v>2</v>
      </c>
      <c r="AR799" t="s">
        <v>11</v>
      </c>
      <c r="AS799" t="s">
        <v>0</v>
      </c>
      <c r="AT799" t="s">
        <v>17</v>
      </c>
      <c r="AU799" s="4">
        <v>0</v>
      </c>
      <c r="AV799" s="4">
        <v>0</v>
      </c>
      <c r="AW799" s="4">
        <v>0</v>
      </c>
      <c r="AX799" s="4">
        <v>0</v>
      </c>
      <c r="AY799" s="5">
        <v>0</v>
      </c>
      <c r="AZ799" s="5">
        <v>0</v>
      </c>
      <c r="BA799" s="5">
        <v>0</v>
      </c>
      <c r="BB799" s="2"/>
      <c r="BC799" t="s">
        <v>0</v>
      </c>
      <c r="BD799" s="5">
        <v>1</v>
      </c>
      <c r="BE799" t="s">
        <v>0</v>
      </c>
      <c r="BF799" t="s">
        <v>392</v>
      </c>
      <c r="BG799" t="s">
        <v>17</v>
      </c>
      <c r="BH799" t="s">
        <v>0</v>
      </c>
      <c r="BI799" t="s">
        <v>11</v>
      </c>
      <c r="BJ799" t="s">
        <v>0</v>
      </c>
      <c r="BK799" t="s">
        <v>0</v>
      </c>
      <c r="BL799" s="5">
        <v>0</v>
      </c>
      <c r="BM799" t="s">
        <v>0</v>
      </c>
      <c r="BN799" t="s">
        <v>0</v>
      </c>
      <c r="BO799" t="s">
        <v>0</v>
      </c>
      <c r="BP799" t="s">
        <v>17</v>
      </c>
      <c r="BQ799" t="s">
        <v>0</v>
      </c>
      <c r="BR799" t="s">
        <v>17</v>
      </c>
      <c r="BS799" t="s">
        <v>17</v>
      </c>
      <c r="BT799" t="s">
        <v>0</v>
      </c>
      <c r="BU799" t="s">
        <v>0</v>
      </c>
      <c r="BV799" t="s">
        <v>0</v>
      </c>
      <c r="BW799" t="s">
        <v>0</v>
      </c>
      <c r="BX799" t="s">
        <v>0</v>
      </c>
      <c r="BY799" t="s">
        <v>0</v>
      </c>
      <c r="BZ799" t="s">
        <v>0</v>
      </c>
      <c r="CA799" t="s">
        <v>0</v>
      </c>
      <c r="CB799" t="s">
        <v>0</v>
      </c>
    </row>
    <row r="800" spans="1:80" x14ac:dyDescent="0.25">
      <c r="A800" t="s">
        <v>396</v>
      </c>
      <c r="B800" s="2">
        <v>45727</v>
      </c>
      <c r="C800" s="2"/>
      <c r="D800" s="2"/>
      <c r="E800" t="s">
        <v>2</v>
      </c>
      <c r="F800" t="s">
        <v>3</v>
      </c>
      <c r="G800" t="s">
        <v>98</v>
      </c>
      <c r="H800" t="s">
        <v>4</v>
      </c>
      <c r="I800" t="s">
        <v>385</v>
      </c>
      <c r="J800" t="s">
        <v>6</v>
      </c>
      <c r="K800" t="s">
        <v>87</v>
      </c>
      <c r="L800" t="s">
        <v>390</v>
      </c>
      <c r="M800" t="s">
        <v>391</v>
      </c>
      <c r="N800" t="s">
        <v>10</v>
      </c>
      <c r="O800" t="s">
        <v>0</v>
      </c>
      <c r="P800" t="s">
        <v>11</v>
      </c>
      <c r="Q800" s="5">
        <v>19</v>
      </c>
      <c r="R800" s="4">
        <v>51750</v>
      </c>
      <c r="S800" s="5">
        <v>1</v>
      </c>
      <c r="T800" s="4">
        <v>983250</v>
      </c>
      <c r="U800" s="5">
        <v>0</v>
      </c>
      <c r="V800" s="4">
        <v>0</v>
      </c>
      <c r="W800" s="5">
        <v>0</v>
      </c>
      <c r="X800" s="4">
        <v>0</v>
      </c>
      <c r="Y800" s="4">
        <f t="shared" si="24"/>
        <v>983250</v>
      </c>
      <c r="Z800" t="s">
        <v>0</v>
      </c>
      <c r="AA800" t="s">
        <v>2</v>
      </c>
      <c r="AB800" t="s">
        <v>103</v>
      </c>
      <c r="AC800">
        <f>_xlfn.XLOOKUP(AB800,'[1]GST Codes'!$A:$A,'[1]GST Codes'!$C:$C,0,0)</f>
        <v>18</v>
      </c>
      <c r="AD800">
        <f t="shared" si="25"/>
        <v>1160235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17</v>
      </c>
      <c r="AK800" t="s">
        <v>18</v>
      </c>
      <c r="AL800" t="s">
        <v>19</v>
      </c>
      <c r="AM800" t="s">
        <v>388</v>
      </c>
      <c r="AN800" t="s">
        <v>0</v>
      </c>
      <c r="AO800" t="s">
        <v>0</v>
      </c>
      <c r="AP800" t="s">
        <v>0</v>
      </c>
      <c r="AQ800" s="5">
        <v>19</v>
      </c>
      <c r="AR800" t="s">
        <v>11</v>
      </c>
      <c r="AS800" t="s">
        <v>0</v>
      </c>
      <c r="AT800" t="s">
        <v>17</v>
      </c>
      <c r="AU800" s="4">
        <v>0</v>
      </c>
      <c r="AV800" s="4">
        <v>0</v>
      </c>
      <c r="AW800" s="4">
        <v>0</v>
      </c>
      <c r="AX800" s="4">
        <v>0</v>
      </c>
      <c r="AY800" s="5">
        <v>0</v>
      </c>
      <c r="AZ800" s="5">
        <v>0</v>
      </c>
      <c r="BA800" s="5">
        <v>0</v>
      </c>
      <c r="BB800" s="2"/>
      <c r="BC800" t="s">
        <v>0</v>
      </c>
      <c r="BD800" s="5">
        <v>1</v>
      </c>
      <c r="BE800" t="s">
        <v>0</v>
      </c>
      <c r="BF800" t="s">
        <v>392</v>
      </c>
      <c r="BG800" t="s">
        <v>17</v>
      </c>
      <c r="BH800" t="s">
        <v>0</v>
      </c>
      <c r="BI800" t="s">
        <v>11</v>
      </c>
      <c r="BJ800" t="s">
        <v>0</v>
      </c>
      <c r="BK800" t="s">
        <v>0</v>
      </c>
      <c r="BL800" s="5">
        <v>0</v>
      </c>
      <c r="BM800" t="s">
        <v>0</v>
      </c>
      <c r="BN800" t="s">
        <v>0</v>
      </c>
      <c r="BO800" t="s">
        <v>0</v>
      </c>
      <c r="BP800" t="s">
        <v>17</v>
      </c>
      <c r="BQ800" t="s">
        <v>0</v>
      </c>
      <c r="BR800" t="s">
        <v>17</v>
      </c>
      <c r="BS800" t="s">
        <v>17</v>
      </c>
      <c r="BT800" t="s">
        <v>0</v>
      </c>
      <c r="BU800" t="s">
        <v>0</v>
      </c>
      <c r="BV800" t="s">
        <v>0</v>
      </c>
      <c r="BW800" t="s">
        <v>0</v>
      </c>
      <c r="BX800" t="s">
        <v>0</v>
      </c>
      <c r="BY800" t="s">
        <v>0</v>
      </c>
      <c r="BZ800" t="s">
        <v>0</v>
      </c>
      <c r="CA800" t="s">
        <v>0</v>
      </c>
      <c r="CB800" t="s">
        <v>0</v>
      </c>
    </row>
    <row r="801" spans="1:80" ht="13.95" customHeight="1" x14ac:dyDescent="0.25">
      <c r="A801" t="s">
        <v>397</v>
      </c>
      <c r="B801" s="2">
        <v>45755</v>
      </c>
      <c r="C801" s="2"/>
      <c r="D801" s="2"/>
      <c r="E801" t="s">
        <v>2</v>
      </c>
      <c r="F801" t="s">
        <v>3</v>
      </c>
      <c r="G801" t="s">
        <v>0</v>
      </c>
      <c r="H801" t="s">
        <v>4</v>
      </c>
      <c r="I801" t="s">
        <v>385</v>
      </c>
      <c r="J801" t="s">
        <v>6</v>
      </c>
      <c r="K801" t="s">
        <v>7</v>
      </c>
      <c r="L801" t="s">
        <v>390</v>
      </c>
      <c r="M801" t="s">
        <v>391</v>
      </c>
      <c r="N801" t="s">
        <v>10</v>
      </c>
      <c r="O801" t="s">
        <v>0</v>
      </c>
      <c r="P801" t="s">
        <v>11</v>
      </c>
      <c r="Q801" s="5">
        <v>9</v>
      </c>
      <c r="R801" s="4">
        <v>58750</v>
      </c>
      <c r="S801" s="5">
        <v>1</v>
      </c>
      <c r="T801" s="4">
        <v>528750</v>
      </c>
      <c r="U801" s="5">
        <v>0</v>
      </c>
      <c r="V801" s="4">
        <v>0</v>
      </c>
      <c r="W801" s="5">
        <v>0</v>
      </c>
      <c r="X801" s="4">
        <v>0</v>
      </c>
      <c r="Y801" s="4">
        <f t="shared" si="24"/>
        <v>528750</v>
      </c>
      <c r="Z801" s="6" t="s">
        <v>0</v>
      </c>
      <c r="AA801" t="s">
        <v>2</v>
      </c>
      <c r="AB801" t="s">
        <v>103</v>
      </c>
      <c r="AC801">
        <f>_xlfn.XLOOKUP(AB801,'[1]GST Codes'!$A:$A,'[1]GST Codes'!$C:$C,0,0)</f>
        <v>18</v>
      </c>
      <c r="AD801">
        <f t="shared" si="25"/>
        <v>623925</v>
      </c>
      <c r="AE801" t="s">
        <v>13</v>
      </c>
      <c r="AF801" t="s">
        <v>0</v>
      </c>
      <c r="AG801" t="s">
        <v>14</v>
      </c>
      <c r="AH801" t="s">
        <v>15</v>
      </c>
      <c r="AI801" t="s">
        <v>16</v>
      </c>
      <c r="AJ801" t="s">
        <v>17</v>
      </c>
      <c r="AK801" t="s">
        <v>18</v>
      </c>
      <c r="AL801" t="s">
        <v>19</v>
      </c>
      <c r="AM801" t="s">
        <v>388</v>
      </c>
      <c r="AN801" t="s">
        <v>0</v>
      </c>
      <c r="AO801" t="s">
        <v>0</v>
      </c>
      <c r="AP801" t="s">
        <v>0</v>
      </c>
      <c r="AQ801" s="5">
        <v>9</v>
      </c>
      <c r="AR801" t="s">
        <v>11</v>
      </c>
      <c r="AS801" t="s">
        <v>0</v>
      </c>
      <c r="AT801" t="s">
        <v>17</v>
      </c>
      <c r="AU801" s="4">
        <v>0</v>
      </c>
      <c r="AV801" s="4">
        <v>0</v>
      </c>
      <c r="AW801" s="4">
        <v>0</v>
      </c>
      <c r="AX801" s="4">
        <v>0</v>
      </c>
      <c r="AY801" s="5">
        <v>0</v>
      </c>
      <c r="AZ801" s="5">
        <v>0</v>
      </c>
      <c r="BA801" s="5">
        <v>0</v>
      </c>
      <c r="BB801" s="2"/>
      <c r="BC801" t="s">
        <v>0</v>
      </c>
      <c r="BD801" s="5">
        <v>1</v>
      </c>
      <c r="BE801" t="s">
        <v>0</v>
      </c>
      <c r="BF801" t="s">
        <v>392</v>
      </c>
      <c r="BG801" t="s">
        <v>17</v>
      </c>
      <c r="BH801" t="s">
        <v>0</v>
      </c>
      <c r="BI801" t="s">
        <v>11</v>
      </c>
      <c r="BJ801" t="s">
        <v>0</v>
      </c>
      <c r="BK801" t="s">
        <v>0</v>
      </c>
      <c r="BL801" s="5">
        <v>0</v>
      </c>
      <c r="BM801" t="s">
        <v>0</v>
      </c>
      <c r="BN801" t="s">
        <v>0</v>
      </c>
      <c r="BO801" t="s">
        <v>0</v>
      </c>
      <c r="BP801" t="s">
        <v>17</v>
      </c>
      <c r="BQ801" t="s">
        <v>0</v>
      </c>
      <c r="BR801" t="s">
        <v>17</v>
      </c>
      <c r="BS801" t="s">
        <v>17</v>
      </c>
      <c r="BT801" t="s">
        <v>0</v>
      </c>
      <c r="BU801" t="s">
        <v>0</v>
      </c>
      <c r="BV801" t="s">
        <v>0</v>
      </c>
      <c r="BW801" t="s">
        <v>0</v>
      </c>
      <c r="BX801" t="s">
        <v>0</v>
      </c>
      <c r="BY801" t="s">
        <v>0</v>
      </c>
      <c r="BZ801" t="s">
        <v>0</v>
      </c>
      <c r="CA801" t="s">
        <v>0</v>
      </c>
      <c r="CB801" t="s">
        <v>0</v>
      </c>
    </row>
    <row r="802" spans="1:80" ht="13.95" customHeight="1" x14ac:dyDescent="0.25">
      <c r="A802" t="s">
        <v>397</v>
      </c>
      <c r="B802" s="2">
        <v>45755</v>
      </c>
      <c r="C802" s="2"/>
      <c r="D802" s="2"/>
      <c r="E802" t="s">
        <v>2</v>
      </c>
      <c r="F802" t="s">
        <v>3</v>
      </c>
      <c r="G802" t="s">
        <v>0</v>
      </c>
      <c r="H802" t="s">
        <v>4</v>
      </c>
      <c r="I802" t="s">
        <v>385</v>
      </c>
      <c r="J802" t="s">
        <v>6</v>
      </c>
      <c r="K802" t="s">
        <v>22</v>
      </c>
      <c r="L802" t="s">
        <v>390</v>
      </c>
      <c r="M802" t="s">
        <v>391</v>
      </c>
      <c r="N802" t="s">
        <v>10</v>
      </c>
      <c r="O802" t="s">
        <v>0</v>
      </c>
      <c r="P802" t="s">
        <v>11</v>
      </c>
      <c r="Q802" s="5">
        <v>9</v>
      </c>
      <c r="R802" s="4">
        <v>58750</v>
      </c>
      <c r="S802" s="5">
        <v>1</v>
      </c>
      <c r="T802" s="4">
        <v>528750</v>
      </c>
      <c r="U802" s="5">
        <v>0</v>
      </c>
      <c r="V802" s="4">
        <v>0</v>
      </c>
      <c r="W802" s="5">
        <v>0</v>
      </c>
      <c r="X802" s="4">
        <v>0</v>
      </c>
      <c r="Y802" s="4">
        <f t="shared" si="24"/>
        <v>528750</v>
      </c>
      <c r="Z802" s="6" t="s">
        <v>0</v>
      </c>
      <c r="AA802" t="s">
        <v>2</v>
      </c>
      <c r="AB802" t="s">
        <v>103</v>
      </c>
      <c r="AC802">
        <f>_xlfn.XLOOKUP(AB802,'[1]GST Codes'!$A:$A,'[1]GST Codes'!$C:$C,0,0)</f>
        <v>18</v>
      </c>
      <c r="AD802">
        <f t="shared" si="25"/>
        <v>623925</v>
      </c>
      <c r="AE802" t="s">
        <v>13</v>
      </c>
      <c r="AF802" t="s">
        <v>0</v>
      </c>
      <c r="AG802" t="s">
        <v>14</v>
      </c>
      <c r="AH802" t="s">
        <v>15</v>
      </c>
      <c r="AI802" t="s">
        <v>16</v>
      </c>
      <c r="AJ802" t="s">
        <v>17</v>
      </c>
      <c r="AK802" t="s">
        <v>18</v>
      </c>
      <c r="AL802" t="s">
        <v>19</v>
      </c>
      <c r="AM802" t="s">
        <v>388</v>
      </c>
      <c r="AN802" t="s">
        <v>0</v>
      </c>
      <c r="AO802" t="s">
        <v>0</v>
      </c>
      <c r="AP802" t="s">
        <v>0</v>
      </c>
      <c r="AQ802" s="5">
        <v>9</v>
      </c>
      <c r="AR802" t="s">
        <v>11</v>
      </c>
      <c r="AS802" t="s">
        <v>0</v>
      </c>
      <c r="AT802" t="s">
        <v>17</v>
      </c>
      <c r="AU802" s="4">
        <v>0</v>
      </c>
      <c r="AV802" s="4">
        <v>0</v>
      </c>
      <c r="AW802" s="4">
        <v>0</v>
      </c>
      <c r="AX802" s="4">
        <v>0</v>
      </c>
      <c r="AY802" s="5">
        <v>0</v>
      </c>
      <c r="AZ802" s="5">
        <v>0</v>
      </c>
      <c r="BA802" s="5">
        <v>0</v>
      </c>
      <c r="BB802" s="2"/>
      <c r="BC802" t="s">
        <v>0</v>
      </c>
      <c r="BD802" s="5">
        <v>1</v>
      </c>
      <c r="BE802" t="s">
        <v>0</v>
      </c>
      <c r="BF802" t="s">
        <v>392</v>
      </c>
      <c r="BG802" t="s">
        <v>17</v>
      </c>
      <c r="BH802" t="s">
        <v>0</v>
      </c>
      <c r="BI802" t="s">
        <v>11</v>
      </c>
      <c r="BJ802" t="s">
        <v>0</v>
      </c>
      <c r="BK802" t="s">
        <v>0</v>
      </c>
      <c r="BL802" s="5">
        <v>0</v>
      </c>
      <c r="BM802" t="s">
        <v>0</v>
      </c>
      <c r="BN802" t="s">
        <v>0</v>
      </c>
      <c r="BO802" t="s">
        <v>0</v>
      </c>
      <c r="BP802" t="s">
        <v>17</v>
      </c>
      <c r="BQ802" t="s">
        <v>0</v>
      </c>
      <c r="BR802" t="s">
        <v>17</v>
      </c>
      <c r="BS802" t="s">
        <v>17</v>
      </c>
      <c r="BT802" t="s">
        <v>0</v>
      </c>
      <c r="BU802" t="s">
        <v>0</v>
      </c>
      <c r="BV802" t="s">
        <v>0</v>
      </c>
      <c r="BW802" t="s">
        <v>0</v>
      </c>
      <c r="BX802" t="s">
        <v>0</v>
      </c>
      <c r="BY802" t="s">
        <v>0</v>
      </c>
      <c r="BZ802" t="s">
        <v>0</v>
      </c>
      <c r="CA802" t="s">
        <v>0</v>
      </c>
      <c r="CB802" t="s">
        <v>0</v>
      </c>
    </row>
    <row r="803" spans="1:80" ht="13.95" customHeight="1" x14ac:dyDescent="0.25">
      <c r="A803" t="s">
        <v>397</v>
      </c>
      <c r="B803" s="2">
        <v>45755</v>
      </c>
      <c r="C803" s="2"/>
      <c r="D803" s="2"/>
      <c r="E803" t="s">
        <v>2</v>
      </c>
      <c r="F803" t="s">
        <v>3</v>
      </c>
      <c r="G803" t="s">
        <v>0</v>
      </c>
      <c r="H803" t="s">
        <v>4</v>
      </c>
      <c r="I803" t="s">
        <v>385</v>
      </c>
      <c r="J803" t="s">
        <v>6</v>
      </c>
      <c r="K803" t="s">
        <v>26</v>
      </c>
      <c r="L803" t="s">
        <v>390</v>
      </c>
      <c r="M803" t="s">
        <v>391</v>
      </c>
      <c r="N803" t="s">
        <v>10</v>
      </c>
      <c r="O803" t="s">
        <v>0</v>
      </c>
      <c r="P803" t="s">
        <v>11</v>
      </c>
      <c r="Q803" s="5">
        <v>9</v>
      </c>
      <c r="R803" s="4">
        <v>58750</v>
      </c>
      <c r="S803" s="5">
        <v>1</v>
      </c>
      <c r="T803" s="4">
        <v>528750</v>
      </c>
      <c r="U803" s="5">
        <v>0</v>
      </c>
      <c r="V803" s="4">
        <v>0</v>
      </c>
      <c r="W803" s="5">
        <v>0</v>
      </c>
      <c r="X803" s="4">
        <v>0</v>
      </c>
      <c r="Y803" s="4">
        <f t="shared" si="24"/>
        <v>528750</v>
      </c>
      <c r="Z803" s="6" t="s">
        <v>0</v>
      </c>
      <c r="AA803" t="s">
        <v>2</v>
      </c>
      <c r="AB803" t="s">
        <v>103</v>
      </c>
      <c r="AC803">
        <f>_xlfn.XLOOKUP(AB803,'[1]GST Codes'!$A:$A,'[1]GST Codes'!$C:$C,0,0)</f>
        <v>18</v>
      </c>
      <c r="AD803">
        <f t="shared" si="25"/>
        <v>623925</v>
      </c>
      <c r="AE803" t="s">
        <v>13</v>
      </c>
      <c r="AF803" t="s">
        <v>0</v>
      </c>
      <c r="AG803" t="s">
        <v>14</v>
      </c>
      <c r="AH803" t="s">
        <v>15</v>
      </c>
      <c r="AI803" t="s">
        <v>16</v>
      </c>
      <c r="AJ803" t="s">
        <v>17</v>
      </c>
      <c r="AK803" t="s">
        <v>18</v>
      </c>
      <c r="AL803" t="s">
        <v>19</v>
      </c>
      <c r="AM803" t="s">
        <v>388</v>
      </c>
      <c r="AN803" t="s">
        <v>0</v>
      </c>
      <c r="AO803" t="s">
        <v>0</v>
      </c>
      <c r="AP803" t="s">
        <v>0</v>
      </c>
      <c r="AQ803" s="5">
        <v>9</v>
      </c>
      <c r="AR803" t="s">
        <v>11</v>
      </c>
      <c r="AS803" t="s">
        <v>0</v>
      </c>
      <c r="AT803" t="s">
        <v>17</v>
      </c>
      <c r="AU803" s="4">
        <v>0</v>
      </c>
      <c r="AV803" s="4">
        <v>0</v>
      </c>
      <c r="AW803" s="4">
        <v>0</v>
      </c>
      <c r="AX803" s="4">
        <v>0</v>
      </c>
      <c r="AY803" s="5">
        <v>0</v>
      </c>
      <c r="AZ803" s="5">
        <v>0</v>
      </c>
      <c r="BA803" s="5">
        <v>0</v>
      </c>
      <c r="BB803" s="2"/>
      <c r="BC803" t="s">
        <v>0</v>
      </c>
      <c r="BD803" s="5">
        <v>1</v>
      </c>
      <c r="BE803" t="s">
        <v>0</v>
      </c>
      <c r="BF803" t="s">
        <v>392</v>
      </c>
      <c r="BG803" t="s">
        <v>17</v>
      </c>
      <c r="BH803" t="s">
        <v>0</v>
      </c>
      <c r="BI803" t="s">
        <v>11</v>
      </c>
      <c r="BJ803" t="s">
        <v>0</v>
      </c>
      <c r="BK803" t="s">
        <v>0</v>
      </c>
      <c r="BL803" s="5">
        <v>0</v>
      </c>
      <c r="BM803" t="s">
        <v>0</v>
      </c>
      <c r="BN803" t="s">
        <v>0</v>
      </c>
      <c r="BO803" t="s">
        <v>0</v>
      </c>
      <c r="BP803" t="s">
        <v>17</v>
      </c>
      <c r="BQ803" t="s">
        <v>0</v>
      </c>
      <c r="BR803" t="s">
        <v>17</v>
      </c>
      <c r="BS803" t="s">
        <v>17</v>
      </c>
      <c r="BT803" t="s">
        <v>0</v>
      </c>
      <c r="BU803" t="s">
        <v>0</v>
      </c>
      <c r="BV803" t="s">
        <v>0</v>
      </c>
      <c r="BW803" t="s">
        <v>0</v>
      </c>
      <c r="BX803" t="s">
        <v>0</v>
      </c>
      <c r="BY803" t="s">
        <v>0</v>
      </c>
      <c r="BZ803" t="s">
        <v>0</v>
      </c>
      <c r="CA803" t="s">
        <v>0</v>
      </c>
      <c r="CB803" t="s">
        <v>0</v>
      </c>
    </row>
    <row r="804" spans="1:80" ht="13.95" customHeight="1" x14ac:dyDescent="0.25">
      <c r="A804" t="s">
        <v>397</v>
      </c>
      <c r="B804" s="2">
        <v>45755</v>
      </c>
      <c r="C804" s="2"/>
      <c r="D804" s="2"/>
      <c r="E804" t="s">
        <v>2</v>
      </c>
      <c r="F804" t="s">
        <v>3</v>
      </c>
      <c r="G804" t="s">
        <v>0</v>
      </c>
      <c r="H804" t="s">
        <v>4</v>
      </c>
      <c r="I804" t="s">
        <v>385</v>
      </c>
      <c r="J804" t="s">
        <v>6</v>
      </c>
      <c r="K804" t="s">
        <v>30</v>
      </c>
      <c r="L804" t="s">
        <v>390</v>
      </c>
      <c r="M804" t="s">
        <v>391</v>
      </c>
      <c r="N804" t="s">
        <v>10</v>
      </c>
      <c r="O804" t="s">
        <v>0</v>
      </c>
      <c r="P804" t="s">
        <v>11</v>
      </c>
      <c r="Q804" s="5">
        <v>9</v>
      </c>
      <c r="R804" s="4">
        <v>58750</v>
      </c>
      <c r="S804" s="5">
        <v>1</v>
      </c>
      <c r="T804" s="4">
        <v>528750</v>
      </c>
      <c r="U804" s="5">
        <v>0</v>
      </c>
      <c r="V804" s="4">
        <v>0</v>
      </c>
      <c r="W804" s="5">
        <v>0</v>
      </c>
      <c r="X804" s="4">
        <v>0</v>
      </c>
      <c r="Y804" s="4">
        <f t="shared" si="24"/>
        <v>528750</v>
      </c>
      <c r="Z804" s="6" t="s">
        <v>0</v>
      </c>
      <c r="AA804" t="s">
        <v>2</v>
      </c>
      <c r="AB804" t="s">
        <v>103</v>
      </c>
      <c r="AC804">
        <f>_xlfn.XLOOKUP(AB804,'[1]GST Codes'!$A:$A,'[1]GST Codes'!$C:$C,0,0)</f>
        <v>18</v>
      </c>
      <c r="AD804">
        <f t="shared" si="25"/>
        <v>623925</v>
      </c>
      <c r="AE804" t="s">
        <v>13</v>
      </c>
      <c r="AF804" t="s">
        <v>0</v>
      </c>
      <c r="AG804" t="s">
        <v>14</v>
      </c>
      <c r="AH804" t="s">
        <v>15</v>
      </c>
      <c r="AI804" t="s">
        <v>16</v>
      </c>
      <c r="AJ804" t="s">
        <v>17</v>
      </c>
      <c r="AK804" t="s">
        <v>18</v>
      </c>
      <c r="AL804" t="s">
        <v>19</v>
      </c>
      <c r="AM804" t="s">
        <v>388</v>
      </c>
      <c r="AN804" t="s">
        <v>0</v>
      </c>
      <c r="AO804" t="s">
        <v>0</v>
      </c>
      <c r="AP804" t="s">
        <v>0</v>
      </c>
      <c r="AQ804" s="5">
        <v>9</v>
      </c>
      <c r="AR804" t="s">
        <v>11</v>
      </c>
      <c r="AS804" t="s">
        <v>0</v>
      </c>
      <c r="AT804" t="s">
        <v>17</v>
      </c>
      <c r="AU804" s="4">
        <v>0</v>
      </c>
      <c r="AV804" s="4">
        <v>0</v>
      </c>
      <c r="AW804" s="4">
        <v>0</v>
      </c>
      <c r="AX804" s="4">
        <v>0</v>
      </c>
      <c r="AY804" s="5">
        <v>0</v>
      </c>
      <c r="AZ804" s="5">
        <v>0</v>
      </c>
      <c r="BA804" s="5">
        <v>0</v>
      </c>
      <c r="BB804" s="2"/>
      <c r="BC804" t="s">
        <v>0</v>
      </c>
      <c r="BD804" s="5">
        <v>1</v>
      </c>
      <c r="BE804" t="s">
        <v>0</v>
      </c>
      <c r="BF804" t="s">
        <v>392</v>
      </c>
      <c r="BG804" t="s">
        <v>17</v>
      </c>
      <c r="BH804" t="s">
        <v>0</v>
      </c>
      <c r="BI804" t="s">
        <v>11</v>
      </c>
      <c r="BJ804" t="s">
        <v>0</v>
      </c>
      <c r="BK804" t="s">
        <v>0</v>
      </c>
      <c r="BL804" s="5">
        <v>0</v>
      </c>
      <c r="BM804" t="s">
        <v>0</v>
      </c>
      <c r="BN804" t="s">
        <v>0</v>
      </c>
      <c r="BO804" t="s">
        <v>0</v>
      </c>
      <c r="BP804" t="s">
        <v>17</v>
      </c>
      <c r="BQ804" t="s">
        <v>0</v>
      </c>
      <c r="BR804" t="s">
        <v>17</v>
      </c>
      <c r="BS804" t="s">
        <v>17</v>
      </c>
      <c r="BT804" t="s">
        <v>0</v>
      </c>
      <c r="BU804" t="s">
        <v>0</v>
      </c>
      <c r="BV804" t="s">
        <v>0</v>
      </c>
      <c r="BW804" t="s">
        <v>0</v>
      </c>
      <c r="BX804" t="s">
        <v>0</v>
      </c>
      <c r="BY804" t="s">
        <v>0</v>
      </c>
      <c r="BZ804" t="s">
        <v>0</v>
      </c>
      <c r="CA804" t="s">
        <v>0</v>
      </c>
      <c r="CB804" t="s">
        <v>0</v>
      </c>
    </row>
    <row r="805" spans="1:80" ht="13.95" customHeight="1" x14ac:dyDescent="0.25">
      <c r="A805" t="s">
        <v>397</v>
      </c>
      <c r="B805" s="2">
        <v>45755</v>
      </c>
      <c r="C805" s="2"/>
      <c r="D805" s="2"/>
      <c r="E805" t="s">
        <v>2</v>
      </c>
      <c r="F805" t="s">
        <v>3</v>
      </c>
      <c r="G805" t="s">
        <v>0</v>
      </c>
      <c r="H805" t="s">
        <v>4</v>
      </c>
      <c r="I805" t="s">
        <v>385</v>
      </c>
      <c r="J805" t="s">
        <v>6</v>
      </c>
      <c r="K805" t="s">
        <v>34</v>
      </c>
      <c r="L805" t="s">
        <v>390</v>
      </c>
      <c r="M805" t="s">
        <v>391</v>
      </c>
      <c r="N805" t="s">
        <v>10</v>
      </c>
      <c r="O805" t="s">
        <v>0</v>
      </c>
      <c r="P805" t="s">
        <v>11</v>
      </c>
      <c r="Q805" s="5">
        <v>9</v>
      </c>
      <c r="R805" s="4">
        <v>58750</v>
      </c>
      <c r="S805" s="5">
        <v>1</v>
      </c>
      <c r="T805" s="4">
        <v>528750</v>
      </c>
      <c r="U805" s="5">
        <v>0</v>
      </c>
      <c r="V805" s="4">
        <v>0</v>
      </c>
      <c r="W805" s="5">
        <v>0</v>
      </c>
      <c r="X805" s="4">
        <v>0</v>
      </c>
      <c r="Y805" s="4">
        <f t="shared" si="24"/>
        <v>528750</v>
      </c>
      <c r="Z805" s="6" t="s">
        <v>0</v>
      </c>
      <c r="AA805" t="s">
        <v>2</v>
      </c>
      <c r="AB805" t="s">
        <v>103</v>
      </c>
      <c r="AC805">
        <f>_xlfn.XLOOKUP(AB805,'[1]GST Codes'!$A:$A,'[1]GST Codes'!$C:$C,0,0)</f>
        <v>18</v>
      </c>
      <c r="AD805">
        <f t="shared" si="25"/>
        <v>623925</v>
      </c>
      <c r="AE805" t="s">
        <v>13</v>
      </c>
      <c r="AF805" t="s">
        <v>0</v>
      </c>
      <c r="AG805" t="s">
        <v>14</v>
      </c>
      <c r="AH805" t="s">
        <v>15</v>
      </c>
      <c r="AI805" t="s">
        <v>16</v>
      </c>
      <c r="AJ805" t="s">
        <v>17</v>
      </c>
      <c r="AK805" t="s">
        <v>18</v>
      </c>
      <c r="AL805" t="s">
        <v>19</v>
      </c>
      <c r="AM805" t="s">
        <v>388</v>
      </c>
      <c r="AN805" t="s">
        <v>0</v>
      </c>
      <c r="AO805" t="s">
        <v>0</v>
      </c>
      <c r="AP805" t="s">
        <v>0</v>
      </c>
      <c r="AQ805" s="5">
        <v>9</v>
      </c>
      <c r="AR805" t="s">
        <v>11</v>
      </c>
      <c r="AS805" t="s">
        <v>0</v>
      </c>
      <c r="AT805" t="s">
        <v>17</v>
      </c>
      <c r="AU805" s="4">
        <v>0</v>
      </c>
      <c r="AV805" s="4">
        <v>0</v>
      </c>
      <c r="AW805" s="4">
        <v>0</v>
      </c>
      <c r="AX805" s="4">
        <v>0</v>
      </c>
      <c r="AY805" s="5">
        <v>0</v>
      </c>
      <c r="AZ805" s="5">
        <v>0</v>
      </c>
      <c r="BA805" s="5">
        <v>0</v>
      </c>
      <c r="BB805" s="2"/>
      <c r="BC805" t="s">
        <v>0</v>
      </c>
      <c r="BD805" s="5">
        <v>1</v>
      </c>
      <c r="BE805" t="s">
        <v>0</v>
      </c>
      <c r="BF805" t="s">
        <v>392</v>
      </c>
      <c r="BG805" t="s">
        <v>17</v>
      </c>
      <c r="BH805" t="s">
        <v>0</v>
      </c>
      <c r="BI805" t="s">
        <v>11</v>
      </c>
      <c r="BJ805" t="s">
        <v>0</v>
      </c>
      <c r="BK805" t="s">
        <v>0</v>
      </c>
      <c r="BL805" s="5">
        <v>0</v>
      </c>
      <c r="BM805" t="s">
        <v>0</v>
      </c>
      <c r="BN805" t="s">
        <v>0</v>
      </c>
      <c r="BO805" t="s">
        <v>0</v>
      </c>
      <c r="BP805" t="s">
        <v>17</v>
      </c>
      <c r="BQ805" t="s">
        <v>0</v>
      </c>
      <c r="BR805" t="s">
        <v>17</v>
      </c>
      <c r="BS805" t="s">
        <v>17</v>
      </c>
      <c r="BT805" t="s">
        <v>0</v>
      </c>
      <c r="BU805" t="s">
        <v>0</v>
      </c>
      <c r="BV805" t="s">
        <v>0</v>
      </c>
      <c r="BW805" t="s">
        <v>0</v>
      </c>
      <c r="BX805" t="s">
        <v>0</v>
      </c>
      <c r="BY805" t="s">
        <v>0</v>
      </c>
      <c r="BZ805" t="s">
        <v>0</v>
      </c>
      <c r="CA805" t="s">
        <v>0</v>
      </c>
      <c r="CB805" t="s">
        <v>0</v>
      </c>
    </row>
    <row r="806" spans="1:80" ht="13.95" customHeight="1" x14ac:dyDescent="0.25">
      <c r="A806" t="s">
        <v>397</v>
      </c>
      <c r="B806" s="2">
        <v>45755</v>
      </c>
      <c r="C806" s="2"/>
      <c r="D806" s="2"/>
      <c r="E806" t="s">
        <v>2</v>
      </c>
      <c r="F806" t="s">
        <v>3</v>
      </c>
      <c r="G806" t="s">
        <v>0</v>
      </c>
      <c r="H806" t="s">
        <v>4</v>
      </c>
      <c r="I806" t="s">
        <v>385</v>
      </c>
      <c r="J806" t="s">
        <v>6</v>
      </c>
      <c r="K806" t="s">
        <v>38</v>
      </c>
      <c r="L806" t="s">
        <v>390</v>
      </c>
      <c r="M806" t="s">
        <v>391</v>
      </c>
      <c r="N806" t="s">
        <v>10</v>
      </c>
      <c r="O806" t="s">
        <v>0</v>
      </c>
      <c r="P806" t="s">
        <v>11</v>
      </c>
      <c r="Q806" s="5">
        <v>9</v>
      </c>
      <c r="R806" s="4">
        <v>58750</v>
      </c>
      <c r="S806" s="5">
        <v>1</v>
      </c>
      <c r="T806" s="4">
        <v>528750</v>
      </c>
      <c r="U806" s="5">
        <v>0</v>
      </c>
      <c r="V806" s="4">
        <v>0</v>
      </c>
      <c r="W806" s="5">
        <v>0</v>
      </c>
      <c r="X806" s="4">
        <v>0</v>
      </c>
      <c r="Y806" s="4">
        <f t="shared" si="24"/>
        <v>528750</v>
      </c>
      <c r="Z806" s="6" t="s">
        <v>0</v>
      </c>
      <c r="AA806" t="s">
        <v>2</v>
      </c>
      <c r="AB806" t="s">
        <v>103</v>
      </c>
      <c r="AC806">
        <f>_xlfn.XLOOKUP(AB806,'[1]GST Codes'!$A:$A,'[1]GST Codes'!$C:$C,0,0)</f>
        <v>18</v>
      </c>
      <c r="AD806">
        <f t="shared" si="25"/>
        <v>623925</v>
      </c>
      <c r="AE806" t="s">
        <v>13</v>
      </c>
      <c r="AF806" t="s">
        <v>0</v>
      </c>
      <c r="AG806" t="s">
        <v>14</v>
      </c>
      <c r="AH806" t="s">
        <v>15</v>
      </c>
      <c r="AI806" t="s">
        <v>16</v>
      </c>
      <c r="AJ806" t="s">
        <v>17</v>
      </c>
      <c r="AK806" t="s">
        <v>18</v>
      </c>
      <c r="AL806" t="s">
        <v>19</v>
      </c>
      <c r="AM806" t="s">
        <v>388</v>
      </c>
      <c r="AN806" t="s">
        <v>0</v>
      </c>
      <c r="AO806" t="s">
        <v>0</v>
      </c>
      <c r="AP806" t="s">
        <v>0</v>
      </c>
      <c r="AQ806" s="5">
        <v>9</v>
      </c>
      <c r="AR806" t="s">
        <v>11</v>
      </c>
      <c r="AS806" t="s">
        <v>0</v>
      </c>
      <c r="AT806" t="s">
        <v>17</v>
      </c>
      <c r="AU806" s="4">
        <v>0</v>
      </c>
      <c r="AV806" s="4">
        <v>0</v>
      </c>
      <c r="AW806" s="4">
        <v>0</v>
      </c>
      <c r="AX806" s="4">
        <v>0</v>
      </c>
      <c r="AY806" s="5">
        <v>0</v>
      </c>
      <c r="AZ806" s="5">
        <v>0</v>
      </c>
      <c r="BA806" s="5">
        <v>0</v>
      </c>
      <c r="BB806" s="2"/>
      <c r="BC806" t="s">
        <v>0</v>
      </c>
      <c r="BD806" s="5">
        <v>1</v>
      </c>
      <c r="BE806" t="s">
        <v>0</v>
      </c>
      <c r="BF806" t="s">
        <v>392</v>
      </c>
      <c r="BG806" t="s">
        <v>17</v>
      </c>
      <c r="BH806" t="s">
        <v>0</v>
      </c>
      <c r="BI806" t="s">
        <v>11</v>
      </c>
      <c r="BJ806" t="s">
        <v>0</v>
      </c>
      <c r="BK806" t="s">
        <v>0</v>
      </c>
      <c r="BL806" s="5">
        <v>0</v>
      </c>
      <c r="BM806" t="s">
        <v>0</v>
      </c>
      <c r="BN806" t="s">
        <v>0</v>
      </c>
      <c r="BO806" t="s">
        <v>0</v>
      </c>
      <c r="BP806" t="s">
        <v>17</v>
      </c>
      <c r="BQ806" t="s">
        <v>0</v>
      </c>
      <c r="BR806" t="s">
        <v>17</v>
      </c>
      <c r="BS806" t="s">
        <v>17</v>
      </c>
      <c r="BT806" t="s">
        <v>0</v>
      </c>
      <c r="BU806" t="s">
        <v>0</v>
      </c>
      <c r="BV806" t="s">
        <v>0</v>
      </c>
      <c r="BW806" t="s">
        <v>0</v>
      </c>
      <c r="BX806" t="s">
        <v>0</v>
      </c>
      <c r="BY806" t="s">
        <v>0</v>
      </c>
      <c r="BZ806" t="s">
        <v>0</v>
      </c>
      <c r="CA806" t="s">
        <v>0</v>
      </c>
      <c r="CB806" t="s">
        <v>0</v>
      </c>
    </row>
    <row r="807" spans="1:80" ht="13.95" customHeight="1" x14ac:dyDescent="0.25">
      <c r="A807" t="s">
        <v>397</v>
      </c>
      <c r="B807" s="2">
        <v>45755</v>
      </c>
      <c r="C807" s="2"/>
      <c r="D807" s="2"/>
      <c r="E807" t="s">
        <v>2</v>
      </c>
      <c r="F807" t="s">
        <v>3</v>
      </c>
      <c r="G807" t="s">
        <v>0</v>
      </c>
      <c r="H807" t="s">
        <v>4</v>
      </c>
      <c r="I807" t="s">
        <v>385</v>
      </c>
      <c r="J807" t="s">
        <v>6</v>
      </c>
      <c r="K807" t="s">
        <v>42</v>
      </c>
      <c r="L807" t="s">
        <v>390</v>
      </c>
      <c r="M807" t="s">
        <v>391</v>
      </c>
      <c r="N807" t="s">
        <v>10</v>
      </c>
      <c r="O807" t="s">
        <v>0</v>
      </c>
      <c r="P807" t="s">
        <v>11</v>
      </c>
      <c r="Q807" s="5">
        <v>6</v>
      </c>
      <c r="R807" s="4">
        <v>58750</v>
      </c>
      <c r="S807" s="5">
        <v>1</v>
      </c>
      <c r="T807" s="4">
        <v>352500</v>
      </c>
      <c r="U807" s="5">
        <v>0</v>
      </c>
      <c r="V807" s="4">
        <v>0</v>
      </c>
      <c r="W807" s="5">
        <v>0</v>
      </c>
      <c r="X807" s="4">
        <v>0</v>
      </c>
      <c r="Y807" s="4">
        <f t="shared" si="24"/>
        <v>352500</v>
      </c>
      <c r="Z807" s="6" t="s">
        <v>0</v>
      </c>
      <c r="AA807" t="s">
        <v>2</v>
      </c>
      <c r="AB807" t="s">
        <v>103</v>
      </c>
      <c r="AC807">
        <f>_xlfn.XLOOKUP(AB807,'[1]GST Codes'!$A:$A,'[1]GST Codes'!$C:$C,0,0)</f>
        <v>18</v>
      </c>
      <c r="AD807">
        <f t="shared" si="25"/>
        <v>415950</v>
      </c>
      <c r="AE807" t="s">
        <v>13</v>
      </c>
      <c r="AF807" t="s">
        <v>0</v>
      </c>
      <c r="AG807" t="s">
        <v>14</v>
      </c>
      <c r="AH807" t="s">
        <v>15</v>
      </c>
      <c r="AI807" t="s">
        <v>16</v>
      </c>
      <c r="AJ807" t="s">
        <v>17</v>
      </c>
      <c r="AK807" t="s">
        <v>18</v>
      </c>
      <c r="AL807" t="s">
        <v>19</v>
      </c>
      <c r="AM807" t="s">
        <v>388</v>
      </c>
      <c r="AN807" t="s">
        <v>0</v>
      </c>
      <c r="AO807" t="s">
        <v>0</v>
      </c>
      <c r="AP807" t="s">
        <v>0</v>
      </c>
      <c r="AQ807" s="5">
        <v>6</v>
      </c>
      <c r="AR807" t="s">
        <v>11</v>
      </c>
      <c r="AS807" t="s">
        <v>0</v>
      </c>
      <c r="AT807" t="s">
        <v>17</v>
      </c>
      <c r="AU807" s="4">
        <v>0</v>
      </c>
      <c r="AV807" s="4">
        <v>0</v>
      </c>
      <c r="AW807" s="4">
        <v>0</v>
      </c>
      <c r="AX807" s="4">
        <v>0</v>
      </c>
      <c r="AY807" s="5">
        <v>0</v>
      </c>
      <c r="AZ807" s="5">
        <v>0</v>
      </c>
      <c r="BA807" s="5">
        <v>0</v>
      </c>
      <c r="BB807" s="2"/>
      <c r="BC807" t="s">
        <v>0</v>
      </c>
      <c r="BD807" s="5">
        <v>1</v>
      </c>
      <c r="BE807" t="s">
        <v>0</v>
      </c>
      <c r="BF807" t="s">
        <v>392</v>
      </c>
      <c r="BG807" t="s">
        <v>17</v>
      </c>
      <c r="BH807" t="s">
        <v>0</v>
      </c>
      <c r="BI807" t="s">
        <v>11</v>
      </c>
      <c r="BJ807" t="s">
        <v>0</v>
      </c>
      <c r="BK807" t="s">
        <v>0</v>
      </c>
      <c r="BL807" s="5">
        <v>0</v>
      </c>
      <c r="BM807" t="s">
        <v>0</v>
      </c>
      <c r="BN807" t="s">
        <v>0</v>
      </c>
      <c r="BO807" t="s">
        <v>0</v>
      </c>
      <c r="BP807" t="s">
        <v>17</v>
      </c>
      <c r="BQ807" t="s">
        <v>0</v>
      </c>
      <c r="BR807" t="s">
        <v>17</v>
      </c>
      <c r="BS807" t="s">
        <v>17</v>
      </c>
      <c r="BT807" t="s">
        <v>0</v>
      </c>
      <c r="BU807" t="s">
        <v>0</v>
      </c>
      <c r="BV807" t="s">
        <v>0</v>
      </c>
      <c r="BW807" t="s">
        <v>0</v>
      </c>
      <c r="BX807" t="s">
        <v>0</v>
      </c>
      <c r="BY807" t="s">
        <v>0</v>
      </c>
      <c r="BZ807" t="s">
        <v>0</v>
      </c>
      <c r="CA807" t="s">
        <v>0</v>
      </c>
      <c r="CB807" t="s">
        <v>0</v>
      </c>
    </row>
    <row r="808" spans="1:80" ht="13.95" customHeight="1" x14ac:dyDescent="0.25">
      <c r="A808" t="s">
        <v>397</v>
      </c>
      <c r="B808" s="2">
        <v>45755</v>
      </c>
      <c r="C808" s="2"/>
      <c r="D808" s="2"/>
      <c r="E808" t="s">
        <v>2</v>
      </c>
      <c r="F808" t="s">
        <v>3</v>
      </c>
      <c r="G808" t="s">
        <v>0</v>
      </c>
      <c r="H808" t="s">
        <v>4</v>
      </c>
      <c r="I808" t="s">
        <v>385</v>
      </c>
      <c r="J808" t="s">
        <v>6</v>
      </c>
      <c r="K808" t="s">
        <v>86</v>
      </c>
      <c r="L808" t="s">
        <v>386</v>
      </c>
      <c r="M808" t="s">
        <v>387</v>
      </c>
      <c r="N808" t="s">
        <v>10</v>
      </c>
      <c r="O808" t="s">
        <v>0</v>
      </c>
      <c r="P808" t="s">
        <v>11</v>
      </c>
      <c r="Q808" s="5">
        <v>9</v>
      </c>
      <c r="R808" s="4">
        <v>60000</v>
      </c>
      <c r="S808" s="5">
        <v>1</v>
      </c>
      <c r="T808" s="4">
        <v>540000</v>
      </c>
      <c r="U808" s="5">
        <v>0</v>
      </c>
      <c r="V808" s="4">
        <v>0</v>
      </c>
      <c r="W808" s="5">
        <v>0</v>
      </c>
      <c r="X808" s="4">
        <v>0</v>
      </c>
      <c r="Y808" s="4">
        <f t="shared" si="24"/>
        <v>540000</v>
      </c>
      <c r="Z808" s="6" t="s">
        <v>0</v>
      </c>
      <c r="AA808" t="s">
        <v>2</v>
      </c>
      <c r="AB808" t="s">
        <v>103</v>
      </c>
      <c r="AC808">
        <f>_xlfn.XLOOKUP(AB808,'[1]GST Codes'!$A:$A,'[1]GST Codes'!$C:$C,0,0)</f>
        <v>18</v>
      </c>
      <c r="AD808">
        <f t="shared" si="25"/>
        <v>637200</v>
      </c>
      <c r="AE808" t="s">
        <v>13</v>
      </c>
      <c r="AF808" t="s">
        <v>0</v>
      </c>
      <c r="AG808" t="s">
        <v>14</v>
      </c>
      <c r="AH808" t="s">
        <v>15</v>
      </c>
      <c r="AI808" t="s">
        <v>16</v>
      </c>
      <c r="AJ808" t="s">
        <v>17</v>
      </c>
      <c r="AK808" t="s">
        <v>18</v>
      </c>
      <c r="AL808" t="s">
        <v>19</v>
      </c>
      <c r="AM808" t="s">
        <v>388</v>
      </c>
      <c r="AN808" t="s">
        <v>0</v>
      </c>
      <c r="AO808" t="s">
        <v>0</v>
      </c>
      <c r="AP808" t="s">
        <v>0</v>
      </c>
      <c r="AQ808" s="5">
        <v>9</v>
      </c>
      <c r="AR808" t="s">
        <v>11</v>
      </c>
      <c r="AS808" t="s">
        <v>0</v>
      </c>
      <c r="AT808" t="s">
        <v>17</v>
      </c>
      <c r="AU808" s="4">
        <v>0</v>
      </c>
      <c r="AV808" s="4">
        <v>0</v>
      </c>
      <c r="AW808" s="4">
        <v>0</v>
      </c>
      <c r="AX808" s="4">
        <v>0</v>
      </c>
      <c r="AY808" s="5">
        <v>0</v>
      </c>
      <c r="AZ808" s="5">
        <v>0</v>
      </c>
      <c r="BA808" s="5">
        <v>0</v>
      </c>
      <c r="BB808" s="2"/>
      <c r="BC808" t="s">
        <v>0</v>
      </c>
      <c r="BD808" s="5">
        <v>1</v>
      </c>
      <c r="BE808" t="s">
        <v>0</v>
      </c>
      <c r="BF808" t="s">
        <v>389</v>
      </c>
      <c r="BG808" t="s">
        <v>17</v>
      </c>
      <c r="BH808" t="s">
        <v>0</v>
      </c>
      <c r="BI808" t="s">
        <v>11</v>
      </c>
      <c r="BJ808" t="s">
        <v>0</v>
      </c>
      <c r="BK808" t="s">
        <v>0</v>
      </c>
      <c r="BL808" s="5">
        <v>0</v>
      </c>
      <c r="BM808" t="s">
        <v>0</v>
      </c>
      <c r="BN808" t="s">
        <v>0</v>
      </c>
      <c r="BO808" t="s">
        <v>0</v>
      </c>
      <c r="BP808" t="s">
        <v>17</v>
      </c>
      <c r="BQ808" t="s">
        <v>0</v>
      </c>
      <c r="BR808" t="s">
        <v>17</v>
      </c>
      <c r="BS808" t="s">
        <v>17</v>
      </c>
      <c r="BT808" t="s">
        <v>0</v>
      </c>
      <c r="BU808" t="s">
        <v>0</v>
      </c>
      <c r="BV808" t="s">
        <v>0</v>
      </c>
      <c r="BW808" t="s">
        <v>0</v>
      </c>
      <c r="BX808" t="s">
        <v>0</v>
      </c>
      <c r="BY808" t="s">
        <v>0</v>
      </c>
      <c r="BZ808" t="s">
        <v>0</v>
      </c>
      <c r="CA808" t="s">
        <v>0</v>
      </c>
      <c r="CB808" t="s">
        <v>0</v>
      </c>
    </row>
    <row r="809" spans="1:80" ht="13.95" customHeight="1" x14ac:dyDescent="0.25">
      <c r="A809" t="s">
        <v>397</v>
      </c>
      <c r="B809" s="2">
        <v>45755</v>
      </c>
      <c r="C809" s="2"/>
      <c r="D809" s="2"/>
      <c r="E809" t="s">
        <v>2</v>
      </c>
      <c r="F809" t="s">
        <v>3</v>
      </c>
      <c r="G809" t="s">
        <v>0</v>
      </c>
      <c r="H809" t="s">
        <v>4</v>
      </c>
      <c r="I809" t="s">
        <v>385</v>
      </c>
      <c r="J809" t="s">
        <v>6</v>
      </c>
      <c r="K809" t="s">
        <v>87</v>
      </c>
      <c r="L809" t="s">
        <v>386</v>
      </c>
      <c r="M809" t="s">
        <v>387</v>
      </c>
      <c r="N809" t="s">
        <v>10</v>
      </c>
      <c r="O809" t="s">
        <v>0</v>
      </c>
      <c r="P809" t="s">
        <v>11</v>
      </c>
      <c r="Q809" s="5">
        <v>9</v>
      </c>
      <c r="R809" s="4">
        <v>60000</v>
      </c>
      <c r="S809" s="5">
        <v>1</v>
      </c>
      <c r="T809" s="4">
        <v>540000</v>
      </c>
      <c r="U809" s="5">
        <v>0</v>
      </c>
      <c r="V809" s="4">
        <v>0</v>
      </c>
      <c r="W809" s="5">
        <v>0</v>
      </c>
      <c r="X809" s="4">
        <v>0</v>
      </c>
      <c r="Y809" s="4">
        <f t="shared" si="24"/>
        <v>540000</v>
      </c>
      <c r="Z809" s="6" t="s">
        <v>0</v>
      </c>
      <c r="AA809" t="s">
        <v>2</v>
      </c>
      <c r="AB809" t="s">
        <v>103</v>
      </c>
      <c r="AC809">
        <f>_xlfn.XLOOKUP(AB809,'[1]GST Codes'!$A:$A,'[1]GST Codes'!$C:$C,0,0)</f>
        <v>18</v>
      </c>
      <c r="AD809">
        <f t="shared" si="25"/>
        <v>637200</v>
      </c>
      <c r="AE809" t="s">
        <v>13</v>
      </c>
      <c r="AF809" t="s">
        <v>0</v>
      </c>
      <c r="AG809" t="s">
        <v>14</v>
      </c>
      <c r="AH809" t="s">
        <v>15</v>
      </c>
      <c r="AI809" t="s">
        <v>16</v>
      </c>
      <c r="AJ809" t="s">
        <v>17</v>
      </c>
      <c r="AK809" t="s">
        <v>18</v>
      </c>
      <c r="AL809" t="s">
        <v>19</v>
      </c>
      <c r="AM809" t="s">
        <v>388</v>
      </c>
      <c r="AN809" t="s">
        <v>0</v>
      </c>
      <c r="AO809" t="s">
        <v>0</v>
      </c>
      <c r="AP809" t="s">
        <v>0</v>
      </c>
      <c r="AQ809" s="5">
        <v>9</v>
      </c>
      <c r="AR809" t="s">
        <v>11</v>
      </c>
      <c r="AS809" t="s">
        <v>0</v>
      </c>
      <c r="AT809" t="s">
        <v>17</v>
      </c>
      <c r="AU809" s="4">
        <v>0</v>
      </c>
      <c r="AV809" s="4">
        <v>0</v>
      </c>
      <c r="AW809" s="4">
        <v>0</v>
      </c>
      <c r="AX809" s="4">
        <v>0</v>
      </c>
      <c r="AY809" s="5">
        <v>0</v>
      </c>
      <c r="AZ809" s="5">
        <v>0</v>
      </c>
      <c r="BA809" s="5">
        <v>0</v>
      </c>
      <c r="BB809" s="2"/>
      <c r="BC809" t="s">
        <v>0</v>
      </c>
      <c r="BD809" s="5">
        <v>1</v>
      </c>
      <c r="BE809" t="s">
        <v>0</v>
      </c>
      <c r="BF809" t="s">
        <v>389</v>
      </c>
      <c r="BG809" t="s">
        <v>17</v>
      </c>
      <c r="BH809" t="s">
        <v>0</v>
      </c>
      <c r="BI809" t="s">
        <v>11</v>
      </c>
      <c r="BJ809" t="s">
        <v>0</v>
      </c>
      <c r="BK809" t="s">
        <v>0</v>
      </c>
      <c r="BL809" s="5">
        <v>0</v>
      </c>
      <c r="BM809" t="s">
        <v>0</v>
      </c>
      <c r="BN809" t="s">
        <v>0</v>
      </c>
      <c r="BO809" t="s">
        <v>0</v>
      </c>
      <c r="BP809" t="s">
        <v>17</v>
      </c>
      <c r="BQ809" t="s">
        <v>0</v>
      </c>
      <c r="BR809" t="s">
        <v>17</v>
      </c>
      <c r="BS809" t="s">
        <v>17</v>
      </c>
      <c r="BT809" t="s">
        <v>0</v>
      </c>
      <c r="BU809" t="s">
        <v>0</v>
      </c>
      <c r="BV809" t="s">
        <v>0</v>
      </c>
      <c r="BW809" t="s">
        <v>0</v>
      </c>
      <c r="BX809" t="s">
        <v>0</v>
      </c>
      <c r="BY809" t="s">
        <v>0</v>
      </c>
      <c r="BZ809" t="s">
        <v>0</v>
      </c>
      <c r="CA809" t="s">
        <v>0</v>
      </c>
      <c r="CB809" t="s">
        <v>0</v>
      </c>
    </row>
    <row r="810" spans="1:80" ht="13.95" customHeight="1" x14ac:dyDescent="0.25">
      <c r="A810" t="s">
        <v>397</v>
      </c>
      <c r="B810" s="2">
        <v>45755</v>
      </c>
      <c r="C810" s="2"/>
      <c r="D810" s="2"/>
      <c r="E810" t="s">
        <v>2</v>
      </c>
      <c r="F810" t="s">
        <v>3</v>
      </c>
      <c r="G810" t="s">
        <v>0</v>
      </c>
      <c r="H810" t="s">
        <v>4</v>
      </c>
      <c r="I810" t="s">
        <v>385</v>
      </c>
      <c r="J810" t="s">
        <v>6</v>
      </c>
      <c r="K810" t="s">
        <v>88</v>
      </c>
      <c r="L810" t="s">
        <v>386</v>
      </c>
      <c r="M810" t="s">
        <v>387</v>
      </c>
      <c r="N810" t="s">
        <v>10</v>
      </c>
      <c r="O810" t="s">
        <v>0</v>
      </c>
      <c r="P810" t="s">
        <v>11</v>
      </c>
      <c r="Q810" s="5">
        <v>9</v>
      </c>
      <c r="R810" s="4">
        <v>60000</v>
      </c>
      <c r="S810" s="5">
        <v>1</v>
      </c>
      <c r="T810" s="4">
        <v>540000</v>
      </c>
      <c r="U810" s="5">
        <v>0</v>
      </c>
      <c r="V810" s="4">
        <v>0</v>
      </c>
      <c r="W810" s="5">
        <v>0</v>
      </c>
      <c r="X810" s="4">
        <v>0</v>
      </c>
      <c r="Y810" s="4">
        <f t="shared" si="24"/>
        <v>540000</v>
      </c>
      <c r="Z810" s="6" t="s">
        <v>0</v>
      </c>
      <c r="AA810" t="s">
        <v>2</v>
      </c>
      <c r="AB810" t="s">
        <v>103</v>
      </c>
      <c r="AC810">
        <f>_xlfn.XLOOKUP(AB810,'[1]GST Codes'!$A:$A,'[1]GST Codes'!$C:$C,0,0)</f>
        <v>18</v>
      </c>
      <c r="AD810">
        <f t="shared" si="25"/>
        <v>637200</v>
      </c>
      <c r="AE810" t="s">
        <v>13</v>
      </c>
      <c r="AF810" t="s">
        <v>0</v>
      </c>
      <c r="AG810" t="s">
        <v>14</v>
      </c>
      <c r="AH810" t="s">
        <v>15</v>
      </c>
      <c r="AI810" t="s">
        <v>16</v>
      </c>
      <c r="AJ810" t="s">
        <v>17</v>
      </c>
      <c r="AK810" t="s">
        <v>18</v>
      </c>
      <c r="AL810" t="s">
        <v>19</v>
      </c>
      <c r="AM810" t="s">
        <v>388</v>
      </c>
      <c r="AN810" t="s">
        <v>0</v>
      </c>
      <c r="AO810" t="s">
        <v>0</v>
      </c>
      <c r="AP810" t="s">
        <v>0</v>
      </c>
      <c r="AQ810" s="5">
        <v>9</v>
      </c>
      <c r="AR810" t="s">
        <v>11</v>
      </c>
      <c r="AS810" t="s">
        <v>0</v>
      </c>
      <c r="AT810" t="s">
        <v>17</v>
      </c>
      <c r="AU810" s="4">
        <v>0</v>
      </c>
      <c r="AV810" s="4">
        <v>0</v>
      </c>
      <c r="AW810" s="4">
        <v>0</v>
      </c>
      <c r="AX810" s="4">
        <v>0</v>
      </c>
      <c r="AY810" s="5">
        <v>0</v>
      </c>
      <c r="AZ810" s="5">
        <v>0</v>
      </c>
      <c r="BA810" s="5">
        <v>0</v>
      </c>
      <c r="BB810" s="2"/>
      <c r="BC810" t="s">
        <v>0</v>
      </c>
      <c r="BD810" s="5">
        <v>1</v>
      </c>
      <c r="BE810" t="s">
        <v>0</v>
      </c>
      <c r="BF810" t="s">
        <v>389</v>
      </c>
      <c r="BG810" t="s">
        <v>17</v>
      </c>
      <c r="BH810" t="s">
        <v>0</v>
      </c>
      <c r="BI810" t="s">
        <v>11</v>
      </c>
      <c r="BJ810" t="s">
        <v>0</v>
      </c>
      <c r="BK810" t="s">
        <v>0</v>
      </c>
      <c r="BL810" s="5">
        <v>0</v>
      </c>
      <c r="BM810" t="s">
        <v>0</v>
      </c>
      <c r="BN810" t="s">
        <v>0</v>
      </c>
      <c r="BO810" t="s">
        <v>0</v>
      </c>
      <c r="BP810" t="s">
        <v>17</v>
      </c>
      <c r="BQ810" t="s">
        <v>0</v>
      </c>
      <c r="BR810" t="s">
        <v>17</v>
      </c>
      <c r="BS810" t="s">
        <v>17</v>
      </c>
      <c r="BT810" t="s">
        <v>0</v>
      </c>
      <c r="BU810" t="s">
        <v>0</v>
      </c>
      <c r="BV810" t="s">
        <v>0</v>
      </c>
      <c r="BW810" t="s">
        <v>0</v>
      </c>
      <c r="BX810" t="s">
        <v>0</v>
      </c>
      <c r="BY810" t="s">
        <v>0</v>
      </c>
      <c r="BZ810" t="s">
        <v>0</v>
      </c>
      <c r="CA810" t="s">
        <v>0</v>
      </c>
      <c r="CB810" t="s">
        <v>0</v>
      </c>
    </row>
    <row r="811" spans="1:80" ht="13.95" customHeight="1" x14ac:dyDescent="0.25">
      <c r="A811" t="s">
        <v>397</v>
      </c>
      <c r="B811" s="2">
        <v>45755</v>
      </c>
      <c r="C811" s="2"/>
      <c r="D811" s="2"/>
      <c r="E811" t="s">
        <v>2</v>
      </c>
      <c r="F811" t="s">
        <v>3</v>
      </c>
      <c r="G811" t="s">
        <v>0</v>
      </c>
      <c r="H811" t="s">
        <v>4</v>
      </c>
      <c r="I811" t="s">
        <v>385</v>
      </c>
      <c r="J811" t="s">
        <v>6</v>
      </c>
      <c r="K811" t="s">
        <v>89</v>
      </c>
      <c r="L811" t="s">
        <v>386</v>
      </c>
      <c r="M811" t="s">
        <v>387</v>
      </c>
      <c r="N811" t="s">
        <v>10</v>
      </c>
      <c r="O811" t="s">
        <v>0</v>
      </c>
      <c r="P811" t="s">
        <v>11</v>
      </c>
      <c r="Q811" s="5">
        <v>9</v>
      </c>
      <c r="R811" s="4">
        <v>60000</v>
      </c>
      <c r="S811" s="5">
        <v>1</v>
      </c>
      <c r="T811" s="4">
        <v>540000</v>
      </c>
      <c r="U811" s="5">
        <v>0</v>
      </c>
      <c r="V811" s="4">
        <v>0</v>
      </c>
      <c r="W811" s="5">
        <v>0</v>
      </c>
      <c r="X811" s="4">
        <v>0</v>
      </c>
      <c r="Y811" s="4">
        <f t="shared" si="24"/>
        <v>540000</v>
      </c>
      <c r="Z811" s="6" t="s">
        <v>0</v>
      </c>
      <c r="AA811" t="s">
        <v>2</v>
      </c>
      <c r="AB811" t="s">
        <v>103</v>
      </c>
      <c r="AC811">
        <f>_xlfn.XLOOKUP(AB811,'[1]GST Codes'!$A:$A,'[1]GST Codes'!$C:$C,0,0)</f>
        <v>18</v>
      </c>
      <c r="AD811">
        <f t="shared" si="25"/>
        <v>637200</v>
      </c>
      <c r="AE811" t="s">
        <v>13</v>
      </c>
      <c r="AF811" t="s">
        <v>0</v>
      </c>
      <c r="AG811" t="s">
        <v>14</v>
      </c>
      <c r="AH811" t="s">
        <v>15</v>
      </c>
      <c r="AI811" t="s">
        <v>16</v>
      </c>
      <c r="AJ811" t="s">
        <v>17</v>
      </c>
      <c r="AK811" t="s">
        <v>18</v>
      </c>
      <c r="AL811" t="s">
        <v>19</v>
      </c>
      <c r="AM811" t="s">
        <v>388</v>
      </c>
      <c r="AN811" t="s">
        <v>0</v>
      </c>
      <c r="AO811" t="s">
        <v>0</v>
      </c>
      <c r="AP811" t="s">
        <v>0</v>
      </c>
      <c r="AQ811" s="5">
        <v>9</v>
      </c>
      <c r="AR811" t="s">
        <v>11</v>
      </c>
      <c r="AS811" t="s">
        <v>0</v>
      </c>
      <c r="AT811" t="s">
        <v>17</v>
      </c>
      <c r="AU811" s="4">
        <v>0</v>
      </c>
      <c r="AV811" s="4">
        <v>0</v>
      </c>
      <c r="AW811" s="4">
        <v>0</v>
      </c>
      <c r="AX811" s="4">
        <v>0</v>
      </c>
      <c r="AY811" s="5">
        <v>0</v>
      </c>
      <c r="AZ811" s="5">
        <v>0</v>
      </c>
      <c r="BA811" s="5">
        <v>0</v>
      </c>
      <c r="BB811" s="2"/>
      <c r="BC811" t="s">
        <v>0</v>
      </c>
      <c r="BD811" s="5">
        <v>1</v>
      </c>
      <c r="BE811" t="s">
        <v>0</v>
      </c>
      <c r="BF811" t="s">
        <v>389</v>
      </c>
      <c r="BG811" t="s">
        <v>17</v>
      </c>
      <c r="BH811" t="s">
        <v>0</v>
      </c>
      <c r="BI811" t="s">
        <v>11</v>
      </c>
      <c r="BJ811" t="s">
        <v>0</v>
      </c>
      <c r="BK811" t="s">
        <v>0</v>
      </c>
      <c r="BL811" s="5">
        <v>0</v>
      </c>
      <c r="BM811" t="s">
        <v>0</v>
      </c>
      <c r="BN811" t="s">
        <v>0</v>
      </c>
      <c r="BO811" t="s">
        <v>0</v>
      </c>
      <c r="BP811" t="s">
        <v>17</v>
      </c>
      <c r="BQ811" t="s">
        <v>0</v>
      </c>
      <c r="BR811" t="s">
        <v>17</v>
      </c>
      <c r="BS811" t="s">
        <v>17</v>
      </c>
      <c r="BT811" t="s">
        <v>0</v>
      </c>
      <c r="BU811" t="s">
        <v>0</v>
      </c>
      <c r="BV811" t="s">
        <v>0</v>
      </c>
      <c r="BW811" t="s">
        <v>0</v>
      </c>
      <c r="BX811" t="s">
        <v>0</v>
      </c>
      <c r="BY811" t="s">
        <v>0</v>
      </c>
      <c r="BZ811" t="s">
        <v>0</v>
      </c>
      <c r="CA811" t="s">
        <v>0</v>
      </c>
      <c r="CB811" t="s">
        <v>0</v>
      </c>
    </row>
    <row r="812" spans="1:80" ht="13.95" customHeight="1" x14ac:dyDescent="0.25">
      <c r="A812" t="s">
        <v>397</v>
      </c>
      <c r="B812" s="2">
        <v>45755</v>
      </c>
      <c r="C812" s="2"/>
      <c r="D812" s="2"/>
      <c r="E812" t="s">
        <v>2</v>
      </c>
      <c r="F812" t="s">
        <v>3</v>
      </c>
      <c r="G812" t="s">
        <v>0</v>
      </c>
      <c r="H812" t="s">
        <v>4</v>
      </c>
      <c r="I812" t="s">
        <v>385</v>
      </c>
      <c r="J812" t="s">
        <v>6</v>
      </c>
      <c r="K812" t="s">
        <v>90</v>
      </c>
      <c r="L812" t="s">
        <v>386</v>
      </c>
      <c r="M812" t="s">
        <v>387</v>
      </c>
      <c r="N812" t="s">
        <v>10</v>
      </c>
      <c r="O812" t="s">
        <v>0</v>
      </c>
      <c r="P812" t="s">
        <v>11</v>
      </c>
      <c r="Q812" s="5">
        <v>9</v>
      </c>
      <c r="R812" s="4">
        <v>60000</v>
      </c>
      <c r="S812" s="5">
        <v>1</v>
      </c>
      <c r="T812" s="4">
        <v>540000</v>
      </c>
      <c r="U812" s="5">
        <v>0</v>
      </c>
      <c r="V812" s="4">
        <v>0</v>
      </c>
      <c r="W812" s="5">
        <v>0</v>
      </c>
      <c r="X812" s="4">
        <v>0</v>
      </c>
      <c r="Y812" s="4">
        <f t="shared" si="24"/>
        <v>540000</v>
      </c>
      <c r="Z812" s="6" t="s">
        <v>0</v>
      </c>
      <c r="AA812" t="s">
        <v>2</v>
      </c>
      <c r="AB812" t="s">
        <v>103</v>
      </c>
      <c r="AC812">
        <f>_xlfn.XLOOKUP(AB812,'[1]GST Codes'!$A:$A,'[1]GST Codes'!$C:$C,0,0)</f>
        <v>18</v>
      </c>
      <c r="AD812">
        <f t="shared" si="25"/>
        <v>637200</v>
      </c>
      <c r="AE812" t="s">
        <v>13</v>
      </c>
      <c r="AF812" t="s">
        <v>0</v>
      </c>
      <c r="AG812" t="s">
        <v>14</v>
      </c>
      <c r="AH812" t="s">
        <v>15</v>
      </c>
      <c r="AI812" t="s">
        <v>16</v>
      </c>
      <c r="AJ812" t="s">
        <v>17</v>
      </c>
      <c r="AK812" t="s">
        <v>18</v>
      </c>
      <c r="AL812" t="s">
        <v>19</v>
      </c>
      <c r="AM812" t="s">
        <v>388</v>
      </c>
      <c r="AN812" t="s">
        <v>0</v>
      </c>
      <c r="AO812" t="s">
        <v>0</v>
      </c>
      <c r="AP812" t="s">
        <v>0</v>
      </c>
      <c r="AQ812" s="5">
        <v>9</v>
      </c>
      <c r="AR812" t="s">
        <v>11</v>
      </c>
      <c r="AS812" t="s">
        <v>0</v>
      </c>
      <c r="AT812" t="s">
        <v>17</v>
      </c>
      <c r="AU812" s="4">
        <v>0</v>
      </c>
      <c r="AV812" s="4">
        <v>0</v>
      </c>
      <c r="AW812" s="4">
        <v>0</v>
      </c>
      <c r="AX812" s="4">
        <v>0</v>
      </c>
      <c r="AY812" s="5">
        <v>0</v>
      </c>
      <c r="AZ812" s="5">
        <v>0</v>
      </c>
      <c r="BA812" s="5">
        <v>0</v>
      </c>
      <c r="BB812" s="2"/>
      <c r="BC812" t="s">
        <v>0</v>
      </c>
      <c r="BD812" s="5">
        <v>1</v>
      </c>
      <c r="BE812" t="s">
        <v>0</v>
      </c>
      <c r="BF812" t="s">
        <v>389</v>
      </c>
      <c r="BG812" t="s">
        <v>17</v>
      </c>
      <c r="BH812" t="s">
        <v>0</v>
      </c>
      <c r="BI812" t="s">
        <v>11</v>
      </c>
      <c r="BJ812" t="s">
        <v>0</v>
      </c>
      <c r="BK812" t="s">
        <v>0</v>
      </c>
      <c r="BL812" s="5">
        <v>0</v>
      </c>
      <c r="BM812" t="s">
        <v>0</v>
      </c>
      <c r="BN812" t="s">
        <v>0</v>
      </c>
      <c r="BO812" t="s">
        <v>0</v>
      </c>
      <c r="BP812" t="s">
        <v>17</v>
      </c>
      <c r="BQ812" t="s">
        <v>0</v>
      </c>
      <c r="BR812" t="s">
        <v>17</v>
      </c>
      <c r="BS812" t="s">
        <v>17</v>
      </c>
      <c r="BT812" t="s">
        <v>0</v>
      </c>
      <c r="BU812" t="s">
        <v>0</v>
      </c>
      <c r="BV812" t="s">
        <v>0</v>
      </c>
      <c r="BW812" t="s">
        <v>0</v>
      </c>
      <c r="BX812" t="s">
        <v>0</v>
      </c>
      <c r="BY812" t="s">
        <v>0</v>
      </c>
      <c r="BZ812" t="s">
        <v>0</v>
      </c>
      <c r="CA812" t="s">
        <v>0</v>
      </c>
      <c r="CB812" t="s">
        <v>0</v>
      </c>
    </row>
    <row r="813" spans="1:80" ht="13.95" customHeight="1" x14ac:dyDescent="0.25">
      <c r="A813" t="s">
        <v>397</v>
      </c>
      <c r="B813" s="2">
        <v>45755</v>
      </c>
      <c r="C813" s="2"/>
      <c r="D813" s="2"/>
      <c r="E813" t="s">
        <v>2</v>
      </c>
      <c r="F813" t="s">
        <v>3</v>
      </c>
      <c r="G813" t="s">
        <v>0</v>
      </c>
      <c r="H813" t="s">
        <v>4</v>
      </c>
      <c r="I813" t="s">
        <v>385</v>
      </c>
      <c r="J813" t="s">
        <v>6</v>
      </c>
      <c r="K813" t="s">
        <v>177</v>
      </c>
      <c r="L813" t="s">
        <v>386</v>
      </c>
      <c r="M813" t="s">
        <v>387</v>
      </c>
      <c r="N813" t="s">
        <v>10</v>
      </c>
      <c r="O813" t="s">
        <v>0</v>
      </c>
      <c r="P813" t="s">
        <v>11</v>
      </c>
      <c r="Q813" s="5">
        <v>9</v>
      </c>
      <c r="R813" s="4">
        <v>60000</v>
      </c>
      <c r="S813" s="5">
        <v>1</v>
      </c>
      <c r="T813" s="4">
        <v>540000</v>
      </c>
      <c r="U813" s="5">
        <v>0</v>
      </c>
      <c r="V813" s="4">
        <v>0</v>
      </c>
      <c r="W813" s="5">
        <v>0</v>
      </c>
      <c r="X813" s="4">
        <v>0</v>
      </c>
      <c r="Y813" s="4">
        <f t="shared" si="24"/>
        <v>540000</v>
      </c>
      <c r="Z813" s="6" t="s">
        <v>0</v>
      </c>
      <c r="AA813" t="s">
        <v>2</v>
      </c>
      <c r="AB813" t="s">
        <v>103</v>
      </c>
      <c r="AC813">
        <f>_xlfn.XLOOKUP(AB813,'[1]GST Codes'!$A:$A,'[1]GST Codes'!$C:$C,0,0)</f>
        <v>18</v>
      </c>
      <c r="AD813">
        <f t="shared" si="25"/>
        <v>637200</v>
      </c>
      <c r="AE813" t="s">
        <v>13</v>
      </c>
      <c r="AF813" t="s">
        <v>0</v>
      </c>
      <c r="AG813" t="s">
        <v>14</v>
      </c>
      <c r="AH813" t="s">
        <v>15</v>
      </c>
      <c r="AI813" t="s">
        <v>16</v>
      </c>
      <c r="AJ813" t="s">
        <v>17</v>
      </c>
      <c r="AK813" t="s">
        <v>18</v>
      </c>
      <c r="AL813" t="s">
        <v>19</v>
      </c>
      <c r="AM813" t="s">
        <v>388</v>
      </c>
      <c r="AN813" t="s">
        <v>0</v>
      </c>
      <c r="AO813" t="s">
        <v>0</v>
      </c>
      <c r="AP813" t="s">
        <v>0</v>
      </c>
      <c r="AQ813" s="5">
        <v>9</v>
      </c>
      <c r="AR813" t="s">
        <v>11</v>
      </c>
      <c r="AS813" t="s">
        <v>0</v>
      </c>
      <c r="AT813" t="s">
        <v>17</v>
      </c>
      <c r="AU813" s="4">
        <v>0</v>
      </c>
      <c r="AV813" s="4">
        <v>0</v>
      </c>
      <c r="AW813" s="4">
        <v>0</v>
      </c>
      <c r="AX813" s="4">
        <v>0</v>
      </c>
      <c r="AY813" s="5">
        <v>0</v>
      </c>
      <c r="AZ813" s="5">
        <v>0</v>
      </c>
      <c r="BA813" s="5">
        <v>0</v>
      </c>
      <c r="BB813" s="2"/>
      <c r="BC813" t="s">
        <v>0</v>
      </c>
      <c r="BD813" s="5">
        <v>1</v>
      </c>
      <c r="BE813" t="s">
        <v>0</v>
      </c>
      <c r="BF813" t="s">
        <v>389</v>
      </c>
      <c r="BG813" t="s">
        <v>17</v>
      </c>
      <c r="BH813" t="s">
        <v>0</v>
      </c>
      <c r="BI813" t="s">
        <v>11</v>
      </c>
      <c r="BJ813" t="s">
        <v>0</v>
      </c>
      <c r="BK813" t="s">
        <v>0</v>
      </c>
      <c r="BL813" s="5">
        <v>0</v>
      </c>
      <c r="BM813" t="s">
        <v>0</v>
      </c>
      <c r="BN813" t="s">
        <v>0</v>
      </c>
      <c r="BO813" t="s">
        <v>0</v>
      </c>
      <c r="BP813" t="s">
        <v>17</v>
      </c>
      <c r="BQ813" t="s">
        <v>0</v>
      </c>
      <c r="BR813" t="s">
        <v>17</v>
      </c>
      <c r="BS813" t="s">
        <v>17</v>
      </c>
      <c r="BT813" t="s">
        <v>0</v>
      </c>
      <c r="BU813" t="s">
        <v>0</v>
      </c>
      <c r="BV813" t="s">
        <v>0</v>
      </c>
      <c r="BW813" t="s">
        <v>0</v>
      </c>
      <c r="BX813" t="s">
        <v>0</v>
      </c>
      <c r="BY813" t="s">
        <v>0</v>
      </c>
      <c r="BZ813" t="s">
        <v>0</v>
      </c>
      <c r="CA813" t="s">
        <v>0</v>
      </c>
      <c r="CB813" t="s">
        <v>0</v>
      </c>
    </row>
    <row r="814" spans="1:80" ht="13.95" customHeight="1" x14ac:dyDescent="0.25">
      <c r="A814" t="s">
        <v>397</v>
      </c>
      <c r="B814" s="2">
        <v>45755</v>
      </c>
      <c r="C814" s="2"/>
      <c r="D814" s="2"/>
      <c r="E814" t="s">
        <v>2</v>
      </c>
      <c r="F814" t="s">
        <v>3</v>
      </c>
      <c r="G814" t="s">
        <v>0</v>
      </c>
      <c r="H814" t="s">
        <v>4</v>
      </c>
      <c r="I814" t="s">
        <v>385</v>
      </c>
      <c r="J814" t="s">
        <v>6</v>
      </c>
      <c r="K814" t="s">
        <v>181</v>
      </c>
      <c r="L814" t="s">
        <v>386</v>
      </c>
      <c r="M814" t="s">
        <v>387</v>
      </c>
      <c r="N814" t="s">
        <v>10</v>
      </c>
      <c r="O814" t="s">
        <v>0</v>
      </c>
      <c r="P814" t="s">
        <v>11</v>
      </c>
      <c r="Q814" s="5">
        <v>6</v>
      </c>
      <c r="R814" s="4">
        <v>60000</v>
      </c>
      <c r="S814" s="5">
        <v>1</v>
      </c>
      <c r="T814" s="4">
        <v>360000</v>
      </c>
      <c r="U814" s="5">
        <v>0</v>
      </c>
      <c r="V814" s="4">
        <v>0</v>
      </c>
      <c r="W814" s="5">
        <v>0</v>
      </c>
      <c r="X814" s="4">
        <v>0</v>
      </c>
      <c r="Y814" s="4">
        <f t="shared" si="24"/>
        <v>360000</v>
      </c>
      <c r="Z814" s="6" t="s">
        <v>0</v>
      </c>
      <c r="AA814" t="s">
        <v>2</v>
      </c>
      <c r="AB814" t="s">
        <v>103</v>
      </c>
      <c r="AC814">
        <f>_xlfn.XLOOKUP(AB814,'[1]GST Codes'!$A:$A,'[1]GST Codes'!$C:$C,0,0)</f>
        <v>18</v>
      </c>
      <c r="AD814">
        <f t="shared" si="25"/>
        <v>424800</v>
      </c>
      <c r="AE814" t="s">
        <v>13</v>
      </c>
      <c r="AF814" t="s">
        <v>0</v>
      </c>
      <c r="AG814" t="s">
        <v>14</v>
      </c>
      <c r="AH814" t="s">
        <v>15</v>
      </c>
      <c r="AI814" t="s">
        <v>16</v>
      </c>
      <c r="AJ814" t="s">
        <v>17</v>
      </c>
      <c r="AK814" t="s">
        <v>18</v>
      </c>
      <c r="AL814" t="s">
        <v>19</v>
      </c>
      <c r="AM814" t="s">
        <v>388</v>
      </c>
      <c r="AN814" t="s">
        <v>0</v>
      </c>
      <c r="AO814" t="s">
        <v>0</v>
      </c>
      <c r="AP814" t="s">
        <v>0</v>
      </c>
      <c r="AQ814" s="5">
        <v>6</v>
      </c>
      <c r="AR814" t="s">
        <v>11</v>
      </c>
      <c r="AS814" t="s">
        <v>0</v>
      </c>
      <c r="AT814" t="s">
        <v>17</v>
      </c>
      <c r="AU814" s="4">
        <v>0</v>
      </c>
      <c r="AV814" s="4">
        <v>0</v>
      </c>
      <c r="AW814" s="4">
        <v>0</v>
      </c>
      <c r="AX814" s="4">
        <v>0</v>
      </c>
      <c r="AY814" s="5">
        <v>0</v>
      </c>
      <c r="AZ814" s="5">
        <v>0</v>
      </c>
      <c r="BA814" s="5">
        <v>0</v>
      </c>
      <c r="BB814" s="2"/>
      <c r="BC814" t="s">
        <v>0</v>
      </c>
      <c r="BD814" s="5">
        <v>1</v>
      </c>
      <c r="BE814" t="s">
        <v>0</v>
      </c>
      <c r="BF814" t="s">
        <v>389</v>
      </c>
      <c r="BG814" t="s">
        <v>17</v>
      </c>
      <c r="BH814" t="s">
        <v>0</v>
      </c>
      <c r="BI814" t="s">
        <v>11</v>
      </c>
      <c r="BJ814" t="s">
        <v>0</v>
      </c>
      <c r="BK814" t="s">
        <v>0</v>
      </c>
      <c r="BL814" s="5">
        <v>0</v>
      </c>
      <c r="BM814" t="s">
        <v>0</v>
      </c>
      <c r="BN814" t="s">
        <v>0</v>
      </c>
      <c r="BO814" t="s">
        <v>0</v>
      </c>
      <c r="BP814" t="s">
        <v>17</v>
      </c>
      <c r="BQ814" t="s">
        <v>0</v>
      </c>
      <c r="BR814" t="s">
        <v>17</v>
      </c>
      <c r="BS814" t="s">
        <v>17</v>
      </c>
      <c r="BT814" t="s">
        <v>0</v>
      </c>
      <c r="BU814" t="s">
        <v>0</v>
      </c>
      <c r="BV814" t="s">
        <v>0</v>
      </c>
      <c r="BW814" t="s">
        <v>0</v>
      </c>
      <c r="BX814" t="s">
        <v>0</v>
      </c>
      <c r="BY814" t="s">
        <v>0</v>
      </c>
      <c r="BZ814" t="s">
        <v>0</v>
      </c>
      <c r="CA814" t="s">
        <v>0</v>
      </c>
      <c r="CB814" t="s">
        <v>0</v>
      </c>
    </row>
    <row r="815" spans="1:80" ht="13.95" customHeight="1" x14ac:dyDescent="0.25">
      <c r="A815" t="s">
        <v>398</v>
      </c>
      <c r="B815" s="2">
        <v>45832</v>
      </c>
      <c r="C815" s="2">
        <v>45832</v>
      </c>
      <c r="D815" s="2">
        <v>45862</v>
      </c>
      <c r="E815" t="s">
        <v>2</v>
      </c>
      <c r="F815" t="s">
        <v>3</v>
      </c>
      <c r="G815" t="s">
        <v>0</v>
      </c>
      <c r="H815" t="s">
        <v>4</v>
      </c>
      <c r="I815" t="s">
        <v>385</v>
      </c>
      <c r="J815" t="s">
        <v>6</v>
      </c>
      <c r="K815" t="s">
        <v>7</v>
      </c>
      <c r="L815" t="s">
        <v>386</v>
      </c>
      <c r="M815" t="s">
        <v>387</v>
      </c>
      <c r="N815" t="s">
        <v>10</v>
      </c>
      <c r="O815" t="s">
        <v>0</v>
      </c>
      <c r="P815" t="s">
        <v>11</v>
      </c>
      <c r="Q815" s="5">
        <v>35</v>
      </c>
      <c r="R815" s="4">
        <v>55500</v>
      </c>
      <c r="S815" s="5">
        <v>1</v>
      </c>
      <c r="T815" s="4">
        <v>1942500</v>
      </c>
      <c r="U815" s="5">
        <v>35</v>
      </c>
      <c r="V815" s="4">
        <v>1942500</v>
      </c>
      <c r="W815" s="5">
        <v>35</v>
      </c>
      <c r="X815" s="4">
        <v>1942500</v>
      </c>
      <c r="Y815" s="4">
        <f t="shared" si="24"/>
        <v>0</v>
      </c>
      <c r="Z815" s="6" t="s">
        <v>0</v>
      </c>
      <c r="AA815" t="s">
        <v>2</v>
      </c>
      <c r="AB815" t="s">
        <v>103</v>
      </c>
      <c r="AC815">
        <f>_xlfn.XLOOKUP(AB815,'[1]GST Codes'!$A:$A,'[1]GST Codes'!$C:$C,0,0)</f>
        <v>18</v>
      </c>
      <c r="AD815">
        <f t="shared" si="25"/>
        <v>0</v>
      </c>
      <c r="AE815" t="s">
        <v>13</v>
      </c>
      <c r="AF815" t="s">
        <v>0</v>
      </c>
      <c r="AG815" t="s">
        <v>14</v>
      </c>
      <c r="AH815" t="s">
        <v>15</v>
      </c>
      <c r="AI815" t="s">
        <v>16</v>
      </c>
      <c r="AJ815" t="s">
        <v>17</v>
      </c>
      <c r="AK815" t="s">
        <v>18</v>
      </c>
      <c r="AL815" t="s">
        <v>19</v>
      </c>
      <c r="AM815" t="s">
        <v>388</v>
      </c>
      <c r="AN815" t="s">
        <v>0</v>
      </c>
      <c r="AO815" t="s">
        <v>0</v>
      </c>
      <c r="AP815" t="s">
        <v>0</v>
      </c>
      <c r="AQ815" s="5">
        <v>35</v>
      </c>
      <c r="AR815" t="s">
        <v>11</v>
      </c>
      <c r="AS815" t="s">
        <v>0</v>
      </c>
      <c r="AT815" t="s">
        <v>17</v>
      </c>
      <c r="AU815" s="4">
        <v>0</v>
      </c>
      <c r="AV815" s="4">
        <v>0</v>
      </c>
      <c r="AW815" s="4">
        <v>0</v>
      </c>
      <c r="AX815" s="4">
        <v>0</v>
      </c>
      <c r="AY815" s="5">
        <v>0</v>
      </c>
      <c r="AZ815" s="5">
        <v>0</v>
      </c>
      <c r="BA815" s="5">
        <v>0</v>
      </c>
      <c r="BB815" s="2"/>
      <c r="BC815" t="s">
        <v>0</v>
      </c>
      <c r="BD815" s="5">
        <v>1</v>
      </c>
      <c r="BE815" t="s">
        <v>0</v>
      </c>
      <c r="BF815" t="s">
        <v>389</v>
      </c>
      <c r="BG815" t="s">
        <v>17</v>
      </c>
      <c r="BH815" t="s">
        <v>0</v>
      </c>
      <c r="BI815" t="s">
        <v>11</v>
      </c>
      <c r="BJ815" t="s">
        <v>0</v>
      </c>
      <c r="BK815" t="s">
        <v>0</v>
      </c>
      <c r="BL815" s="5">
        <v>0</v>
      </c>
      <c r="BM815" t="s">
        <v>0</v>
      </c>
      <c r="BN815" t="s">
        <v>0</v>
      </c>
      <c r="BO815" t="s">
        <v>0</v>
      </c>
      <c r="BP815" t="s">
        <v>17</v>
      </c>
      <c r="BQ815" t="s">
        <v>0</v>
      </c>
      <c r="BR815" t="s">
        <v>17</v>
      </c>
      <c r="BS815" t="s">
        <v>17</v>
      </c>
      <c r="BT815" t="s">
        <v>0</v>
      </c>
      <c r="BU815" t="s">
        <v>0</v>
      </c>
      <c r="BV815" t="s">
        <v>0</v>
      </c>
      <c r="BW815" t="s">
        <v>0</v>
      </c>
      <c r="BX815" t="s">
        <v>0</v>
      </c>
      <c r="BY815" t="s">
        <v>0</v>
      </c>
      <c r="BZ815" t="s">
        <v>0</v>
      </c>
      <c r="CA815" t="s">
        <v>0</v>
      </c>
      <c r="CB815" t="s">
        <v>0</v>
      </c>
    </row>
    <row r="816" spans="1:80" ht="13.95" customHeight="1" x14ac:dyDescent="0.25">
      <c r="A816" t="s">
        <v>399</v>
      </c>
      <c r="B816" s="2">
        <v>45883</v>
      </c>
      <c r="C816" s="2">
        <v>45883</v>
      </c>
      <c r="D816" s="2">
        <v>45914</v>
      </c>
      <c r="E816" t="s">
        <v>2</v>
      </c>
      <c r="F816" t="s">
        <v>3</v>
      </c>
      <c r="G816" t="s">
        <v>0</v>
      </c>
      <c r="H816" t="s">
        <v>4</v>
      </c>
      <c r="I816" t="s">
        <v>385</v>
      </c>
      <c r="J816" t="s">
        <v>6</v>
      </c>
      <c r="K816" t="s">
        <v>7</v>
      </c>
      <c r="L816" t="s">
        <v>70</v>
      </c>
      <c r="M816" t="s">
        <v>71</v>
      </c>
      <c r="N816" t="s">
        <v>10</v>
      </c>
      <c r="O816" t="s">
        <v>0</v>
      </c>
      <c r="P816" t="s">
        <v>11</v>
      </c>
      <c r="Q816" s="5">
        <v>10</v>
      </c>
      <c r="R816" s="4">
        <v>49300</v>
      </c>
      <c r="S816" s="5">
        <v>1</v>
      </c>
      <c r="T816" s="4">
        <v>493000</v>
      </c>
      <c r="U816" s="5">
        <v>0</v>
      </c>
      <c r="V816" s="4">
        <v>0</v>
      </c>
      <c r="W816" s="5">
        <v>0</v>
      </c>
      <c r="X816" s="4">
        <v>0</v>
      </c>
      <c r="Y816" s="4">
        <f t="shared" si="24"/>
        <v>493000</v>
      </c>
      <c r="Z816" s="6" t="s">
        <v>0</v>
      </c>
      <c r="AA816" t="s">
        <v>2</v>
      </c>
      <c r="AB816" t="s">
        <v>103</v>
      </c>
      <c r="AC816">
        <f>_xlfn.XLOOKUP(AB816,'[1]GST Codes'!$A:$A,'[1]GST Codes'!$C:$C,0,0)</f>
        <v>18</v>
      </c>
      <c r="AD816">
        <f t="shared" si="25"/>
        <v>581740</v>
      </c>
      <c r="AE816" t="s">
        <v>13</v>
      </c>
      <c r="AF816" t="s">
        <v>0</v>
      </c>
      <c r="AG816" t="s">
        <v>14</v>
      </c>
      <c r="AH816" t="s">
        <v>15</v>
      </c>
      <c r="AI816" t="s">
        <v>16</v>
      </c>
      <c r="AJ816" t="s">
        <v>17</v>
      </c>
      <c r="AK816" t="s">
        <v>18</v>
      </c>
      <c r="AL816" t="s">
        <v>19</v>
      </c>
      <c r="AM816" t="s">
        <v>388</v>
      </c>
      <c r="AN816" t="s">
        <v>0</v>
      </c>
      <c r="AO816" t="s">
        <v>0</v>
      </c>
      <c r="AP816" t="s">
        <v>0</v>
      </c>
      <c r="AQ816" s="5">
        <v>10</v>
      </c>
      <c r="AR816" t="s">
        <v>11</v>
      </c>
      <c r="AS816" t="s">
        <v>0</v>
      </c>
      <c r="AT816" t="s">
        <v>17</v>
      </c>
      <c r="AU816" s="4">
        <v>0</v>
      </c>
      <c r="AV816" s="4">
        <v>0</v>
      </c>
      <c r="AW816" s="4">
        <v>0</v>
      </c>
      <c r="AX816" s="4">
        <v>0</v>
      </c>
      <c r="AY816" s="5">
        <v>0</v>
      </c>
      <c r="AZ816" s="5">
        <v>0</v>
      </c>
      <c r="BA816" s="5">
        <v>0</v>
      </c>
      <c r="BB816" s="2"/>
      <c r="BC816" t="s">
        <v>0</v>
      </c>
      <c r="BD816" s="5">
        <v>1</v>
      </c>
      <c r="BE816" t="s">
        <v>0</v>
      </c>
      <c r="BF816" t="s">
        <v>400</v>
      </c>
      <c r="BG816" t="s">
        <v>17</v>
      </c>
      <c r="BH816" t="s">
        <v>0</v>
      </c>
      <c r="BI816" t="s">
        <v>11</v>
      </c>
      <c r="BJ816" t="s">
        <v>0</v>
      </c>
      <c r="BK816" t="s">
        <v>0</v>
      </c>
      <c r="BL816" s="5">
        <v>0</v>
      </c>
      <c r="BM816" t="s">
        <v>0</v>
      </c>
      <c r="BN816" t="s">
        <v>0</v>
      </c>
      <c r="BO816" t="s">
        <v>0</v>
      </c>
      <c r="BP816" t="s">
        <v>17</v>
      </c>
      <c r="BQ816" t="s">
        <v>0</v>
      </c>
      <c r="BR816" t="s">
        <v>17</v>
      </c>
      <c r="BS816" t="s">
        <v>17</v>
      </c>
      <c r="BT816" t="s">
        <v>0</v>
      </c>
      <c r="BU816" t="s">
        <v>0</v>
      </c>
      <c r="BV816" t="s">
        <v>0</v>
      </c>
      <c r="BW816" t="s">
        <v>0</v>
      </c>
      <c r="BX816" t="s">
        <v>0</v>
      </c>
      <c r="BY816" t="s">
        <v>0</v>
      </c>
      <c r="BZ816" t="s">
        <v>0</v>
      </c>
      <c r="CA816" t="s">
        <v>0</v>
      </c>
      <c r="CB816" t="s">
        <v>0</v>
      </c>
    </row>
    <row r="817" spans="1:80" ht="13.95" customHeight="1" x14ac:dyDescent="0.25">
      <c r="A817" t="s">
        <v>399</v>
      </c>
      <c r="B817" s="2">
        <v>45883</v>
      </c>
      <c r="C817" s="2">
        <v>45883</v>
      </c>
      <c r="D817" s="2">
        <v>45914</v>
      </c>
      <c r="E817" t="s">
        <v>2</v>
      </c>
      <c r="F817" t="s">
        <v>3</v>
      </c>
      <c r="G817" t="s">
        <v>0</v>
      </c>
      <c r="H817" t="s">
        <v>4</v>
      </c>
      <c r="I817" t="s">
        <v>385</v>
      </c>
      <c r="J817" t="s">
        <v>6</v>
      </c>
      <c r="K817" t="s">
        <v>22</v>
      </c>
      <c r="L817" t="s">
        <v>70</v>
      </c>
      <c r="M817" t="s">
        <v>71</v>
      </c>
      <c r="N817" t="s">
        <v>10</v>
      </c>
      <c r="O817" t="s">
        <v>0</v>
      </c>
      <c r="P817" t="s">
        <v>11</v>
      </c>
      <c r="Q817" s="5">
        <v>10</v>
      </c>
      <c r="R817" s="4">
        <v>49300</v>
      </c>
      <c r="S817" s="5">
        <v>1</v>
      </c>
      <c r="T817" s="4">
        <v>493000</v>
      </c>
      <c r="U817" s="5">
        <v>0</v>
      </c>
      <c r="V817" s="4">
        <v>0</v>
      </c>
      <c r="W817" s="5">
        <v>0</v>
      </c>
      <c r="X817" s="4">
        <v>0</v>
      </c>
      <c r="Y817" s="4">
        <f t="shared" si="24"/>
        <v>493000</v>
      </c>
      <c r="Z817" s="6" t="s">
        <v>0</v>
      </c>
      <c r="AA817" t="s">
        <v>2</v>
      </c>
      <c r="AB817" t="s">
        <v>103</v>
      </c>
      <c r="AC817">
        <f>_xlfn.XLOOKUP(AB817,'[1]GST Codes'!$A:$A,'[1]GST Codes'!$C:$C,0,0)</f>
        <v>18</v>
      </c>
      <c r="AD817">
        <f t="shared" si="25"/>
        <v>581740</v>
      </c>
      <c r="AE817" t="s">
        <v>13</v>
      </c>
      <c r="AF817" t="s">
        <v>0</v>
      </c>
      <c r="AG817" t="s">
        <v>14</v>
      </c>
      <c r="AH817" t="s">
        <v>15</v>
      </c>
      <c r="AI817" t="s">
        <v>16</v>
      </c>
      <c r="AJ817" t="s">
        <v>17</v>
      </c>
      <c r="AK817" t="s">
        <v>18</v>
      </c>
      <c r="AL817" t="s">
        <v>19</v>
      </c>
      <c r="AM817" t="s">
        <v>388</v>
      </c>
      <c r="AN817" t="s">
        <v>0</v>
      </c>
      <c r="AO817" t="s">
        <v>0</v>
      </c>
      <c r="AP817" t="s">
        <v>0</v>
      </c>
      <c r="AQ817" s="5">
        <v>10</v>
      </c>
      <c r="AR817" t="s">
        <v>11</v>
      </c>
      <c r="AS817" t="s">
        <v>0</v>
      </c>
      <c r="AT817" t="s">
        <v>17</v>
      </c>
      <c r="AU817" s="4">
        <v>0</v>
      </c>
      <c r="AV817" s="4">
        <v>0</v>
      </c>
      <c r="AW817" s="4">
        <v>0</v>
      </c>
      <c r="AX817" s="4">
        <v>0</v>
      </c>
      <c r="AY817" s="5">
        <v>0</v>
      </c>
      <c r="AZ817" s="5">
        <v>0</v>
      </c>
      <c r="BA817" s="5">
        <v>0</v>
      </c>
      <c r="BB817" s="2"/>
      <c r="BC817" t="s">
        <v>0</v>
      </c>
      <c r="BD817" s="5">
        <v>1</v>
      </c>
      <c r="BE817" t="s">
        <v>0</v>
      </c>
      <c r="BF817" t="s">
        <v>400</v>
      </c>
      <c r="BG817" t="s">
        <v>17</v>
      </c>
      <c r="BH817" t="s">
        <v>0</v>
      </c>
      <c r="BI817" t="s">
        <v>11</v>
      </c>
      <c r="BJ817" t="s">
        <v>0</v>
      </c>
      <c r="BK817" t="s">
        <v>0</v>
      </c>
      <c r="BL817" s="5">
        <v>0</v>
      </c>
      <c r="BM817" t="s">
        <v>0</v>
      </c>
      <c r="BN817" t="s">
        <v>0</v>
      </c>
      <c r="BO817" t="s">
        <v>0</v>
      </c>
      <c r="BP817" t="s">
        <v>17</v>
      </c>
      <c r="BQ817" t="s">
        <v>0</v>
      </c>
      <c r="BR817" t="s">
        <v>17</v>
      </c>
      <c r="BS817" t="s">
        <v>17</v>
      </c>
      <c r="BT817" t="s">
        <v>0</v>
      </c>
      <c r="BU817" t="s">
        <v>0</v>
      </c>
      <c r="BV817" t="s">
        <v>0</v>
      </c>
      <c r="BW817" t="s">
        <v>0</v>
      </c>
      <c r="BX817" t="s">
        <v>0</v>
      </c>
      <c r="BY817" t="s">
        <v>0</v>
      </c>
      <c r="BZ817" t="s">
        <v>0</v>
      </c>
      <c r="CA817" t="s">
        <v>0</v>
      </c>
      <c r="CB817" t="s">
        <v>0</v>
      </c>
    </row>
    <row r="818" spans="1:80" ht="13.95" customHeight="1" x14ac:dyDescent="0.25">
      <c r="A818" t="s">
        <v>399</v>
      </c>
      <c r="B818" s="2">
        <v>45883</v>
      </c>
      <c r="C818" s="2">
        <v>45883</v>
      </c>
      <c r="D818" s="2">
        <v>45914</v>
      </c>
      <c r="E818" t="s">
        <v>2</v>
      </c>
      <c r="F818" t="s">
        <v>3</v>
      </c>
      <c r="G818" t="s">
        <v>0</v>
      </c>
      <c r="H818" t="s">
        <v>4</v>
      </c>
      <c r="I818" t="s">
        <v>385</v>
      </c>
      <c r="J818" t="s">
        <v>6</v>
      </c>
      <c r="K818" t="s">
        <v>26</v>
      </c>
      <c r="L818" t="s">
        <v>70</v>
      </c>
      <c r="M818" t="s">
        <v>71</v>
      </c>
      <c r="N818" t="s">
        <v>10</v>
      </c>
      <c r="O818" t="s">
        <v>0</v>
      </c>
      <c r="P818" t="s">
        <v>11</v>
      </c>
      <c r="Q818" s="5">
        <v>10</v>
      </c>
      <c r="R818" s="4">
        <v>49300</v>
      </c>
      <c r="S818" s="5">
        <v>1</v>
      </c>
      <c r="T818" s="4">
        <v>493000</v>
      </c>
      <c r="U818" s="5">
        <v>0</v>
      </c>
      <c r="V818" s="4">
        <v>0</v>
      </c>
      <c r="W818" s="5">
        <v>0</v>
      </c>
      <c r="X818" s="4">
        <v>0</v>
      </c>
      <c r="Y818" s="4">
        <f t="shared" si="24"/>
        <v>493000</v>
      </c>
      <c r="Z818" s="6" t="s">
        <v>0</v>
      </c>
      <c r="AA818" t="s">
        <v>2</v>
      </c>
      <c r="AB818" t="s">
        <v>103</v>
      </c>
      <c r="AC818">
        <f>_xlfn.XLOOKUP(AB818,'[1]GST Codes'!$A:$A,'[1]GST Codes'!$C:$C,0,0)</f>
        <v>18</v>
      </c>
      <c r="AD818">
        <f t="shared" si="25"/>
        <v>581740</v>
      </c>
      <c r="AE818" t="s">
        <v>13</v>
      </c>
      <c r="AF818" t="s">
        <v>0</v>
      </c>
      <c r="AG818" t="s">
        <v>14</v>
      </c>
      <c r="AH818" t="s">
        <v>15</v>
      </c>
      <c r="AI818" t="s">
        <v>16</v>
      </c>
      <c r="AJ818" t="s">
        <v>17</v>
      </c>
      <c r="AK818" t="s">
        <v>18</v>
      </c>
      <c r="AL818" t="s">
        <v>19</v>
      </c>
      <c r="AM818" t="s">
        <v>388</v>
      </c>
      <c r="AN818" t="s">
        <v>0</v>
      </c>
      <c r="AO818" t="s">
        <v>0</v>
      </c>
      <c r="AP818" t="s">
        <v>0</v>
      </c>
      <c r="AQ818" s="5">
        <v>10</v>
      </c>
      <c r="AR818" t="s">
        <v>11</v>
      </c>
      <c r="AS818" t="s">
        <v>0</v>
      </c>
      <c r="AT818" t="s">
        <v>17</v>
      </c>
      <c r="AU818" s="4">
        <v>0</v>
      </c>
      <c r="AV818" s="4">
        <v>0</v>
      </c>
      <c r="AW818" s="4">
        <v>0</v>
      </c>
      <c r="AX818" s="4">
        <v>0</v>
      </c>
      <c r="AY818" s="5">
        <v>0</v>
      </c>
      <c r="AZ818" s="5">
        <v>0</v>
      </c>
      <c r="BA818" s="5">
        <v>0</v>
      </c>
      <c r="BB818" s="2"/>
      <c r="BC818" t="s">
        <v>0</v>
      </c>
      <c r="BD818" s="5">
        <v>1</v>
      </c>
      <c r="BE818" t="s">
        <v>0</v>
      </c>
      <c r="BF818" t="s">
        <v>400</v>
      </c>
      <c r="BG818" t="s">
        <v>17</v>
      </c>
      <c r="BH818" t="s">
        <v>0</v>
      </c>
      <c r="BI818" t="s">
        <v>11</v>
      </c>
      <c r="BJ818" t="s">
        <v>0</v>
      </c>
      <c r="BK818" t="s">
        <v>0</v>
      </c>
      <c r="BL818" s="5">
        <v>0</v>
      </c>
      <c r="BM818" t="s">
        <v>0</v>
      </c>
      <c r="BN818" t="s">
        <v>0</v>
      </c>
      <c r="BO818" t="s">
        <v>0</v>
      </c>
      <c r="BP818" t="s">
        <v>17</v>
      </c>
      <c r="BQ818" t="s">
        <v>0</v>
      </c>
      <c r="BR818" t="s">
        <v>17</v>
      </c>
      <c r="BS818" t="s">
        <v>17</v>
      </c>
      <c r="BT818" t="s">
        <v>0</v>
      </c>
      <c r="BU818" t="s">
        <v>0</v>
      </c>
      <c r="BV818" t="s">
        <v>0</v>
      </c>
      <c r="BW818" t="s">
        <v>0</v>
      </c>
      <c r="BX818" t="s">
        <v>0</v>
      </c>
      <c r="BY818" t="s">
        <v>0</v>
      </c>
      <c r="BZ818" t="s">
        <v>0</v>
      </c>
      <c r="CA818" t="s">
        <v>0</v>
      </c>
      <c r="CB818" t="s">
        <v>0</v>
      </c>
    </row>
    <row r="819" spans="1:80" ht="13.95" customHeight="1" x14ac:dyDescent="0.25">
      <c r="A819" t="s">
        <v>399</v>
      </c>
      <c r="B819" s="2">
        <v>45883</v>
      </c>
      <c r="C819" s="2">
        <v>45883</v>
      </c>
      <c r="D819" s="2">
        <v>45914</v>
      </c>
      <c r="E819" t="s">
        <v>2</v>
      </c>
      <c r="F819" t="s">
        <v>3</v>
      </c>
      <c r="G819" t="s">
        <v>0</v>
      </c>
      <c r="H819" t="s">
        <v>4</v>
      </c>
      <c r="I819" t="s">
        <v>385</v>
      </c>
      <c r="J819" t="s">
        <v>6</v>
      </c>
      <c r="K819" t="s">
        <v>30</v>
      </c>
      <c r="L819" t="s">
        <v>70</v>
      </c>
      <c r="M819" t="s">
        <v>71</v>
      </c>
      <c r="N819" t="s">
        <v>10</v>
      </c>
      <c r="O819" t="s">
        <v>0</v>
      </c>
      <c r="P819" t="s">
        <v>11</v>
      </c>
      <c r="Q819" s="5">
        <v>10</v>
      </c>
      <c r="R819" s="4">
        <v>49300</v>
      </c>
      <c r="S819" s="5">
        <v>1</v>
      </c>
      <c r="T819" s="4">
        <v>493000</v>
      </c>
      <c r="U819" s="5">
        <v>0</v>
      </c>
      <c r="V819" s="4">
        <v>0</v>
      </c>
      <c r="W819" s="5">
        <v>0</v>
      </c>
      <c r="X819" s="4">
        <v>0</v>
      </c>
      <c r="Y819" s="4">
        <f t="shared" si="24"/>
        <v>493000</v>
      </c>
      <c r="Z819" s="6" t="s">
        <v>0</v>
      </c>
      <c r="AA819" t="s">
        <v>2</v>
      </c>
      <c r="AB819" t="s">
        <v>103</v>
      </c>
      <c r="AC819">
        <f>_xlfn.XLOOKUP(AB819,'[1]GST Codes'!$A:$A,'[1]GST Codes'!$C:$C,0,0)</f>
        <v>18</v>
      </c>
      <c r="AD819">
        <f t="shared" si="25"/>
        <v>581740</v>
      </c>
      <c r="AE819" t="s">
        <v>13</v>
      </c>
      <c r="AF819" t="s">
        <v>0</v>
      </c>
      <c r="AG819" t="s">
        <v>14</v>
      </c>
      <c r="AH819" t="s">
        <v>15</v>
      </c>
      <c r="AI819" t="s">
        <v>16</v>
      </c>
      <c r="AJ819" t="s">
        <v>17</v>
      </c>
      <c r="AK819" t="s">
        <v>18</v>
      </c>
      <c r="AL819" t="s">
        <v>19</v>
      </c>
      <c r="AM819" t="s">
        <v>388</v>
      </c>
      <c r="AN819" t="s">
        <v>0</v>
      </c>
      <c r="AO819" t="s">
        <v>0</v>
      </c>
      <c r="AP819" t="s">
        <v>0</v>
      </c>
      <c r="AQ819" s="5">
        <v>10</v>
      </c>
      <c r="AR819" t="s">
        <v>11</v>
      </c>
      <c r="AS819" t="s">
        <v>0</v>
      </c>
      <c r="AT819" t="s">
        <v>17</v>
      </c>
      <c r="AU819" s="4">
        <v>0</v>
      </c>
      <c r="AV819" s="4">
        <v>0</v>
      </c>
      <c r="AW819" s="4">
        <v>0</v>
      </c>
      <c r="AX819" s="4">
        <v>0</v>
      </c>
      <c r="AY819" s="5">
        <v>0</v>
      </c>
      <c r="AZ819" s="5">
        <v>0</v>
      </c>
      <c r="BA819" s="5">
        <v>0</v>
      </c>
      <c r="BB819" s="2"/>
      <c r="BC819" t="s">
        <v>0</v>
      </c>
      <c r="BD819" s="5">
        <v>1</v>
      </c>
      <c r="BE819" t="s">
        <v>0</v>
      </c>
      <c r="BF819" t="s">
        <v>400</v>
      </c>
      <c r="BG819" t="s">
        <v>17</v>
      </c>
      <c r="BH819" t="s">
        <v>0</v>
      </c>
      <c r="BI819" t="s">
        <v>11</v>
      </c>
      <c r="BJ819" t="s">
        <v>0</v>
      </c>
      <c r="BK819" t="s">
        <v>0</v>
      </c>
      <c r="BL819" s="5">
        <v>0</v>
      </c>
      <c r="BM819" t="s">
        <v>0</v>
      </c>
      <c r="BN819" t="s">
        <v>0</v>
      </c>
      <c r="BO819" t="s">
        <v>0</v>
      </c>
      <c r="BP819" t="s">
        <v>17</v>
      </c>
      <c r="BQ819" t="s">
        <v>0</v>
      </c>
      <c r="BR819" t="s">
        <v>17</v>
      </c>
      <c r="BS819" t="s">
        <v>17</v>
      </c>
      <c r="BT819" t="s">
        <v>0</v>
      </c>
      <c r="BU819" t="s">
        <v>0</v>
      </c>
      <c r="BV819" t="s">
        <v>0</v>
      </c>
      <c r="BW819" t="s">
        <v>0</v>
      </c>
      <c r="BX819" t="s">
        <v>0</v>
      </c>
      <c r="BY819" t="s">
        <v>0</v>
      </c>
      <c r="BZ819" t="s">
        <v>0</v>
      </c>
      <c r="CA819" t="s">
        <v>0</v>
      </c>
      <c r="CB819" t="s">
        <v>0</v>
      </c>
    </row>
    <row r="820" spans="1:80" ht="13.95" customHeight="1" x14ac:dyDescent="0.25">
      <c r="A820" t="s">
        <v>399</v>
      </c>
      <c r="B820" s="2">
        <v>45883</v>
      </c>
      <c r="C820" s="2">
        <v>45883</v>
      </c>
      <c r="D820" s="2">
        <v>45914</v>
      </c>
      <c r="E820" t="s">
        <v>2</v>
      </c>
      <c r="F820" t="s">
        <v>3</v>
      </c>
      <c r="G820" t="s">
        <v>0</v>
      </c>
      <c r="H820" t="s">
        <v>4</v>
      </c>
      <c r="I820" t="s">
        <v>385</v>
      </c>
      <c r="J820" t="s">
        <v>6</v>
      </c>
      <c r="K820" t="s">
        <v>34</v>
      </c>
      <c r="L820" t="s">
        <v>70</v>
      </c>
      <c r="M820" t="s">
        <v>71</v>
      </c>
      <c r="N820" t="s">
        <v>10</v>
      </c>
      <c r="O820" t="s">
        <v>0</v>
      </c>
      <c r="P820" t="s">
        <v>11</v>
      </c>
      <c r="Q820" s="5">
        <v>5</v>
      </c>
      <c r="R820" s="4">
        <v>49300</v>
      </c>
      <c r="S820" s="5">
        <v>1</v>
      </c>
      <c r="T820" s="4">
        <v>246500</v>
      </c>
      <c r="U820" s="5">
        <v>0</v>
      </c>
      <c r="V820" s="4">
        <v>0</v>
      </c>
      <c r="W820" s="5">
        <v>0</v>
      </c>
      <c r="X820" s="4">
        <v>0</v>
      </c>
      <c r="Y820" s="4">
        <f t="shared" si="24"/>
        <v>246500</v>
      </c>
      <c r="Z820" s="6" t="s">
        <v>0</v>
      </c>
      <c r="AA820" t="s">
        <v>2</v>
      </c>
      <c r="AB820" t="s">
        <v>103</v>
      </c>
      <c r="AC820">
        <f>_xlfn.XLOOKUP(AB820,'[1]GST Codes'!$A:$A,'[1]GST Codes'!$C:$C,0,0)</f>
        <v>18</v>
      </c>
      <c r="AD820">
        <f t="shared" si="25"/>
        <v>290870</v>
      </c>
      <c r="AE820" t="s">
        <v>13</v>
      </c>
      <c r="AF820" t="s">
        <v>0</v>
      </c>
      <c r="AG820" t="s">
        <v>14</v>
      </c>
      <c r="AH820" t="s">
        <v>15</v>
      </c>
      <c r="AI820" t="s">
        <v>16</v>
      </c>
      <c r="AJ820" t="s">
        <v>17</v>
      </c>
      <c r="AK820" t="s">
        <v>18</v>
      </c>
      <c r="AL820" t="s">
        <v>19</v>
      </c>
      <c r="AM820" t="s">
        <v>388</v>
      </c>
      <c r="AN820" t="s">
        <v>0</v>
      </c>
      <c r="AO820" t="s">
        <v>0</v>
      </c>
      <c r="AP820" t="s">
        <v>0</v>
      </c>
      <c r="AQ820" s="5">
        <v>5</v>
      </c>
      <c r="AR820" t="s">
        <v>11</v>
      </c>
      <c r="AS820" t="s">
        <v>0</v>
      </c>
      <c r="AT820" t="s">
        <v>17</v>
      </c>
      <c r="AU820" s="4">
        <v>0</v>
      </c>
      <c r="AV820" s="4">
        <v>0</v>
      </c>
      <c r="AW820" s="4">
        <v>0</v>
      </c>
      <c r="AX820" s="4">
        <v>0</v>
      </c>
      <c r="AY820" s="5">
        <v>0</v>
      </c>
      <c r="AZ820" s="5">
        <v>0</v>
      </c>
      <c r="BA820" s="5">
        <v>0</v>
      </c>
      <c r="BB820" s="2"/>
      <c r="BC820" t="s">
        <v>0</v>
      </c>
      <c r="BD820" s="5">
        <v>1</v>
      </c>
      <c r="BE820" t="s">
        <v>0</v>
      </c>
      <c r="BF820" t="s">
        <v>400</v>
      </c>
      <c r="BG820" t="s">
        <v>17</v>
      </c>
      <c r="BH820" t="s">
        <v>0</v>
      </c>
      <c r="BI820" t="s">
        <v>11</v>
      </c>
      <c r="BJ820" t="s">
        <v>0</v>
      </c>
      <c r="BK820" t="s">
        <v>0</v>
      </c>
      <c r="BL820" s="5">
        <v>0</v>
      </c>
      <c r="BM820" t="s">
        <v>0</v>
      </c>
      <c r="BN820" t="s">
        <v>0</v>
      </c>
      <c r="BO820" t="s">
        <v>0</v>
      </c>
      <c r="BP820" t="s">
        <v>17</v>
      </c>
      <c r="BQ820" t="s">
        <v>0</v>
      </c>
      <c r="BR820" t="s">
        <v>17</v>
      </c>
      <c r="BS820" t="s">
        <v>17</v>
      </c>
      <c r="BT820" t="s">
        <v>0</v>
      </c>
      <c r="BU820" t="s">
        <v>0</v>
      </c>
      <c r="BV820" t="s">
        <v>0</v>
      </c>
      <c r="BW820" t="s">
        <v>0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</row>
    <row r="821" spans="1:80" ht="13.95" customHeight="1" x14ac:dyDescent="0.25">
      <c r="A821" t="s">
        <v>399</v>
      </c>
      <c r="B821" s="2">
        <v>45883</v>
      </c>
      <c r="C821" s="2">
        <v>45883</v>
      </c>
      <c r="D821" s="2">
        <v>45914</v>
      </c>
      <c r="E821" t="s">
        <v>2</v>
      </c>
      <c r="F821" t="s">
        <v>3</v>
      </c>
      <c r="G821" t="s">
        <v>0</v>
      </c>
      <c r="H821" t="s">
        <v>4</v>
      </c>
      <c r="I821" t="s">
        <v>385</v>
      </c>
      <c r="J821" t="s">
        <v>6</v>
      </c>
      <c r="K821" t="s">
        <v>38</v>
      </c>
      <c r="L821" t="s">
        <v>70</v>
      </c>
      <c r="M821" t="s">
        <v>71</v>
      </c>
      <c r="N821" t="s">
        <v>10</v>
      </c>
      <c r="O821" t="s">
        <v>0</v>
      </c>
      <c r="P821" t="s">
        <v>11</v>
      </c>
      <c r="Q821" s="5">
        <v>5</v>
      </c>
      <c r="R821" s="4">
        <v>49300</v>
      </c>
      <c r="S821" s="5">
        <v>1</v>
      </c>
      <c r="T821" s="4">
        <v>246500</v>
      </c>
      <c r="U821" s="3">
        <v>1.56</v>
      </c>
      <c r="V821" s="4">
        <v>76908</v>
      </c>
      <c r="W821" s="3">
        <v>1.56</v>
      </c>
      <c r="X821" s="4">
        <v>76908</v>
      </c>
      <c r="Y821" s="4">
        <f t="shared" si="24"/>
        <v>169592</v>
      </c>
      <c r="Z821" s="6" t="s">
        <v>0</v>
      </c>
      <c r="AA821" t="s">
        <v>2</v>
      </c>
      <c r="AB821" t="s">
        <v>103</v>
      </c>
      <c r="AC821">
        <f>_xlfn.XLOOKUP(AB821,'[1]GST Codes'!$A:$A,'[1]GST Codes'!$C:$C,0,0)</f>
        <v>18</v>
      </c>
      <c r="AD821">
        <f t="shared" si="25"/>
        <v>200118.56</v>
      </c>
      <c r="AE821" t="s">
        <v>13</v>
      </c>
      <c r="AF821" t="s">
        <v>0</v>
      </c>
      <c r="AG821" t="s">
        <v>14</v>
      </c>
      <c r="AH821" t="s">
        <v>15</v>
      </c>
      <c r="AI821" t="s">
        <v>16</v>
      </c>
      <c r="AJ821" t="s">
        <v>17</v>
      </c>
      <c r="AK821" t="s">
        <v>18</v>
      </c>
      <c r="AL821" t="s">
        <v>19</v>
      </c>
      <c r="AM821" t="s">
        <v>388</v>
      </c>
      <c r="AN821" t="s">
        <v>0</v>
      </c>
      <c r="AO821" t="s">
        <v>0</v>
      </c>
      <c r="AP821" t="s">
        <v>0</v>
      </c>
      <c r="AQ821" s="5">
        <v>5</v>
      </c>
      <c r="AR821" t="s">
        <v>11</v>
      </c>
      <c r="AS821" t="s">
        <v>0</v>
      </c>
      <c r="AT821" t="s">
        <v>17</v>
      </c>
      <c r="AU821" s="4">
        <v>0</v>
      </c>
      <c r="AV821" s="4">
        <v>0</v>
      </c>
      <c r="AW821" s="4">
        <v>0</v>
      </c>
      <c r="AX821" s="4">
        <v>0</v>
      </c>
      <c r="AY821" s="5">
        <v>0</v>
      </c>
      <c r="AZ821" s="5">
        <v>0</v>
      </c>
      <c r="BA821" s="5">
        <v>0</v>
      </c>
      <c r="BB821" s="2"/>
      <c r="BC821" t="s">
        <v>0</v>
      </c>
      <c r="BD821" s="5">
        <v>1</v>
      </c>
      <c r="BE821" t="s">
        <v>0</v>
      </c>
      <c r="BF821" t="s">
        <v>400</v>
      </c>
      <c r="BG821" t="s">
        <v>17</v>
      </c>
      <c r="BH821" t="s">
        <v>0</v>
      </c>
      <c r="BI821" t="s">
        <v>11</v>
      </c>
      <c r="BJ821" t="s">
        <v>0</v>
      </c>
      <c r="BK821" t="s">
        <v>0</v>
      </c>
      <c r="BL821" s="5">
        <v>0</v>
      </c>
      <c r="BM821" t="s">
        <v>0</v>
      </c>
      <c r="BN821" t="s">
        <v>0</v>
      </c>
      <c r="BO821" t="s">
        <v>0</v>
      </c>
      <c r="BP821" t="s">
        <v>17</v>
      </c>
      <c r="BQ821" t="s">
        <v>0</v>
      </c>
      <c r="BR821" t="s">
        <v>17</v>
      </c>
      <c r="BS821" t="s">
        <v>17</v>
      </c>
      <c r="BT821" t="s">
        <v>0</v>
      </c>
      <c r="BU821" t="s">
        <v>0</v>
      </c>
      <c r="BV821" t="s">
        <v>0</v>
      </c>
      <c r="BW821" t="s">
        <v>0</v>
      </c>
      <c r="BX821" t="s">
        <v>0</v>
      </c>
      <c r="BY821" t="s">
        <v>0</v>
      </c>
      <c r="BZ821" t="s">
        <v>0</v>
      </c>
      <c r="CA821" t="s">
        <v>0</v>
      </c>
      <c r="CB821" t="s">
        <v>0</v>
      </c>
    </row>
    <row r="822" spans="1:80" ht="13.95" customHeight="1" x14ac:dyDescent="0.25">
      <c r="A822" t="s">
        <v>399</v>
      </c>
      <c r="B822" s="2">
        <v>45883</v>
      </c>
      <c r="C822" s="2">
        <v>45883</v>
      </c>
      <c r="D822" s="2">
        <v>45914</v>
      </c>
      <c r="E822" t="s">
        <v>2</v>
      </c>
      <c r="F822" t="s">
        <v>3</v>
      </c>
      <c r="G822" t="s">
        <v>0</v>
      </c>
      <c r="H822" t="s">
        <v>4</v>
      </c>
      <c r="I822" t="s">
        <v>385</v>
      </c>
      <c r="J822" t="s">
        <v>6</v>
      </c>
      <c r="K822" t="s">
        <v>42</v>
      </c>
      <c r="L822" t="s">
        <v>35</v>
      </c>
      <c r="M822" t="s">
        <v>36</v>
      </c>
      <c r="N822" t="s">
        <v>10</v>
      </c>
      <c r="O822" t="s">
        <v>0</v>
      </c>
      <c r="P822" t="s">
        <v>11</v>
      </c>
      <c r="Q822" s="5">
        <v>55</v>
      </c>
      <c r="R822" s="4">
        <v>47800</v>
      </c>
      <c r="S822" s="5">
        <v>1</v>
      </c>
      <c r="T822" s="4">
        <v>2629000</v>
      </c>
      <c r="U822" s="5">
        <v>0</v>
      </c>
      <c r="V822" s="4">
        <v>0</v>
      </c>
      <c r="W822" s="5">
        <v>0</v>
      </c>
      <c r="X822" s="4">
        <v>0</v>
      </c>
      <c r="Y822" s="4">
        <f t="shared" si="24"/>
        <v>2629000</v>
      </c>
      <c r="Z822" s="6" t="s">
        <v>0</v>
      </c>
      <c r="AA822" t="s">
        <v>2</v>
      </c>
      <c r="AB822" t="s">
        <v>103</v>
      </c>
      <c r="AC822">
        <f>_xlfn.XLOOKUP(AB822,'[1]GST Codes'!$A:$A,'[1]GST Codes'!$C:$C,0,0)</f>
        <v>18</v>
      </c>
      <c r="AD822">
        <f t="shared" si="25"/>
        <v>3102220</v>
      </c>
      <c r="AE822" t="s">
        <v>13</v>
      </c>
      <c r="AF822" t="s">
        <v>0</v>
      </c>
      <c r="AG822" t="s">
        <v>14</v>
      </c>
      <c r="AH822" t="s">
        <v>15</v>
      </c>
      <c r="AI822" t="s">
        <v>16</v>
      </c>
      <c r="AJ822" t="s">
        <v>17</v>
      </c>
      <c r="AK822" t="s">
        <v>18</v>
      </c>
      <c r="AL822" t="s">
        <v>19</v>
      </c>
      <c r="AM822" t="s">
        <v>388</v>
      </c>
      <c r="AN822" t="s">
        <v>0</v>
      </c>
      <c r="AO822" t="s">
        <v>0</v>
      </c>
      <c r="AP822" t="s">
        <v>0</v>
      </c>
      <c r="AQ822" s="5">
        <v>55</v>
      </c>
      <c r="AR822" t="s">
        <v>11</v>
      </c>
      <c r="AS822" t="s">
        <v>0</v>
      </c>
      <c r="AT822" t="s">
        <v>17</v>
      </c>
      <c r="AU822" s="4">
        <v>0</v>
      </c>
      <c r="AV822" s="4">
        <v>0</v>
      </c>
      <c r="AW822" s="4">
        <v>0</v>
      </c>
      <c r="AX822" s="4">
        <v>0</v>
      </c>
      <c r="AY822" s="5">
        <v>0</v>
      </c>
      <c r="AZ822" s="5">
        <v>0</v>
      </c>
      <c r="BA822" s="5">
        <v>0</v>
      </c>
      <c r="BB822" s="2"/>
      <c r="BC822" t="s">
        <v>0</v>
      </c>
      <c r="BD822" s="5">
        <v>1</v>
      </c>
      <c r="BE822" t="s">
        <v>0</v>
      </c>
      <c r="BF822" t="s">
        <v>401</v>
      </c>
      <c r="BG822" t="s">
        <v>17</v>
      </c>
      <c r="BH822" t="s">
        <v>0</v>
      </c>
      <c r="BI822" t="s">
        <v>11</v>
      </c>
      <c r="BJ822" t="s">
        <v>0</v>
      </c>
      <c r="BK822" t="s">
        <v>0</v>
      </c>
      <c r="BL822" s="5">
        <v>0</v>
      </c>
      <c r="BM822" t="s">
        <v>0</v>
      </c>
      <c r="BN822" t="s">
        <v>0</v>
      </c>
      <c r="BO822" t="s">
        <v>0</v>
      </c>
      <c r="BP822" t="s">
        <v>17</v>
      </c>
      <c r="BQ822" t="s">
        <v>0</v>
      </c>
      <c r="BR822" t="s">
        <v>17</v>
      </c>
      <c r="BS822" t="s">
        <v>17</v>
      </c>
      <c r="BT822" t="s">
        <v>0</v>
      </c>
      <c r="BU822" t="s">
        <v>0</v>
      </c>
      <c r="BV822" t="s">
        <v>0</v>
      </c>
      <c r="BW822" t="s">
        <v>0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</row>
    <row r="823" spans="1:80" ht="13.95" customHeight="1" x14ac:dyDescent="0.25">
      <c r="A823" t="s">
        <v>399</v>
      </c>
      <c r="B823" s="2">
        <v>45883</v>
      </c>
      <c r="C823" s="2">
        <v>45883</v>
      </c>
      <c r="D823" s="2">
        <v>45914</v>
      </c>
      <c r="E823" t="s">
        <v>2</v>
      </c>
      <c r="F823" t="s">
        <v>3</v>
      </c>
      <c r="G823" t="s">
        <v>0</v>
      </c>
      <c r="H823" t="s">
        <v>4</v>
      </c>
      <c r="I823" t="s">
        <v>385</v>
      </c>
      <c r="J823" t="s">
        <v>6</v>
      </c>
      <c r="K823" t="s">
        <v>86</v>
      </c>
      <c r="L823" t="s">
        <v>35</v>
      </c>
      <c r="M823" t="s">
        <v>36</v>
      </c>
      <c r="N823" t="s">
        <v>10</v>
      </c>
      <c r="O823" t="s">
        <v>0</v>
      </c>
      <c r="P823" t="s">
        <v>11</v>
      </c>
      <c r="Q823" s="5">
        <v>55</v>
      </c>
      <c r="R823" s="4">
        <v>47800</v>
      </c>
      <c r="S823" s="5">
        <v>1</v>
      </c>
      <c r="T823" s="4">
        <v>2629000</v>
      </c>
      <c r="U823" s="5">
        <v>0</v>
      </c>
      <c r="V823" s="4">
        <v>0</v>
      </c>
      <c r="W823" s="5">
        <v>0</v>
      </c>
      <c r="X823" s="4">
        <v>0</v>
      </c>
      <c r="Y823" s="4">
        <f t="shared" si="24"/>
        <v>2629000</v>
      </c>
      <c r="Z823" s="6" t="s">
        <v>0</v>
      </c>
      <c r="AA823" t="s">
        <v>2</v>
      </c>
      <c r="AB823" t="s">
        <v>103</v>
      </c>
      <c r="AC823">
        <f>_xlfn.XLOOKUP(AB823,'[1]GST Codes'!$A:$A,'[1]GST Codes'!$C:$C,0,0)</f>
        <v>18</v>
      </c>
      <c r="AD823">
        <f t="shared" si="25"/>
        <v>3102220</v>
      </c>
      <c r="AE823" t="s">
        <v>13</v>
      </c>
      <c r="AF823" t="s">
        <v>0</v>
      </c>
      <c r="AG823" t="s">
        <v>14</v>
      </c>
      <c r="AH823" t="s">
        <v>15</v>
      </c>
      <c r="AI823" t="s">
        <v>16</v>
      </c>
      <c r="AJ823" t="s">
        <v>17</v>
      </c>
      <c r="AK823" t="s">
        <v>18</v>
      </c>
      <c r="AL823" t="s">
        <v>19</v>
      </c>
      <c r="AM823" t="s">
        <v>388</v>
      </c>
      <c r="AN823" t="s">
        <v>0</v>
      </c>
      <c r="AO823" t="s">
        <v>0</v>
      </c>
      <c r="AP823" t="s">
        <v>0</v>
      </c>
      <c r="AQ823" s="5">
        <v>55</v>
      </c>
      <c r="AR823" t="s">
        <v>11</v>
      </c>
      <c r="AS823" t="s">
        <v>0</v>
      </c>
      <c r="AT823" t="s">
        <v>17</v>
      </c>
      <c r="AU823" s="4">
        <v>0</v>
      </c>
      <c r="AV823" s="4">
        <v>0</v>
      </c>
      <c r="AW823" s="4">
        <v>0</v>
      </c>
      <c r="AX823" s="4">
        <v>0</v>
      </c>
      <c r="AY823" s="5">
        <v>0</v>
      </c>
      <c r="AZ823" s="5">
        <v>0</v>
      </c>
      <c r="BA823" s="5">
        <v>0</v>
      </c>
      <c r="BB823" s="2"/>
      <c r="BC823" t="s">
        <v>0</v>
      </c>
      <c r="BD823" s="5">
        <v>1</v>
      </c>
      <c r="BE823" t="s">
        <v>0</v>
      </c>
      <c r="BF823" t="s">
        <v>401</v>
      </c>
      <c r="BG823" t="s">
        <v>17</v>
      </c>
      <c r="BH823" t="s">
        <v>0</v>
      </c>
      <c r="BI823" t="s">
        <v>11</v>
      </c>
      <c r="BJ823" t="s">
        <v>0</v>
      </c>
      <c r="BK823" t="s">
        <v>0</v>
      </c>
      <c r="BL823" s="5">
        <v>0</v>
      </c>
      <c r="BM823" t="s">
        <v>0</v>
      </c>
      <c r="BN823" t="s">
        <v>0</v>
      </c>
      <c r="BO823" t="s">
        <v>0</v>
      </c>
      <c r="BP823" t="s">
        <v>17</v>
      </c>
      <c r="BQ823" t="s">
        <v>0</v>
      </c>
      <c r="BR823" t="s">
        <v>17</v>
      </c>
      <c r="BS823" t="s">
        <v>17</v>
      </c>
      <c r="BT823" t="s">
        <v>0</v>
      </c>
      <c r="BU823" t="s">
        <v>0</v>
      </c>
      <c r="BV823" t="s">
        <v>0</v>
      </c>
      <c r="BW823" t="s">
        <v>0</v>
      </c>
      <c r="BX823" t="s">
        <v>0</v>
      </c>
      <c r="BY823" t="s">
        <v>0</v>
      </c>
      <c r="BZ823" t="s">
        <v>0</v>
      </c>
      <c r="CA823" t="s">
        <v>0</v>
      </c>
      <c r="CB823" t="s">
        <v>0</v>
      </c>
    </row>
    <row r="824" spans="1:80" ht="13.95" customHeight="1" x14ac:dyDescent="0.25">
      <c r="A824" t="s">
        <v>399</v>
      </c>
      <c r="B824" s="2">
        <v>45883</v>
      </c>
      <c r="C824" s="2">
        <v>45883</v>
      </c>
      <c r="D824" s="2">
        <v>45914</v>
      </c>
      <c r="E824" t="s">
        <v>2</v>
      </c>
      <c r="F824" t="s">
        <v>3</v>
      </c>
      <c r="G824" t="s">
        <v>0</v>
      </c>
      <c r="H824" t="s">
        <v>4</v>
      </c>
      <c r="I824" t="s">
        <v>385</v>
      </c>
      <c r="J824" t="s">
        <v>6</v>
      </c>
      <c r="K824" t="s">
        <v>87</v>
      </c>
      <c r="L824" t="s">
        <v>35</v>
      </c>
      <c r="M824" t="s">
        <v>36</v>
      </c>
      <c r="N824" t="s">
        <v>10</v>
      </c>
      <c r="O824" t="s">
        <v>0</v>
      </c>
      <c r="P824" t="s">
        <v>11</v>
      </c>
      <c r="Q824" s="5">
        <v>55</v>
      </c>
      <c r="R824" s="4">
        <v>47800</v>
      </c>
      <c r="S824" s="5">
        <v>1</v>
      </c>
      <c r="T824" s="4">
        <v>2629000</v>
      </c>
      <c r="U824" s="5">
        <v>0</v>
      </c>
      <c r="V824" s="4">
        <v>0</v>
      </c>
      <c r="W824" s="5">
        <v>0</v>
      </c>
      <c r="X824" s="4">
        <v>0</v>
      </c>
      <c r="Y824" s="4">
        <f t="shared" si="24"/>
        <v>2629000</v>
      </c>
      <c r="Z824" s="6" t="s">
        <v>0</v>
      </c>
      <c r="AA824" t="s">
        <v>2</v>
      </c>
      <c r="AB824" t="s">
        <v>103</v>
      </c>
      <c r="AC824">
        <f>_xlfn.XLOOKUP(AB824,'[1]GST Codes'!$A:$A,'[1]GST Codes'!$C:$C,0,0)</f>
        <v>18</v>
      </c>
      <c r="AD824">
        <f t="shared" si="25"/>
        <v>3102220</v>
      </c>
      <c r="AE824" t="s">
        <v>13</v>
      </c>
      <c r="AF824" t="s">
        <v>0</v>
      </c>
      <c r="AG824" t="s">
        <v>14</v>
      </c>
      <c r="AH824" t="s">
        <v>15</v>
      </c>
      <c r="AI824" t="s">
        <v>16</v>
      </c>
      <c r="AJ824" t="s">
        <v>17</v>
      </c>
      <c r="AK824" t="s">
        <v>18</v>
      </c>
      <c r="AL824" t="s">
        <v>19</v>
      </c>
      <c r="AM824" t="s">
        <v>388</v>
      </c>
      <c r="AN824" t="s">
        <v>0</v>
      </c>
      <c r="AO824" t="s">
        <v>0</v>
      </c>
      <c r="AP824" t="s">
        <v>0</v>
      </c>
      <c r="AQ824" s="5">
        <v>55</v>
      </c>
      <c r="AR824" t="s">
        <v>11</v>
      </c>
      <c r="AS824" t="s">
        <v>0</v>
      </c>
      <c r="AT824" t="s">
        <v>17</v>
      </c>
      <c r="AU824" s="4">
        <v>0</v>
      </c>
      <c r="AV824" s="4">
        <v>0</v>
      </c>
      <c r="AW824" s="4">
        <v>0</v>
      </c>
      <c r="AX824" s="4">
        <v>0</v>
      </c>
      <c r="AY824" s="5">
        <v>0</v>
      </c>
      <c r="AZ824" s="5">
        <v>0</v>
      </c>
      <c r="BA824" s="5">
        <v>0</v>
      </c>
      <c r="BB824" s="2"/>
      <c r="BC824" t="s">
        <v>0</v>
      </c>
      <c r="BD824" s="5">
        <v>1</v>
      </c>
      <c r="BE824" t="s">
        <v>0</v>
      </c>
      <c r="BF824" t="s">
        <v>401</v>
      </c>
      <c r="BG824" t="s">
        <v>17</v>
      </c>
      <c r="BH824" t="s">
        <v>0</v>
      </c>
      <c r="BI824" t="s">
        <v>11</v>
      </c>
      <c r="BJ824" t="s">
        <v>0</v>
      </c>
      <c r="BK824" t="s">
        <v>0</v>
      </c>
      <c r="BL824" s="5">
        <v>0</v>
      </c>
      <c r="BM824" t="s">
        <v>0</v>
      </c>
      <c r="BN824" t="s">
        <v>0</v>
      </c>
      <c r="BO824" t="s">
        <v>0</v>
      </c>
      <c r="BP824" t="s">
        <v>17</v>
      </c>
      <c r="BQ824" t="s">
        <v>0</v>
      </c>
      <c r="BR824" t="s">
        <v>17</v>
      </c>
      <c r="BS824" t="s">
        <v>17</v>
      </c>
      <c r="BT824" t="s">
        <v>0</v>
      </c>
      <c r="BU824" t="s">
        <v>0</v>
      </c>
      <c r="BV824" t="s">
        <v>0</v>
      </c>
      <c r="BW824" t="s">
        <v>0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</row>
    <row r="825" spans="1:80" ht="13.95" customHeight="1" x14ac:dyDescent="0.25">
      <c r="A825" t="s">
        <v>399</v>
      </c>
      <c r="B825" s="2">
        <v>45883</v>
      </c>
      <c r="C825" s="2">
        <v>45883</v>
      </c>
      <c r="D825" s="2">
        <v>45914</v>
      </c>
      <c r="E825" t="s">
        <v>2</v>
      </c>
      <c r="F825" t="s">
        <v>3</v>
      </c>
      <c r="G825" t="s">
        <v>0</v>
      </c>
      <c r="H825" t="s">
        <v>4</v>
      </c>
      <c r="I825" t="s">
        <v>385</v>
      </c>
      <c r="J825" t="s">
        <v>6</v>
      </c>
      <c r="K825" t="s">
        <v>88</v>
      </c>
      <c r="L825" t="s">
        <v>35</v>
      </c>
      <c r="M825" t="s">
        <v>36</v>
      </c>
      <c r="N825" t="s">
        <v>10</v>
      </c>
      <c r="O825" t="s">
        <v>0</v>
      </c>
      <c r="P825" t="s">
        <v>11</v>
      </c>
      <c r="Q825" s="5">
        <v>55</v>
      </c>
      <c r="R825" s="4">
        <v>47800</v>
      </c>
      <c r="S825" s="5">
        <v>1</v>
      </c>
      <c r="T825" s="4">
        <v>2629000</v>
      </c>
      <c r="U825" s="5">
        <v>0</v>
      </c>
      <c r="V825" s="4">
        <v>0</v>
      </c>
      <c r="W825" s="5">
        <v>0</v>
      </c>
      <c r="X825" s="4">
        <v>0</v>
      </c>
      <c r="Y825" s="4">
        <f t="shared" si="24"/>
        <v>2629000</v>
      </c>
      <c r="Z825" s="6" t="s">
        <v>0</v>
      </c>
      <c r="AA825" t="s">
        <v>2</v>
      </c>
      <c r="AB825" t="s">
        <v>103</v>
      </c>
      <c r="AC825">
        <f>_xlfn.XLOOKUP(AB825,'[1]GST Codes'!$A:$A,'[1]GST Codes'!$C:$C,0,0)</f>
        <v>18</v>
      </c>
      <c r="AD825">
        <f t="shared" si="25"/>
        <v>3102220</v>
      </c>
      <c r="AE825" t="s">
        <v>13</v>
      </c>
      <c r="AF825" t="s">
        <v>0</v>
      </c>
      <c r="AG825" t="s">
        <v>14</v>
      </c>
      <c r="AH825" t="s">
        <v>15</v>
      </c>
      <c r="AI825" t="s">
        <v>16</v>
      </c>
      <c r="AJ825" t="s">
        <v>17</v>
      </c>
      <c r="AK825" t="s">
        <v>18</v>
      </c>
      <c r="AL825" t="s">
        <v>19</v>
      </c>
      <c r="AM825" t="s">
        <v>388</v>
      </c>
      <c r="AN825" t="s">
        <v>0</v>
      </c>
      <c r="AO825" t="s">
        <v>0</v>
      </c>
      <c r="AP825" t="s">
        <v>0</v>
      </c>
      <c r="AQ825" s="5">
        <v>55</v>
      </c>
      <c r="AR825" t="s">
        <v>11</v>
      </c>
      <c r="AS825" t="s">
        <v>0</v>
      </c>
      <c r="AT825" t="s">
        <v>17</v>
      </c>
      <c r="AU825" s="4">
        <v>0</v>
      </c>
      <c r="AV825" s="4">
        <v>0</v>
      </c>
      <c r="AW825" s="4">
        <v>0</v>
      </c>
      <c r="AX825" s="4">
        <v>0</v>
      </c>
      <c r="AY825" s="5">
        <v>0</v>
      </c>
      <c r="AZ825" s="5">
        <v>0</v>
      </c>
      <c r="BA825" s="5">
        <v>0</v>
      </c>
      <c r="BB825" s="2"/>
      <c r="BC825" t="s">
        <v>0</v>
      </c>
      <c r="BD825" s="5">
        <v>1</v>
      </c>
      <c r="BE825" t="s">
        <v>0</v>
      </c>
      <c r="BF825" t="s">
        <v>401</v>
      </c>
      <c r="BG825" t="s">
        <v>17</v>
      </c>
      <c r="BH825" t="s">
        <v>0</v>
      </c>
      <c r="BI825" t="s">
        <v>11</v>
      </c>
      <c r="BJ825" t="s">
        <v>0</v>
      </c>
      <c r="BK825" t="s">
        <v>0</v>
      </c>
      <c r="BL825" s="5">
        <v>0</v>
      </c>
      <c r="BM825" t="s">
        <v>0</v>
      </c>
      <c r="BN825" t="s">
        <v>0</v>
      </c>
      <c r="BO825" t="s">
        <v>0</v>
      </c>
      <c r="BP825" t="s">
        <v>17</v>
      </c>
      <c r="BQ825" t="s">
        <v>0</v>
      </c>
      <c r="BR825" t="s">
        <v>17</v>
      </c>
      <c r="BS825" t="s">
        <v>17</v>
      </c>
      <c r="BT825" t="s">
        <v>0</v>
      </c>
      <c r="BU825" t="s">
        <v>0</v>
      </c>
      <c r="BV825" t="s">
        <v>0</v>
      </c>
      <c r="BW825" t="s">
        <v>0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</row>
    <row r="826" spans="1:80" ht="13.95" customHeight="1" x14ac:dyDescent="0.25">
      <c r="A826" t="s">
        <v>399</v>
      </c>
      <c r="B826" s="2">
        <v>45883</v>
      </c>
      <c r="C826" s="2">
        <v>45883</v>
      </c>
      <c r="D826" s="2">
        <v>45914</v>
      </c>
      <c r="E826" t="s">
        <v>2</v>
      </c>
      <c r="F826" t="s">
        <v>3</v>
      </c>
      <c r="G826" t="s">
        <v>0</v>
      </c>
      <c r="H826" t="s">
        <v>4</v>
      </c>
      <c r="I826" t="s">
        <v>385</v>
      </c>
      <c r="J826" t="s">
        <v>6</v>
      </c>
      <c r="K826" t="s">
        <v>89</v>
      </c>
      <c r="L826" t="s">
        <v>35</v>
      </c>
      <c r="M826" t="s">
        <v>36</v>
      </c>
      <c r="N826" t="s">
        <v>10</v>
      </c>
      <c r="O826" t="s">
        <v>0</v>
      </c>
      <c r="P826" t="s">
        <v>11</v>
      </c>
      <c r="Q826" s="5">
        <v>50</v>
      </c>
      <c r="R826" s="4">
        <v>47800</v>
      </c>
      <c r="S826" s="5">
        <v>1</v>
      </c>
      <c r="T826" s="4">
        <v>2390000</v>
      </c>
      <c r="U826" s="5">
        <v>0</v>
      </c>
      <c r="V826" s="4">
        <v>0</v>
      </c>
      <c r="W826" s="5">
        <v>0</v>
      </c>
      <c r="X826" s="4">
        <v>0</v>
      </c>
      <c r="Y826" s="4">
        <f t="shared" si="24"/>
        <v>2390000</v>
      </c>
      <c r="Z826" s="6" t="s">
        <v>0</v>
      </c>
      <c r="AA826" t="s">
        <v>2</v>
      </c>
      <c r="AB826" t="s">
        <v>103</v>
      </c>
      <c r="AC826">
        <f>_xlfn.XLOOKUP(AB826,'[1]GST Codes'!$A:$A,'[1]GST Codes'!$C:$C,0,0)</f>
        <v>18</v>
      </c>
      <c r="AD826">
        <f t="shared" si="25"/>
        <v>2820200</v>
      </c>
      <c r="AE826" t="s">
        <v>13</v>
      </c>
      <c r="AF826" t="s">
        <v>0</v>
      </c>
      <c r="AG826" t="s">
        <v>14</v>
      </c>
      <c r="AH826" t="s">
        <v>15</v>
      </c>
      <c r="AI826" t="s">
        <v>16</v>
      </c>
      <c r="AJ826" t="s">
        <v>17</v>
      </c>
      <c r="AK826" t="s">
        <v>18</v>
      </c>
      <c r="AL826" t="s">
        <v>19</v>
      </c>
      <c r="AM826" t="s">
        <v>388</v>
      </c>
      <c r="AN826" t="s">
        <v>0</v>
      </c>
      <c r="AO826" t="s">
        <v>0</v>
      </c>
      <c r="AP826" t="s">
        <v>0</v>
      </c>
      <c r="AQ826" s="5">
        <v>50</v>
      </c>
      <c r="AR826" t="s">
        <v>11</v>
      </c>
      <c r="AS826" t="s">
        <v>0</v>
      </c>
      <c r="AT826" t="s">
        <v>17</v>
      </c>
      <c r="AU826" s="4">
        <v>0</v>
      </c>
      <c r="AV826" s="4">
        <v>0</v>
      </c>
      <c r="AW826" s="4">
        <v>0</v>
      </c>
      <c r="AX826" s="4">
        <v>0</v>
      </c>
      <c r="AY826" s="5">
        <v>0</v>
      </c>
      <c r="AZ826" s="5">
        <v>0</v>
      </c>
      <c r="BA826" s="5">
        <v>0</v>
      </c>
      <c r="BB826" s="2"/>
      <c r="BC826" t="s">
        <v>0</v>
      </c>
      <c r="BD826" s="5">
        <v>1</v>
      </c>
      <c r="BE826" t="s">
        <v>0</v>
      </c>
      <c r="BF826" t="s">
        <v>401</v>
      </c>
      <c r="BG826" t="s">
        <v>17</v>
      </c>
      <c r="BH826" t="s">
        <v>0</v>
      </c>
      <c r="BI826" t="s">
        <v>11</v>
      </c>
      <c r="BJ826" t="s">
        <v>0</v>
      </c>
      <c r="BK826" t="s">
        <v>0</v>
      </c>
      <c r="BL826" s="5">
        <v>0</v>
      </c>
      <c r="BM826" t="s">
        <v>0</v>
      </c>
      <c r="BN826" t="s">
        <v>0</v>
      </c>
      <c r="BO826" t="s">
        <v>0</v>
      </c>
      <c r="BP826" t="s">
        <v>17</v>
      </c>
      <c r="BQ826" t="s">
        <v>0</v>
      </c>
      <c r="BR826" t="s">
        <v>17</v>
      </c>
      <c r="BS826" t="s">
        <v>17</v>
      </c>
      <c r="BT826" t="s">
        <v>0</v>
      </c>
      <c r="BU826" t="s">
        <v>0</v>
      </c>
      <c r="BV826" t="s">
        <v>0</v>
      </c>
      <c r="BW826" t="s">
        <v>0</v>
      </c>
      <c r="BX826" t="s">
        <v>0</v>
      </c>
      <c r="BY826" t="s">
        <v>0</v>
      </c>
      <c r="BZ826" t="s">
        <v>0</v>
      </c>
      <c r="CA826" t="s">
        <v>0</v>
      </c>
      <c r="CB826" t="s">
        <v>0</v>
      </c>
    </row>
    <row r="827" spans="1:80" ht="13.95" customHeight="1" x14ac:dyDescent="0.25">
      <c r="A827" t="s">
        <v>399</v>
      </c>
      <c r="B827" s="2">
        <v>45883</v>
      </c>
      <c r="C827" s="2">
        <v>45883</v>
      </c>
      <c r="D827" s="2">
        <v>45914</v>
      </c>
      <c r="E827" t="s">
        <v>2</v>
      </c>
      <c r="F827" t="s">
        <v>3</v>
      </c>
      <c r="G827" t="s">
        <v>0</v>
      </c>
      <c r="H827" t="s">
        <v>4</v>
      </c>
      <c r="I827" t="s">
        <v>385</v>
      </c>
      <c r="J827" t="s">
        <v>6</v>
      </c>
      <c r="K827" t="s">
        <v>90</v>
      </c>
      <c r="L827" t="s">
        <v>35</v>
      </c>
      <c r="M827" t="s">
        <v>36</v>
      </c>
      <c r="N827" t="s">
        <v>10</v>
      </c>
      <c r="O827" t="s">
        <v>0</v>
      </c>
      <c r="P827" t="s">
        <v>11</v>
      </c>
      <c r="Q827" s="5">
        <v>50</v>
      </c>
      <c r="R827" s="4">
        <v>47800</v>
      </c>
      <c r="S827" s="5">
        <v>1</v>
      </c>
      <c r="T827" s="4">
        <v>2390000</v>
      </c>
      <c r="U827" s="5">
        <v>0</v>
      </c>
      <c r="V827" s="4">
        <v>0</v>
      </c>
      <c r="W827" s="5">
        <v>0</v>
      </c>
      <c r="X827" s="4">
        <v>0</v>
      </c>
      <c r="Y827" s="4">
        <f t="shared" si="24"/>
        <v>2390000</v>
      </c>
      <c r="Z827" s="6" t="s">
        <v>0</v>
      </c>
      <c r="AA827" t="s">
        <v>2</v>
      </c>
      <c r="AB827" t="s">
        <v>103</v>
      </c>
      <c r="AC827">
        <f>_xlfn.XLOOKUP(AB827,'[1]GST Codes'!$A:$A,'[1]GST Codes'!$C:$C,0,0)</f>
        <v>18</v>
      </c>
      <c r="AD827">
        <f t="shared" si="25"/>
        <v>2820200</v>
      </c>
      <c r="AE827" t="s">
        <v>13</v>
      </c>
      <c r="AF827" t="s">
        <v>0</v>
      </c>
      <c r="AG827" t="s">
        <v>14</v>
      </c>
      <c r="AH827" t="s">
        <v>15</v>
      </c>
      <c r="AI827" t="s">
        <v>16</v>
      </c>
      <c r="AJ827" t="s">
        <v>17</v>
      </c>
      <c r="AK827" t="s">
        <v>18</v>
      </c>
      <c r="AL827" t="s">
        <v>19</v>
      </c>
      <c r="AM827" t="s">
        <v>388</v>
      </c>
      <c r="AN827" t="s">
        <v>0</v>
      </c>
      <c r="AO827" t="s">
        <v>0</v>
      </c>
      <c r="AP827" t="s">
        <v>0</v>
      </c>
      <c r="AQ827" s="5">
        <v>50</v>
      </c>
      <c r="AR827" t="s">
        <v>11</v>
      </c>
      <c r="AS827" t="s">
        <v>0</v>
      </c>
      <c r="AT827" t="s">
        <v>17</v>
      </c>
      <c r="AU827" s="4">
        <v>0</v>
      </c>
      <c r="AV827" s="4">
        <v>0</v>
      </c>
      <c r="AW827" s="4">
        <v>0</v>
      </c>
      <c r="AX827" s="4">
        <v>0</v>
      </c>
      <c r="AY827" s="5">
        <v>0</v>
      </c>
      <c r="AZ827" s="5">
        <v>0</v>
      </c>
      <c r="BA827" s="5">
        <v>0</v>
      </c>
      <c r="BB827" s="2"/>
      <c r="BC827" t="s">
        <v>0</v>
      </c>
      <c r="BD827" s="5">
        <v>1</v>
      </c>
      <c r="BE827" t="s">
        <v>0</v>
      </c>
      <c r="BF827" t="s">
        <v>401</v>
      </c>
      <c r="BG827" t="s">
        <v>17</v>
      </c>
      <c r="BH827" t="s">
        <v>0</v>
      </c>
      <c r="BI827" t="s">
        <v>11</v>
      </c>
      <c r="BJ827" t="s">
        <v>0</v>
      </c>
      <c r="BK827" t="s">
        <v>0</v>
      </c>
      <c r="BL827" s="5">
        <v>0</v>
      </c>
      <c r="BM827" t="s">
        <v>0</v>
      </c>
      <c r="BN827" t="s">
        <v>0</v>
      </c>
      <c r="BO827" t="s">
        <v>0</v>
      </c>
      <c r="BP827" t="s">
        <v>17</v>
      </c>
      <c r="BQ827" t="s">
        <v>0</v>
      </c>
      <c r="BR827" t="s">
        <v>17</v>
      </c>
      <c r="BS827" t="s">
        <v>17</v>
      </c>
      <c r="BT827" t="s">
        <v>0</v>
      </c>
      <c r="BU827" t="s">
        <v>0</v>
      </c>
      <c r="BV827" t="s">
        <v>0</v>
      </c>
      <c r="BW827" t="s">
        <v>0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</row>
    <row r="828" spans="1:80" x14ac:dyDescent="0.25">
      <c r="A828" t="s">
        <v>402</v>
      </c>
      <c r="B828" s="2">
        <v>45888</v>
      </c>
      <c r="C828" s="2">
        <v>45888</v>
      </c>
      <c r="D828" s="2">
        <v>45919</v>
      </c>
      <c r="E828" t="s">
        <v>2</v>
      </c>
      <c r="F828" t="s">
        <v>3</v>
      </c>
      <c r="G828" t="s">
        <v>0</v>
      </c>
      <c r="H828" t="s">
        <v>4</v>
      </c>
      <c r="I828" t="s">
        <v>385</v>
      </c>
      <c r="J828" t="s">
        <v>6</v>
      </c>
      <c r="K828" t="s">
        <v>7</v>
      </c>
      <c r="L828" t="s">
        <v>390</v>
      </c>
      <c r="M828" t="s">
        <v>391</v>
      </c>
      <c r="N828" t="s">
        <v>10</v>
      </c>
      <c r="O828" t="s">
        <v>0</v>
      </c>
      <c r="P828" t="s">
        <v>11</v>
      </c>
      <c r="Q828" s="5">
        <v>35</v>
      </c>
      <c r="R828" s="4">
        <v>47200</v>
      </c>
      <c r="S828" s="5">
        <v>1</v>
      </c>
      <c r="T828" s="4">
        <v>1652000</v>
      </c>
      <c r="U828" s="5">
        <v>35</v>
      </c>
      <c r="V828" s="4">
        <v>1652000</v>
      </c>
      <c r="W828" s="5">
        <v>35</v>
      </c>
      <c r="X828" s="4">
        <v>1652000</v>
      </c>
      <c r="Y828" s="4">
        <f t="shared" si="24"/>
        <v>0</v>
      </c>
      <c r="Z828" t="s">
        <v>0</v>
      </c>
      <c r="AA828" t="s">
        <v>2</v>
      </c>
      <c r="AB828" t="s">
        <v>103</v>
      </c>
      <c r="AC828">
        <f>_xlfn.XLOOKUP(AB828,'[1]GST Codes'!$A:$A,'[1]GST Codes'!$C:$C,0,0)</f>
        <v>18</v>
      </c>
      <c r="AD828">
        <f t="shared" si="25"/>
        <v>0</v>
      </c>
      <c r="AE828" t="s">
        <v>13</v>
      </c>
      <c r="AF828" t="s">
        <v>0</v>
      </c>
      <c r="AG828" t="s">
        <v>14</v>
      </c>
      <c r="AH828" t="s">
        <v>15</v>
      </c>
      <c r="AI828" t="s">
        <v>16</v>
      </c>
      <c r="AJ828" t="s">
        <v>17</v>
      </c>
      <c r="AK828" t="s">
        <v>18</v>
      </c>
      <c r="AL828" t="s">
        <v>19</v>
      </c>
      <c r="AM828" t="s">
        <v>388</v>
      </c>
      <c r="AN828" t="s">
        <v>0</v>
      </c>
      <c r="AO828" t="s">
        <v>0</v>
      </c>
      <c r="AP828" t="s">
        <v>0</v>
      </c>
      <c r="AQ828" s="5">
        <v>35</v>
      </c>
      <c r="AR828" t="s">
        <v>11</v>
      </c>
      <c r="AS828" t="s">
        <v>0</v>
      </c>
      <c r="AT828" t="s">
        <v>17</v>
      </c>
      <c r="AU828" s="4">
        <v>0</v>
      </c>
      <c r="AV828" s="4">
        <v>0</v>
      </c>
      <c r="AW828" s="4">
        <v>0</v>
      </c>
      <c r="AX828" s="4">
        <v>0</v>
      </c>
      <c r="AY828" s="5">
        <v>0</v>
      </c>
      <c r="AZ828" s="5">
        <v>0</v>
      </c>
      <c r="BA828" s="5">
        <v>0</v>
      </c>
      <c r="BB828" s="2"/>
      <c r="BC828" t="s">
        <v>0</v>
      </c>
      <c r="BD828" s="5">
        <v>1</v>
      </c>
      <c r="BE828" t="s">
        <v>0</v>
      </c>
      <c r="BF828" t="s">
        <v>392</v>
      </c>
      <c r="BG828" t="s">
        <v>17</v>
      </c>
      <c r="BH828" t="s">
        <v>0</v>
      </c>
      <c r="BI828" t="s">
        <v>11</v>
      </c>
      <c r="BJ828" t="s">
        <v>0</v>
      </c>
      <c r="BK828" t="s">
        <v>0</v>
      </c>
      <c r="BL828" s="5">
        <v>0</v>
      </c>
      <c r="BM828" t="s">
        <v>0</v>
      </c>
      <c r="BN828" t="s">
        <v>0</v>
      </c>
      <c r="BO828" t="s">
        <v>0</v>
      </c>
      <c r="BP828" t="s">
        <v>17</v>
      </c>
      <c r="BQ828" t="s">
        <v>0</v>
      </c>
      <c r="BR828" t="s">
        <v>17</v>
      </c>
      <c r="BS828" t="s">
        <v>17</v>
      </c>
      <c r="BT828" t="s">
        <v>0</v>
      </c>
      <c r="BU828" t="s">
        <v>0</v>
      </c>
      <c r="BV828" t="s">
        <v>0</v>
      </c>
      <c r="BW828" t="s">
        <v>0</v>
      </c>
      <c r="BX828" t="s">
        <v>0</v>
      </c>
      <c r="BY828" t="s">
        <v>0</v>
      </c>
      <c r="BZ828" t="s">
        <v>0</v>
      </c>
      <c r="CA828" t="s">
        <v>0</v>
      </c>
      <c r="CB828" t="s">
        <v>0</v>
      </c>
    </row>
    <row r="829" spans="1:80" ht="13.95" customHeight="1" x14ac:dyDescent="0.25">
      <c r="A829" t="s">
        <v>403</v>
      </c>
      <c r="B829" s="2">
        <v>46014</v>
      </c>
      <c r="C829" s="2">
        <v>46014</v>
      </c>
      <c r="D829" s="2">
        <v>46045</v>
      </c>
      <c r="E829" t="s">
        <v>2</v>
      </c>
      <c r="F829" t="s">
        <v>3</v>
      </c>
      <c r="G829" t="s">
        <v>0</v>
      </c>
      <c r="H829" t="s">
        <v>4</v>
      </c>
      <c r="I829" t="s">
        <v>385</v>
      </c>
      <c r="J829" t="s">
        <v>6</v>
      </c>
      <c r="K829" t="s">
        <v>7</v>
      </c>
      <c r="L829" t="s">
        <v>386</v>
      </c>
      <c r="M829" t="s">
        <v>387</v>
      </c>
      <c r="N829" t="s">
        <v>10</v>
      </c>
      <c r="O829" t="s">
        <v>0</v>
      </c>
      <c r="P829" t="s">
        <v>11</v>
      </c>
      <c r="Q829" s="5">
        <v>10</v>
      </c>
      <c r="R829" s="4">
        <v>49900</v>
      </c>
      <c r="S829" s="5">
        <v>1</v>
      </c>
      <c r="T829" s="4">
        <v>499000</v>
      </c>
      <c r="U829" s="3">
        <v>1.57</v>
      </c>
      <c r="V829" s="4">
        <v>78343</v>
      </c>
      <c r="W829" s="3">
        <v>1.57</v>
      </c>
      <c r="X829" s="4">
        <v>78343</v>
      </c>
      <c r="Y829" s="4">
        <f t="shared" si="24"/>
        <v>420657</v>
      </c>
      <c r="Z829" s="6" t="s">
        <v>0</v>
      </c>
      <c r="AA829" t="s">
        <v>2</v>
      </c>
      <c r="AB829" t="s">
        <v>103</v>
      </c>
      <c r="AC829">
        <f>_xlfn.XLOOKUP(AB829,'[1]GST Codes'!$A:$A,'[1]GST Codes'!$C:$C,0,0)</f>
        <v>18</v>
      </c>
      <c r="AD829">
        <f t="shared" si="25"/>
        <v>496375.26</v>
      </c>
      <c r="AE829" t="s">
        <v>13</v>
      </c>
      <c r="AF829" t="s">
        <v>0</v>
      </c>
      <c r="AG829" t="s">
        <v>14</v>
      </c>
      <c r="AH829" t="s">
        <v>15</v>
      </c>
      <c r="AI829" t="s">
        <v>85</v>
      </c>
      <c r="AJ829" t="s">
        <v>17</v>
      </c>
      <c r="AK829" t="s">
        <v>18</v>
      </c>
      <c r="AL829" t="s">
        <v>19</v>
      </c>
      <c r="AM829" t="s">
        <v>388</v>
      </c>
      <c r="AN829" t="s">
        <v>0</v>
      </c>
      <c r="AO829" t="s">
        <v>0</v>
      </c>
      <c r="AP829" t="s">
        <v>0</v>
      </c>
      <c r="AQ829" s="5">
        <v>10</v>
      </c>
      <c r="AR829" t="s">
        <v>11</v>
      </c>
      <c r="AS829" t="s">
        <v>0</v>
      </c>
      <c r="AT829" t="s">
        <v>17</v>
      </c>
      <c r="AU829" s="4">
        <v>0</v>
      </c>
      <c r="AV829" s="4">
        <v>0</v>
      </c>
      <c r="AW829" s="4">
        <v>0</v>
      </c>
      <c r="AX829" s="4">
        <v>0</v>
      </c>
      <c r="AY829" s="5">
        <v>0</v>
      </c>
      <c r="AZ829" s="5">
        <v>0</v>
      </c>
      <c r="BA829" s="5">
        <v>0</v>
      </c>
      <c r="BB829" s="2"/>
      <c r="BC829" t="s">
        <v>0</v>
      </c>
      <c r="BD829" s="5">
        <v>1</v>
      </c>
      <c r="BE829" t="s">
        <v>0</v>
      </c>
      <c r="BF829" t="s">
        <v>389</v>
      </c>
      <c r="BG829" t="s">
        <v>17</v>
      </c>
      <c r="BH829" t="s">
        <v>0</v>
      </c>
      <c r="BI829" t="s">
        <v>11</v>
      </c>
      <c r="BJ829" t="s">
        <v>0</v>
      </c>
      <c r="BK829" t="s">
        <v>0</v>
      </c>
      <c r="BL829" s="5">
        <v>0</v>
      </c>
      <c r="BM829" t="s">
        <v>0</v>
      </c>
      <c r="BN829" t="s">
        <v>0</v>
      </c>
      <c r="BO829" t="s">
        <v>0</v>
      </c>
      <c r="BP829" t="s">
        <v>17</v>
      </c>
      <c r="BQ829" t="s">
        <v>0</v>
      </c>
      <c r="BR829" t="s">
        <v>17</v>
      </c>
      <c r="BS829" t="s">
        <v>17</v>
      </c>
      <c r="BT829" t="s">
        <v>0</v>
      </c>
      <c r="BU829" t="s">
        <v>0</v>
      </c>
      <c r="BV829" t="s">
        <v>0</v>
      </c>
      <c r="BW829" t="s">
        <v>0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</row>
    <row r="830" spans="1:80" ht="13.95" customHeight="1" x14ac:dyDescent="0.25">
      <c r="A830" t="s">
        <v>403</v>
      </c>
      <c r="B830" s="2">
        <v>46014</v>
      </c>
      <c r="C830" s="2">
        <v>46014</v>
      </c>
      <c r="D830" s="2">
        <v>46045</v>
      </c>
      <c r="E830" t="s">
        <v>2</v>
      </c>
      <c r="F830" t="s">
        <v>3</v>
      </c>
      <c r="G830" t="s">
        <v>0</v>
      </c>
      <c r="H830" t="s">
        <v>4</v>
      </c>
      <c r="I830" t="s">
        <v>385</v>
      </c>
      <c r="J830" t="s">
        <v>6</v>
      </c>
      <c r="K830" t="s">
        <v>22</v>
      </c>
      <c r="L830" t="s">
        <v>390</v>
      </c>
      <c r="M830" t="s">
        <v>391</v>
      </c>
      <c r="N830" t="s">
        <v>10</v>
      </c>
      <c r="O830" t="s">
        <v>0</v>
      </c>
      <c r="P830" t="s">
        <v>11</v>
      </c>
      <c r="Q830" s="5">
        <v>44</v>
      </c>
      <c r="R830" s="4">
        <v>48400</v>
      </c>
      <c r="S830" s="5">
        <v>1</v>
      </c>
      <c r="T830" s="4">
        <v>2129600</v>
      </c>
      <c r="U830" s="5">
        <v>0</v>
      </c>
      <c r="V830" s="4">
        <v>0</v>
      </c>
      <c r="W830" s="5">
        <v>0</v>
      </c>
      <c r="X830" s="4">
        <v>0</v>
      </c>
      <c r="Y830" s="4">
        <f t="shared" si="24"/>
        <v>2129600</v>
      </c>
      <c r="Z830" s="6" t="s">
        <v>0</v>
      </c>
      <c r="AA830" t="s">
        <v>2</v>
      </c>
      <c r="AB830" t="s">
        <v>103</v>
      </c>
      <c r="AC830">
        <f>_xlfn.XLOOKUP(AB830,'[1]GST Codes'!$A:$A,'[1]GST Codes'!$C:$C,0,0)</f>
        <v>18</v>
      </c>
      <c r="AD830">
        <f t="shared" si="25"/>
        <v>2512928</v>
      </c>
      <c r="AE830" t="s">
        <v>13</v>
      </c>
      <c r="AF830" t="s">
        <v>0</v>
      </c>
      <c r="AG830" t="s">
        <v>14</v>
      </c>
      <c r="AH830" t="s">
        <v>15</v>
      </c>
      <c r="AI830" t="s">
        <v>85</v>
      </c>
      <c r="AJ830" t="s">
        <v>17</v>
      </c>
      <c r="AK830" t="s">
        <v>18</v>
      </c>
      <c r="AL830" t="s">
        <v>19</v>
      </c>
      <c r="AM830" t="s">
        <v>388</v>
      </c>
      <c r="AN830" t="s">
        <v>0</v>
      </c>
      <c r="AO830" t="s">
        <v>0</v>
      </c>
      <c r="AP830" t="s">
        <v>0</v>
      </c>
      <c r="AQ830" s="5">
        <v>44</v>
      </c>
      <c r="AR830" t="s">
        <v>11</v>
      </c>
      <c r="AS830" t="s">
        <v>0</v>
      </c>
      <c r="AT830" t="s">
        <v>17</v>
      </c>
      <c r="AU830" s="4">
        <v>0</v>
      </c>
      <c r="AV830" s="4">
        <v>0</v>
      </c>
      <c r="AW830" s="4">
        <v>0</v>
      </c>
      <c r="AX830" s="4">
        <v>0</v>
      </c>
      <c r="AY830" s="5">
        <v>0</v>
      </c>
      <c r="AZ830" s="5">
        <v>0</v>
      </c>
      <c r="BA830" s="5">
        <v>0</v>
      </c>
      <c r="BB830" s="2"/>
      <c r="BC830" t="s">
        <v>0</v>
      </c>
      <c r="BD830" s="5">
        <v>1</v>
      </c>
      <c r="BE830" t="s">
        <v>0</v>
      </c>
      <c r="BF830" t="s">
        <v>392</v>
      </c>
      <c r="BG830" t="s">
        <v>17</v>
      </c>
      <c r="BH830" t="s">
        <v>0</v>
      </c>
      <c r="BI830" t="s">
        <v>11</v>
      </c>
      <c r="BJ830" t="s">
        <v>0</v>
      </c>
      <c r="BK830" t="s">
        <v>0</v>
      </c>
      <c r="BL830" s="5">
        <v>0</v>
      </c>
      <c r="BM830" t="s">
        <v>0</v>
      </c>
      <c r="BN830" t="s">
        <v>0</v>
      </c>
      <c r="BO830" t="s">
        <v>0</v>
      </c>
      <c r="BP830" t="s">
        <v>17</v>
      </c>
      <c r="BQ830" t="s">
        <v>0</v>
      </c>
      <c r="BR830" t="s">
        <v>17</v>
      </c>
      <c r="BS830" t="s">
        <v>17</v>
      </c>
      <c r="BT830" t="s">
        <v>0</v>
      </c>
      <c r="BU830" t="s">
        <v>0</v>
      </c>
      <c r="BV830" t="s">
        <v>0</v>
      </c>
      <c r="BW830" t="s">
        <v>0</v>
      </c>
      <c r="BX830" t="s">
        <v>0</v>
      </c>
      <c r="BY830" t="s">
        <v>0</v>
      </c>
      <c r="BZ830" t="s">
        <v>0</v>
      </c>
      <c r="CA830" t="s">
        <v>0</v>
      </c>
      <c r="CB830" t="s">
        <v>0</v>
      </c>
    </row>
    <row r="831" spans="1:80" ht="13.95" customHeight="1" x14ac:dyDescent="0.25">
      <c r="A831" t="s">
        <v>403</v>
      </c>
      <c r="B831" s="2">
        <v>46014</v>
      </c>
      <c r="C831" s="2">
        <v>46014</v>
      </c>
      <c r="D831" s="2">
        <v>46045</v>
      </c>
      <c r="E831" t="s">
        <v>2</v>
      </c>
      <c r="F831" t="s">
        <v>3</v>
      </c>
      <c r="G831" t="s">
        <v>0</v>
      </c>
      <c r="H831" t="s">
        <v>4</v>
      </c>
      <c r="I831" t="s">
        <v>385</v>
      </c>
      <c r="J831" t="s">
        <v>6</v>
      </c>
      <c r="K831" t="s">
        <v>26</v>
      </c>
      <c r="L831" t="s">
        <v>390</v>
      </c>
      <c r="M831" t="s">
        <v>391</v>
      </c>
      <c r="N831" t="s">
        <v>10</v>
      </c>
      <c r="O831" t="s">
        <v>0</v>
      </c>
      <c r="P831" t="s">
        <v>11</v>
      </c>
      <c r="Q831" s="5">
        <v>66</v>
      </c>
      <c r="R831" s="4">
        <v>48400</v>
      </c>
      <c r="S831" s="5">
        <v>1</v>
      </c>
      <c r="T831" s="4">
        <v>3194400</v>
      </c>
      <c r="U831" s="5">
        <v>0</v>
      </c>
      <c r="V831" s="4">
        <v>0</v>
      </c>
      <c r="W831" s="5">
        <v>0</v>
      </c>
      <c r="X831" s="4">
        <v>0</v>
      </c>
      <c r="Y831" s="4">
        <f t="shared" si="24"/>
        <v>3194400</v>
      </c>
      <c r="Z831" s="6" t="s">
        <v>0</v>
      </c>
      <c r="AA831" t="s">
        <v>2</v>
      </c>
      <c r="AB831" t="s">
        <v>103</v>
      </c>
      <c r="AC831">
        <f>_xlfn.XLOOKUP(AB831,'[1]GST Codes'!$A:$A,'[1]GST Codes'!$C:$C,0,0)</f>
        <v>18</v>
      </c>
      <c r="AD831">
        <f t="shared" si="25"/>
        <v>3769392</v>
      </c>
      <c r="AE831" t="s">
        <v>13</v>
      </c>
      <c r="AF831" t="s">
        <v>0</v>
      </c>
      <c r="AG831" t="s">
        <v>14</v>
      </c>
      <c r="AH831" t="s">
        <v>15</v>
      </c>
      <c r="AI831" t="s">
        <v>85</v>
      </c>
      <c r="AJ831" t="s">
        <v>17</v>
      </c>
      <c r="AK831" t="s">
        <v>18</v>
      </c>
      <c r="AL831" t="s">
        <v>19</v>
      </c>
      <c r="AM831" t="s">
        <v>388</v>
      </c>
      <c r="AN831" t="s">
        <v>0</v>
      </c>
      <c r="AO831" t="s">
        <v>0</v>
      </c>
      <c r="AP831" t="s">
        <v>0</v>
      </c>
      <c r="AQ831" s="5">
        <v>66</v>
      </c>
      <c r="AR831" t="s">
        <v>11</v>
      </c>
      <c r="AS831" t="s">
        <v>0</v>
      </c>
      <c r="AT831" t="s">
        <v>17</v>
      </c>
      <c r="AU831" s="4">
        <v>0</v>
      </c>
      <c r="AV831" s="4">
        <v>0</v>
      </c>
      <c r="AW831" s="4">
        <v>0</v>
      </c>
      <c r="AX831" s="4">
        <v>0</v>
      </c>
      <c r="AY831" s="5">
        <v>0</v>
      </c>
      <c r="AZ831" s="5">
        <v>0</v>
      </c>
      <c r="BA831" s="5">
        <v>0</v>
      </c>
      <c r="BB831" s="2"/>
      <c r="BC831" t="s">
        <v>0</v>
      </c>
      <c r="BD831" s="5">
        <v>1</v>
      </c>
      <c r="BE831" t="s">
        <v>0</v>
      </c>
      <c r="BF831" t="s">
        <v>392</v>
      </c>
      <c r="BG831" t="s">
        <v>17</v>
      </c>
      <c r="BH831" t="s">
        <v>0</v>
      </c>
      <c r="BI831" t="s">
        <v>11</v>
      </c>
      <c r="BJ831" t="s">
        <v>0</v>
      </c>
      <c r="BK831" t="s">
        <v>0</v>
      </c>
      <c r="BL831" s="5">
        <v>0</v>
      </c>
      <c r="BM831" t="s">
        <v>0</v>
      </c>
      <c r="BN831" t="s">
        <v>0</v>
      </c>
      <c r="BO831" t="s">
        <v>0</v>
      </c>
      <c r="BP831" t="s">
        <v>17</v>
      </c>
      <c r="BQ831" t="s">
        <v>0</v>
      </c>
      <c r="BR831" t="s">
        <v>17</v>
      </c>
      <c r="BS831" t="s">
        <v>17</v>
      </c>
      <c r="BT831" t="s">
        <v>0</v>
      </c>
      <c r="BU831" t="s">
        <v>0</v>
      </c>
      <c r="BV831" t="s">
        <v>0</v>
      </c>
      <c r="BW831" t="s">
        <v>0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</row>
    <row r="832" spans="1:80" ht="13.95" customHeight="1" x14ac:dyDescent="0.25">
      <c r="A832" t="s">
        <v>404</v>
      </c>
      <c r="B832" s="2">
        <v>46092</v>
      </c>
      <c r="C832" s="2">
        <v>46092</v>
      </c>
      <c r="D832" s="2">
        <v>46123</v>
      </c>
      <c r="E832" t="s">
        <v>2</v>
      </c>
      <c r="F832" t="s">
        <v>3</v>
      </c>
      <c r="G832" t="s">
        <v>0</v>
      </c>
      <c r="H832" t="s">
        <v>4</v>
      </c>
      <c r="I832" t="s">
        <v>385</v>
      </c>
      <c r="J832" t="s">
        <v>6</v>
      </c>
      <c r="K832" t="s">
        <v>7</v>
      </c>
      <c r="L832" t="s">
        <v>386</v>
      </c>
      <c r="M832" t="s">
        <v>387</v>
      </c>
      <c r="N832" t="s">
        <v>10</v>
      </c>
      <c r="O832" t="s">
        <v>0</v>
      </c>
      <c r="P832" t="s">
        <v>11</v>
      </c>
      <c r="Q832" s="5">
        <v>130</v>
      </c>
      <c r="R832" s="4">
        <v>63400</v>
      </c>
      <c r="S832" s="5">
        <v>1</v>
      </c>
      <c r="T832" s="4">
        <v>8242000</v>
      </c>
      <c r="U832" s="3">
        <v>67.11</v>
      </c>
      <c r="V832" s="4">
        <v>4254774</v>
      </c>
      <c r="W832" s="3">
        <v>67.11</v>
      </c>
      <c r="X832" s="4">
        <v>4254774</v>
      </c>
      <c r="Y832" s="4">
        <f t="shared" si="24"/>
        <v>3987226</v>
      </c>
      <c r="Z832" s="6" t="s">
        <v>0</v>
      </c>
      <c r="AA832" t="s">
        <v>2</v>
      </c>
      <c r="AB832" t="s">
        <v>103</v>
      </c>
      <c r="AC832">
        <f>_xlfn.XLOOKUP(AB832,'[1]GST Codes'!$A:$A,'[1]GST Codes'!$C:$C,0,0)</f>
        <v>18</v>
      </c>
      <c r="AD832">
        <f t="shared" si="25"/>
        <v>4704926.68</v>
      </c>
      <c r="AE832" t="s">
        <v>13</v>
      </c>
      <c r="AF832" t="s">
        <v>0</v>
      </c>
      <c r="AG832" t="s">
        <v>14</v>
      </c>
      <c r="AH832" t="s">
        <v>15</v>
      </c>
      <c r="AI832" t="s">
        <v>85</v>
      </c>
      <c r="AJ832" t="s">
        <v>17</v>
      </c>
      <c r="AK832" t="s">
        <v>18</v>
      </c>
      <c r="AL832" t="s">
        <v>19</v>
      </c>
      <c r="AM832" t="s">
        <v>388</v>
      </c>
      <c r="AN832" t="s">
        <v>0</v>
      </c>
      <c r="AO832" t="s">
        <v>0</v>
      </c>
      <c r="AP832" t="s">
        <v>0</v>
      </c>
      <c r="AQ832" s="5">
        <v>130</v>
      </c>
      <c r="AR832" t="s">
        <v>11</v>
      </c>
      <c r="AS832" t="s">
        <v>0</v>
      </c>
      <c r="AT832" t="s">
        <v>17</v>
      </c>
      <c r="AU832" s="4">
        <v>0</v>
      </c>
      <c r="AV832" s="4">
        <v>0</v>
      </c>
      <c r="AW832" s="4">
        <v>0</v>
      </c>
      <c r="AX832" s="4">
        <v>0</v>
      </c>
      <c r="AY832" s="5">
        <v>0</v>
      </c>
      <c r="AZ832" s="5">
        <v>0</v>
      </c>
      <c r="BA832" s="5">
        <v>0</v>
      </c>
      <c r="BB832" s="2"/>
      <c r="BC832" t="s">
        <v>0</v>
      </c>
      <c r="BD832" s="5">
        <v>1</v>
      </c>
      <c r="BE832" t="s">
        <v>0</v>
      </c>
      <c r="BF832" t="s">
        <v>389</v>
      </c>
      <c r="BG832" t="s">
        <v>17</v>
      </c>
      <c r="BH832" t="s">
        <v>0</v>
      </c>
      <c r="BI832" t="s">
        <v>11</v>
      </c>
      <c r="BJ832" t="s">
        <v>0</v>
      </c>
      <c r="BK832" t="s">
        <v>0</v>
      </c>
      <c r="BL832" s="5">
        <v>0</v>
      </c>
      <c r="BM832" t="s">
        <v>0</v>
      </c>
      <c r="BN832" t="s">
        <v>0</v>
      </c>
      <c r="BO832" t="s">
        <v>0</v>
      </c>
      <c r="BP832" t="s">
        <v>17</v>
      </c>
      <c r="BQ832" t="s">
        <v>0</v>
      </c>
      <c r="BR832" t="s">
        <v>17</v>
      </c>
      <c r="BS832" t="s">
        <v>17</v>
      </c>
      <c r="BT832" t="s">
        <v>0</v>
      </c>
      <c r="BU832" t="s">
        <v>0</v>
      </c>
      <c r="BV832" t="s">
        <v>0</v>
      </c>
      <c r="BW832" t="s">
        <v>0</v>
      </c>
      <c r="BX832" t="s">
        <v>0</v>
      </c>
      <c r="BY832" t="s">
        <v>0</v>
      </c>
      <c r="BZ832" t="s">
        <v>0</v>
      </c>
      <c r="CA832" t="s">
        <v>0</v>
      </c>
      <c r="CB832" t="s">
        <v>0</v>
      </c>
    </row>
    <row r="833" spans="1:80" ht="13.95" customHeight="1" x14ac:dyDescent="0.25">
      <c r="A833" t="s">
        <v>404</v>
      </c>
      <c r="B833" s="2">
        <v>46092</v>
      </c>
      <c r="C833" s="2">
        <v>46092</v>
      </c>
      <c r="D833" s="2">
        <v>46123</v>
      </c>
      <c r="E833" t="s">
        <v>2</v>
      </c>
      <c r="F833" t="s">
        <v>3</v>
      </c>
      <c r="G833" t="s">
        <v>0</v>
      </c>
      <c r="H833" t="s">
        <v>4</v>
      </c>
      <c r="I833" t="s">
        <v>385</v>
      </c>
      <c r="J833" t="s">
        <v>6</v>
      </c>
      <c r="K833" t="s">
        <v>22</v>
      </c>
      <c r="L833" t="s">
        <v>390</v>
      </c>
      <c r="M833" t="s">
        <v>391</v>
      </c>
      <c r="N833" t="s">
        <v>10</v>
      </c>
      <c r="O833" t="s">
        <v>0</v>
      </c>
      <c r="P833" t="s">
        <v>11</v>
      </c>
      <c r="Q833" s="5">
        <v>80</v>
      </c>
      <c r="R833" s="4">
        <v>61900</v>
      </c>
      <c r="S833" s="5">
        <v>1</v>
      </c>
      <c r="T833" s="4">
        <v>4952000</v>
      </c>
      <c r="U833" s="3">
        <v>48.81</v>
      </c>
      <c r="V833" s="4">
        <v>3021339</v>
      </c>
      <c r="W833" s="3">
        <v>48.81</v>
      </c>
      <c r="X833" s="4">
        <v>3021339</v>
      </c>
      <c r="Y833" s="4">
        <f t="shared" si="24"/>
        <v>1930661</v>
      </c>
      <c r="Z833" s="6" t="s">
        <v>0</v>
      </c>
      <c r="AA833" t="s">
        <v>2</v>
      </c>
      <c r="AB833" t="s">
        <v>103</v>
      </c>
      <c r="AC833">
        <f>_xlfn.XLOOKUP(AB833,'[1]GST Codes'!$A:$A,'[1]GST Codes'!$C:$C,0,0)</f>
        <v>18</v>
      </c>
      <c r="AD833">
        <f t="shared" si="25"/>
        <v>2278179.98</v>
      </c>
      <c r="AE833" t="s">
        <v>13</v>
      </c>
      <c r="AF833" t="s">
        <v>0</v>
      </c>
      <c r="AG833" t="s">
        <v>14</v>
      </c>
      <c r="AH833" t="s">
        <v>15</v>
      </c>
      <c r="AI833" t="s">
        <v>85</v>
      </c>
      <c r="AJ833" t="s">
        <v>17</v>
      </c>
      <c r="AK833" t="s">
        <v>18</v>
      </c>
      <c r="AL833" t="s">
        <v>19</v>
      </c>
      <c r="AM833" t="s">
        <v>388</v>
      </c>
      <c r="AN833" t="s">
        <v>0</v>
      </c>
      <c r="AO833" t="s">
        <v>0</v>
      </c>
      <c r="AP833" t="s">
        <v>0</v>
      </c>
      <c r="AQ833" s="5">
        <v>80</v>
      </c>
      <c r="AR833" t="s">
        <v>11</v>
      </c>
      <c r="AS833" t="s">
        <v>0</v>
      </c>
      <c r="AT833" t="s">
        <v>17</v>
      </c>
      <c r="AU833" s="4">
        <v>0</v>
      </c>
      <c r="AV833" s="4">
        <v>0</v>
      </c>
      <c r="AW833" s="4">
        <v>0</v>
      </c>
      <c r="AX833" s="4">
        <v>0</v>
      </c>
      <c r="AY833" s="5">
        <v>0</v>
      </c>
      <c r="AZ833" s="5">
        <v>0</v>
      </c>
      <c r="BA833" s="5">
        <v>0</v>
      </c>
      <c r="BB833" s="2"/>
      <c r="BC833" t="s">
        <v>0</v>
      </c>
      <c r="BD833" s="5">
        <v>1</v>
      </c>
      <c r="BE833" t="s">
        <v>0</v>
      </c>
      <c r="BF833" t="s">
        <v>392</v>
      </c>
      <c r="BG833" t="s">
        <v>17</v>
      </c>
      <c r="BH833" t="s">
        <v>0</v>
      </c>
      <c r="BI833" t="s">
        <v>11</v>
      </c>
      <c r="BJ833" t="s">
        <v>0</v>
      </c>
      <c r="BK833" t="s">
        <v>0</v>
      </c>
      <c r="BL833" s="5">
        <v>0</v>
      </c>
      <c r="BM833" t="s">
        <v>0</v>
      </c>
      <c r="BN833" t="s">
        <v>0</v>
      </c>
      <c r="BO833" t="s">
        <v>0</v>
      </c>
      <c r="BP833" t="s">
        <v>17</v>
      </c>
      <c r="BQ833" t="s">
        <v>0</v>
      </c>
      <c r="BR833" t="s">
        <v>17</v>
      </c>
      <c r="BS833" t="s">
        <v>17</v>
      </c>
      <c r="BT833" t="s">
        <v>0</v>
      </c>
      <c r="BU833" t="s">
        <v>0</v>
      </c>
      <c r="BV833" t="s">
        <v>0</v>
      </c>
      <c r="BW833" t="s">
        <v>0</v>
      </c>
      <c r="BX833" t="s">
        <v>0</v>
      </c>
      <c r="BY833" t="s">
        <v>0</v>
      </c>
      <c r="BZ833" t="s">
        <v>0</v>
      </c>
      <c r="CA833" t="s">
        <v>0</v>
      </c>
      <c r="CB833" t="s">
        <v>0</v>
      </c>
    </row>
    <row r="834" spans="1:80" ht="13.95" customHeight="1" x14ac:dyDescent="0.25">
      <c r="A834" t="s">
        <v>405</v>
      </c>
      <c r="B834" s="2">
        <v>45706</v>
      </c>
      <c r="C834" s="2"/>
      <c r="D834" s="2"/>
      <c r="E834" t="s">
        <v>2</v>
      </c>
      <c r="F834" t="s">
        <v>3</v>
      </c>
      <c r="G834" t="s">
        <v>0</v>
      </c>
      <c r="H834" t="s">
        <v>4</v>
      </c>
      <c r="I834" t="s">
        <v>406</v>
      </c>
      <c r="J834" t="s">
        <v>6</v>
      </c>
      <c r="K834" t="s">
        <v>7</v>
      </c>
      <c r="L834" t="s">
        <v>39</v>
      </c>
      <c r="M834" t="s">
        <v>40</v>
      </c>
      <c r="N834" t="s">
        <v>10</v>
      </c>
      <c r="O834" t="s">
        <v>0</v>
      </c>
      <c r="P834" t="s">
        <v>11</v>
      </c>
      <c r="Q834" s="5">
        <v>30</v>
      </c>
      <c r="R834" s="4">
        <v>50900</v>
      </c>
      <c r="S834" s="5">
        <v>1</v>
      </c>
      <c r="T834" s="4">
        <v>1527000</v>
      </c>
      <c r="U834" s="5">
        <v>0</v>
      </c>
      <c r="V834" s="4">
        <v>0</v>
      </c>
      <c r="W834" s="5">
        <v>0</v>
      </c>
      <c r="X834" s="4">
        <v>0</v>
      </c>
      <c r="Y834" s="4">
        <f t="shared" si="24"/>
        <v>1527000</v>
      </c>
      <c r="Z834" s="6" t="s">
        <v>0</v>
      </c>
      <c r="AA834" t="s">
        <v>2</v>
      </c>
      <c r="AB834" t="s">
        <v>103</v>
      </c>
      <c r="AC834">
        <f>_xlfn.XLOOKUP(AB834,'[1]GST Codes'!$A:$A,'[1]GST Codes'!$C:$C,0,0)</f>
        <v>18</v>
      </c>
      <c r="AD834">
        <f t="shared" si="25"/>
        <v>1801860</v>
      </c>
      <c r="AE834" t="s">
        <v>13</v>
      </c>
      <c r="AF834" t="s">
        <v>0</v>
      </c>
      <c r="AG834" t="s">
        <v>14</v>
      </c>
      <c r="AH834" t="s">
        <v>15</v>
      </c>
      <c r="AI834" t="s">
        <v>16</v>
      </c>
      <c r="AJ834" t="s">
        <v>17</v>
      </c>
      <c r="AK834" t="s">
        <v>18</v>
      </c>
      <c r="AL834" t="s">
        <v>19</v>
      </c>
      <c r="AM834" t="s">
        <v>407</v>
      </c>
      <c r="AN834" t="s">
        <v>0</v>
      </c>
      <c r="AO834" t="s">
        <v>0</v>
      </c>
      <c r="AP834" t="s">
        <v>0</v>
      </c>
      <c r="AQ834" s="5">
        <v>30</v>
      </c>
      <c r="AR834" t="s">
        <v>11</v>
      </c>
      <c r="AS834" t="s">
        <v>0</v>
      </c>
      <c r="AT834" t="s">
        <v>17</v>
      </c>
      <c r="AU834" s="4">
        <v>0</v>
      </c>
      <c r="AV834" s="4">
        <v>0</v>
      </c>
      <c r="AW834" s="4">
        <v>0</v>
      </c>
      <c r="AX834" s="4">
        <v>0</v>
      </c>
      <c r="AY834" s="5">
        <v>0</v>
      </c>
      <c r="AZ834" s="5">
        <v>0</v>
      </c>
      <c r="BA834" s="5">
        <v>0</v>
      </c>
      <c r="BB834" s="2"/>
      <c r="BC834" t="s">
        <v>0</v>
      </c>
      <c r="BD834" s="5">
        <v>1</v>
      </c>
      <c r="BE834" t="s">
        <v>0</v>
      </c>
      <c r="BF834" t="s">
        <v>408</v>
      </c>
      <c r="BG834" t="s">
        <v>17</v>
      </c>
      <c r="BH834" t="s">
        <v>0</v>
      </c>
      <c r="BI834" t="s">
        <v>11</v>
      </c>
      <c r="BJ834" t="s">
        <v>0</v>
      </c>
      <c r="BK834" t="s">
        <v>0</v>
      </c>
      <c r="BL834" s="5">
        <v>0</v>
      </c>
      <c r="BM834" t="s">
        <v>0</v>
      </c>
      <c r="BN834" t="s">
        <v>0</v>
      </c>
      <c r="BO834" t="s">
        <v>0</v>
      </c>
      <c r="BP834" t="s">
        <v>17</v>
      </c>
      <c r="BQ834" t="s">
        <v>0</v>
      </c>
      <c r="BR834" t="s">
        <v>17</v>
      </c>
      <c r="BS834" t="s">
        <v>17</v>
      </c>
      <c r="BT834" t="s">
        <v>0</v>
      </c>
      <c r="BU834" t="s">
        <v>0</v>
      </c>
      <c r="BV834" t="s">
        <v>0</v>
      </c>
      <c r="BW834" t="s">
        <v>0</v>
      </c>
      <c r="BX834" t="s">
        <v>0</v>
      </c>
      <c r="BY834" t="s">
        <v>0</v>
      </c>
      <c r="BZ834" t="s">
        <v>0</v>
      </c>
      <c r="CA834" t="s">
        <v>0</v>
      </c>
      <c r="CB834" t="s">
        <v>0</v>
      </c>
    </row>
    <row r="835" spans="1:80" ht="13.95" customHeight="1" x14ac:dyDescent="0.25">
      <c r="A835" t="s">
        <v>405</v>
      </c>
      <c r="B835" s="2">
        <v>45706</v>
      </c>
      <c r="C835" s="2"/>
      <c r="D835" s="2"/>
      <c r="E835" t="s">
        <v>2</v>
      </c>
      <c r="F835" t="s">
        <v>3</v>
      </c>
      <c r="G835" t="s">
        <v>0</v>
      </c>
      <c r="H835" t="s">
        <v>4</v>
      </c>
      <c r="I835" t="s">
        <v>406</v>
      </c>
      <c r="J835" t="s">
        <v>6</v>
      </c>
      <c r="K835" t="s">
        <v>22</v>
      </c>
      <c r="L835" t="s">
        <v>39</v>
      </c>
      <c r="M835" t="s">
        <v>40</v>
      </c>
      <c r="N835" t="s">
        <v>10</v>
      </c>
      <c r="O835" t="s">
        <v>0</v>
      </c>
      <c r="P835" t="s">
        <v>11</v>
      </c>
      <c r="Q835" s="5">
        <v>34</v>
      </c>
      <c r="R835" s="4">
        <v>50900</v>
      </c>
      <c r="S835" s="5">
        <v>1</v>
      </c>
      <c r="T835" s="4">
        <v>1730600</v>
      </c>
      <c r="U835" s="5">
        <v>0</v>
      </c>
      <c r="V835" s="4">
        <v>0</v>
      </c>
      <c r="W835" s="5">
        <v>0</v>
      </c>
      <c r="X835" s="4">
        <v>0</v>
      </c>
      <c r="Y835" s="4">
        <f t="shared" ref="Y835:Y898" si="26">T835-V835</f>
        <v>1730600</v>
      </c>
      <c r="Z835" s="6" t="s">
        <v>0</v>
      </c>
      <c r="AA835" t="s">
        <v>2</v>
      </c>
      <c r="AB835" t="s">
        <v>103</v>
      </c>
      <c r="AC835">
        <f>_xlfn.XLOOKUP(AB835,'[1]GST Codes'!$A:$A,'[1]GST Codes'!$C:$C,0,0)</f>
        <v>18</v>
      </c>
      <c r="AD835">
        <f t="shared" ref="AD835:AD898" si="27">Y835+(Y835*AC835/100)</f>
        <v>2042108</v>
      </c>
      <c r="AE835" t="s">
        <v>13</v>
      </c>
      <c r="AF835" t="s">
        <v>0</v>
      </c>
      <c r="AG835" t="s">
        <v>14</v>
      </c>
      <c r="AH835" t="s">
        <v>15</v>
      </c>
      <c r="AI835" t="s">
        <v>16</v>
      </c>
      <c r="AJ835" t="s">
        <v>17</v>
      </c>
      <c r="AK835" t="s">
        <v>18</v>
      </c>
      <c r="AL835" t="s">
        <v>19</v>
      </c>
      <c r="AM835" t="s">
        <v>407</v>
      </c>
      <c r="AN835" t="s">
        <v>0</v>
      </c>
      <c r="AO835" t="s">
        <v>0</v>
      </c>
      <c r="AP835" t="s">
        <v>0</v>
      </c>
      <c r="AQ835" s="5">
        <v>34</v>
      </c>
      <c r="AR835" t="s">
        <v>11</v>
      </c>
      <c r="AS835" t="s">
        <v>0</v>
      </c>
      <c r="AT835" t="s">
        <v>17</v>
      </c>
      <c r="AU835" s="4">
        <v>0</v>
      </c>
      <c r="AV835" s="4">
        <v>0</v>
      </c>
      <c r="AW835" s="4">
        <v>0</v>
      </c>
      <c r="AX835" s="4">
        <v>0</v>
      </c>
      <c r="AY835" s="5">
        <v>0</v>
      </c>
      <c r="AZ835" s="5">
        <v>0</v>
      </c>
      <c r="BA835" s="5">
        <v>0</v>
      </c>
      <c r="BB835" s="2"/>
      <c r="BC835" t="s">
        <v>0</v>
      </c>
      <c r="BD835" s="5">
        <v>1</v>
      </c>
      <c r="BE835" t="s">
        <v>0</v>
      </c>
      <c r="BF835" t="s">
        <v>408</v>
      </c>
      <c r="BG835" t="s">
        <v>17</v>
      </c>
      <c r="BH835" t="s">
        <v>0</v>
      </c>
      <c r="BI835" t="s">
        <v>11</v>
      </c>
      <c r="BJ835" t="s">
        <v>0</v>
      </c>
      <c r="BK835" t="s">
        <v>0</v>
      </c>
      <c r="BL835" s="5">
        <v>0</v>
      </c>
      <c r="BM835" t="s">
        <v>0</v>
      </c>
      <c r="BN835" t="s">
        <v>0</v>
      </c>
      <c r="BO835" t="s">
        <v>0</v>
      </c>
      <c r="BP835" t="s">
        <v>17</v>
      </c>
      <c r="BQ835" t="s">
        <v>0</v>
      </c>
      <c r="BR835" t="s">
        <v>17</v>
      </c>
      <c r="BS835" t="s">
        <v>17</v>
      </c>
      <c r="BT835" t="s">
        <v>0</v>
      </c>
      <c r="BU835" t="s">
        <v>0</v>
      </c>
      <c r="BV835" t="s">
        <v>0</v>
      </c>
      <c r="BW835" t="s">
        <v>0</v>
      </c>
      <c r="BX835" t="s">
        <v>0</v>
      </c>
      <c r="BY835" t="s">
        <v>0</v>
      </c>
      <c r="BZ835" t="s">
        <v>0</v>
      </c>
      <c r="CA835" t="s">
        <v>0</v>
      </c>
      <c r="CB835" t="s">
        <v>0</v>
      </c>
    </row>
    <row r="836" spans="1:80" ht="13.95" customHeight="1" x14ac:dyDescent="0.25">
      <c r="A836" t="s">
        <v>405</v>
      </c>
      <c r="B836" s="2">
        <v>45706</v>
      </c>
      <c r="C836" s="2"/>
      <c r="D836" s="2"/>
      <c r="E836" t="s">
        <v>2</v>
      </c>
      <c r="F836" t="s">
        <v>3</v>
      </c>
      <c r="G836" t="s">
        <v>0</v>
      </c>
      <c r="H836" t="s">
        <v>4</v>
      </c>
      <c r="I836" t="s">
        <v>406</v>
      </c>
      <c r="J836" t="s">
        <v>6</v>
      </c>
      <c r="K836" t="s">
        <v>26</v>
      </c>
      <c r="L836" t="s">
        <v>39</v>
      </c>
      <c r="M836" t="s">
        <v>40</v>
      </c>
      <c r="N836" t="s">
        <v>10</v>
      </c>
      <c r="O836" t="s">
        <v>0</v>
      </c>
      <c r="P836" t="s">
        <v>11</v>
      </c>
      <c r="Q836" s="5">
        <v>9</v>
      </c>
      <c r="R836" s="4">
        <v>50900</v>
      </c>
      <c r="S836" s="5">
        <v>1</v>
      </c>
      <c r="T836" s="4">
        <v>458100</v>
      </c>
      <c r="U836" s="5">
        <v>0</v>
      </c>
      <c r="V836" s="4">
        <v>0</v>
      </c>
      <c r="W836" s="5">
        <v>0</v>
      </c>
      <c r="X836" s="4">
        <v>0</v>
      </c>
      <c r="Y836" s="4">
        <f t="shared" si="26"/>
        <v>458100</v>
      </c>
      <c r="Z836" s="6" t="s">
        <v>0</v>
      </c>
      <c r="AA836" t="s">
        <v>2</v>
      </c>
      <c r="AB836" t="s">
        <v>103</v>
      </c>
      <c r="AC836">
        <f>_xlfn.XLOOKUP(AB836,'[1]GST Codes'!$A:$A,'[1]GST Codes'!$C:$C,0,0)</f>
        <v>18</v>
      </c>
      <c r="AD836">
        <f t="shared" si="27"/>
        <v>540558</v>
      </c>
      <c r="AE836" t="s">
        <v>13</v>
      </c>
      <c r="AF836" t="s">
        <v>0</v>
      </c>
      <c r="AG836" t="s">
        <v>14</v>
      </c>
      <c r="AH836" t="s">
        <v>15</v>
      </c>
      <c r="AI836" t="s">
        <v>16</v>
      </c>
      <c r="AJ836" t="s">
        <v>17</v>
      </c>
      <c r="AK836" t="s">
        <v>18</v>
      </c>
      <c r="AL836" t="s">
        <v>19</v>
      </c>
      <c r="AM836" t="s">
        <v>407</v>
      </c>
      <c r="AN836" t="s">
        <v>0</v>
      </c>
      <c r="AO836" t="s">
        <v>0</v>
      </c>
      <c r="AP836" t="s">
        <v>0</v>
      </c>
      <c r="AQ836" s="5">
        <v>9</v>
      </c>
      <c r="AR836" t="s">
        <v>11</v>
      </c>
      <c r="AS836" t="s">
        <v>0</v>
      </c>
      <c r="AT836" t="s">
        <v>17</v>
      </c>
      <c r="AU836" s="4">
        <v>0</v>
      </c>
      <c r="AV836" s="4">
        <v>0</v>
      </c>
      <c r="AW836" s="4">
        <v>0</v>
      </c>
      <c r="AX836" s="4">
        <v>0</v>
      </c>
      <c r="AY836" s="5">
        <v>0</v>
      </c>
      <c r="AZ836" s="5">
        <v>0</v>
      </c>
      <c r="BA836" s="5">
        <v>0</v>
      </c>
      <c r="BB836" s="2"/>
      <c r="BC836" t="s">
        <v>0</v>
      </c>
      <c r="BD836" s="5">
        <v>1</v>
      </c>
      <c r="BE836" t="s">
        <v>0</v>
      </c>
      <c r="BF836" t="s">
        <v>408</v>
      </c>
      <c r="BG836" t="s">
        <v>17</v>
      </c>
      <c r="BH836" t="s">
        <v>0</v>
      </c>
      <c r="BI836" t="s">
        <v>11</v>
      </c>
      <c r="BJ836" t="s">
        <v>0</v>
      </c>
      <c r="BK836" t="s">
        <v>0</v>
      </c>
      <c r="BL836" s="5">
        <v>0</v>
      </c>
      <c r="BM836" t="s">
        <v>0</v>
      </c>
      <c r="BN836" t="s">
        <v>0</v>
      </c>
      <c r="BO836" t="s">
        <v>0</v>
      </c>
      <c r="BP836" t="s">
        <v>17</v>
      </c>
      <c r="BQ836" t="s">
        <v>0</v>
      </c>
      <c r="BR836" t="s">
        <v>17</v>
      </c>
      <c r="BS836" t="s">
        <v>17</v>
      </c>
      <c r="BT836" t="s">
        <v>0</v>
      </c>
      <c r="BU836" t="s">
        <v>0</v>
      </c>
      <c r="BV836" t="s">
        <v>0</v>
      </c>
      <c r="BW836" t="s">
        <v>0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</row>
    <row r="837" spans="1:80" ht="13.95" customHeight="1" x14ac:dyDescent="0.25">
      <c r="A837" t="s">
        <v>409</v>
      </c>
      <c r="B837" s="2">
        <v>45756</v>
      </c>
      <c r="C837" s="2"/>
      <c r="D837" s="2"/>
      <c r="E837" t="s">
        <v>2</v>
      </c>
      <c r="F837" t="s">
        <v>3</v>
      </c>
      <c r="G837" t="s">
        <v>0</v>
      </c>
      <c r="H837" t="s">
        <v>4</v>
      </c>
      <c r="I837" t="s">
        <v>410</v>
      </c>
      <c r="J837" t="s">
        <v>6</v>
      </c>
      <c r="K837" t="s">
        <v>7</v>
      </c>
      <c r="L837" t="s">
        <v>390</v>
      </c>
      <c r="M837" t="s">
        <v>391</v>
      </c>
      <c r="N837" t="s">
        <v>10</v>
      </c>
      <c r="O837" t="s">
        <v>0</v>
      </c>
      <c r="P837" t="s">
        <v>11</v>
      </c>
      <c r="Q837" s="5">
        <v>3</v>
      </c>
      <c r="R837" s="4">
        <v>64250</v>
      </c>
      <c r="S837" s="5">
        <v>1</v>
      </c>
      <c r="T837" s="4">
        <v>192750</v>
      </c>
      <c r="U837" s="5">
        <v>0</v>
      </c>
      <c r="V837" s="4">
        <v>0</v>
      </c>
      <c r="W837" s="5">
        <v>0</v>
      </c>
      <c r="X837" s="4">
        <v>0</v>
      </c>
      <c r="Y837" s="4">
        <f t="shared" si="26"/>
        <v>192750</v>
      </c>
      <c r="Z837" s="6" t="s">
        <v>0</v>
      </c>
      <c r="AA837" t="s">
        <v>2</v>
      </c>
      <c r="AB837" t="s">
        <v>12</v>
      </c>
      <c r="AC837">
        <f>_xlfn.XLOOKUP(AB837,'[1]GST Codes'!$A:$A,'[1]GST Codes'!$C:$C,0,0)</f>
        <v>18</v>
      </c>
      <c r="AD837">
        <f t="shared" si="27"/>
        <v>227445</v>
      </c>
      <c r="AE837" t="s">
        <v>13</v>
      </c>
      <c r="AF837" t="s">
        <v>0</v>
      </c>
      <c r="AG837" t="s">
        <v>14</v>
      </c>
      <c r="AH837" t="s">
        <v>15</v>
      </c>
      <c r="AI837" t="s">
        <v>16</v>
      </c>
      <c r="AJ837" t="s">
        <v>17</v>
      </c>
      <c r="AK837" t="s">
        <v>18</v>
      </c>
      <c r="AL837" t="s">
        <v>19</v>
      </c>
      <c r="AM837" t="s">
        <v>410</v>
      </c>
      <c r="AN837" t="s">
        <v>0</v>
      </c>
      <c r="AO837" t="s">
        <v>0</v>
      </c>
      <c r="AP837" t="s">
        <v>0</v>
      </c>
      <c r="AQ837" s="5">
        <v>3</v>
      </c>
      <c r="AR837" t="s">
        <v>11</v>
      </c>
      <c r="AS837" t="s">
        <v>0</v>
      </c>
      <c r="AT837" t="s">
        <v>17</v>
      </c>
      <c r="AU837" s="4">
        <v>0</v>
      </c>
      <c r="AV837" s="4">
        <v>0</v>
      </c>
      <c r="AW837" s="4">
        <v>0</v>
      </c>
      <c r="AX837" s="4">
        <v>0</v>
      </c>
      <c r="AY837" s="5">
        <v>0</v>
      </c>
      <c r="AZ837" s="5">
        <v>0</v>
      </c>
      <c r="BA837" s="5">
        <v>0</v>
      </c>
      <c r="BB837" s="2"/>
      <c r="BC837" t="s">
        <v>0</v>
      </c>
      <c r="BD837" s="5">
        <v>1</v>
      </c>
      <c r="BE837" t="s">
        <v>0</v>
      </c>
      <c r="BF837" t="s">
        <v>411</v>
      </c>
      <c r="BG837" t="s">
        <v>17</v>
      </c>
      <c r="BH837" t="s">
        <v>0</v>
      </c>
      <c r="BI837" t="s">
        <v>11</v>
      </c>
      <c r="BJ837" t="s">
        <v>0</v>
      </c>
      <c r="BK837" t="s">
        <v>0</v>
      </c>
      <c r="BL837" s="5">
        <v>0</v>
      </c>
      <c r="BM837" t="s">
        <v>0</v>
      </c>
      <c r="BN837" t="s">
        <v>0</v>
      </c>
      <c r="BO837" t="s">
        <v>0</v>
      </c>
      <c r="BP837" t="s">
        <v>17</v>
      </c>
      <c r="BQ837" t="s">
        <v>0</v>
      </c>
      <c r="BR837" t="s">
        <v>17</v>
      </c>
      <c r="BS837" t="s">
        <v>17</v>
      </c>
      <c r="BT837" t="s">
        <v>0</v>
      </c>
      <c r="BU837" t="s">
        <v>0</v>
      </c>
      <c r="BV837" t="s">
        <v>0</v>
      </c>
      <c r="BW837" t="s">
        <v>0</v>
      </c>
      <c r="BX837" t="s">
        <v>0</v>
      </c>
      <c r="BY837" t="s">
        <v>0</v>
      </c>
      <c r="BZ837" t="s">
        <v>0</v>
      </c>
      <c r="CA837" t="s">
        <v>0</v>
      </c>
      <c r="CB837" t="s">
        <v>0</v>
      </c>
    </row>
    <row r="838" spans="1:80" ht="13.95" customHeight="1" x14ac:dyDescent="0.25">
      <c r="A838" t="s">
        <v>409</v>
      </c>
      <c r="B838" s="2">
        <v>45756</v>
      </c>
      <c r="C838" s="2"/>
      <c r="D838" s="2"/>
      <c r="E838" t="s">
        <v>2</v>
      </c>
      <c r="F838" t="s">
        <v>3</v>
      </c>
      <c r="G838" t="s">
        <v>0</v>
      </c>
      <c r="H838" t="s">
        <v>4</v>
      </c>
      <c r="I838" t="s">
        <v>410</v>
      </c>
      <c r="J838" t="s">
        <v>6</v>
      </c>
      <c r="K838" t="s">
        <v>22</v>
      </c>
      <c r="L838" t="s">
        <v>390</v>
      </c>
      <c r="M838" t="s">
        <v>391</v>
      </c>
      <c r="N838" t="s">
        <v>10</v>
      </c>
      <c r="O838" t="s">
        <v>0</v>
      </c>
      <c r="P838" t="s">
        <v>11</v>
      </c>
      <c r="Q838" s="5">
        <v>3</v>
      </c>
      <c r="R838" s="4">
        <v>64250</v>
      </c>
      <c r="S838" s="5">
        <v>1</v>
      </c>
      <c r="T838" s="4">
        <v>192750</v>
      </c>
      <c r="U838" s="5">
        <v>0</v>
      </c>
      <c r="V838" s="4">
        <v>0</v>
      </c>
      <c r="W838" s="5">
        <v>0</v>
      </c>
      <c r="X838" s="4">
        <v>0</v>
      </c>
      <c r="Y838" s="4">
        <f t="shared" si="26"/>
        <v>192750</v>
      </c>
      <c r="Z838" s="6" t="s">
        <v>0</v>
      </c>
      <c r="AA838" t="s">
        <v>2</v>
      </c>
      <c r="AB838" t="s">
        <v>12</v>
      </c>
      <c r="AC838">
        <f>_xlfn.XLOOKUP(AB838,'[1]GST Codes'!$A:$A,'[1]GST Codes'!$C:$C,0,0)</f>
        <v>18</v>
      </c>
      <c r="AD838">
        <f t="shared" si="27"/>
        <v>227445</v>
      </c>
      <c r="AE838" t="s">
        <v>13</v>
      </c>
      <c r="AF838" t="s">
        <v>0</v>
      </c>
      <c r="AG838" t="s">
        <v>14</v>
      </c>
      <c r="AH838" t="s">
        <v>15</v>
      </c>
      <c r="AI838" t="s">
        <v>16</v>
      </c>
      <c r="AJ838" t="s">
        <v>17</v>
      </c>
      <c r="AK838" t="s">
        <v>18</v>
      </c>
      <c r="AL838" t="s">
        <v>19</v>
      </c>
      <c r="AM838" t="s">
        <v>410</v>
      </c>
      <c r="AN838" t="s">
        <v>0</v>
      </c>
      <c r="AO838" t="s">
        <v>0</v>
      </c>
      <c r="AP838" t="s">
        <v>0</v>
      </c>
      <c r="AQ838" s="5">
        <v>3</v>
      </c>
      <c r="AR838" t="s">
        <v>11</v>
      </c>
      <c r="AS838" t="s">
        <v>0</v>
      </c>
      <c r="AT838" t="s">
        <v>17</v>
      </c>
      <c r="AU838" s="4">
        <v>0</v>
      </c>
      <c r="AV838" s="4">
        <v>0</v>
      </c>
      <c r="AW838" s="4">
        <v>0</v>
      </c>
      <c r="AX838" s="4">
        <v>0</v>
      </c>
      <c r="AY838" s="5">
        <v>0</v>
      </c>
      <c r="AZ838" s="5">
        <v>0</v>
      </c>
      <c r="BA838" s="5">
        <v>0</v>
      </c>
      <c r="BB838" s="2"/>
      <c r="BC838" t="s">
        <v>0</v>
      </c>
      <c r="BD838" s="5">
        <v>1</v>
      </c>
      <c r="BE838" t="s">
        <v>0</v>
      </c>
      <c r="BF838" t="s">
        <v>411</v>
      </c>
      <c r="BG838" t="s">
        <v>17</v>
      </c>
      <c r="BH838" t="s">
        <v>0</v>
      </c>
      <c r="BI838" t="s">
        <v>11</v>
      </c>
      <c r="BJ838" t="s">
        <v>0</v>
      </c>
      <c r="BK838" t="s">
        <v>0</v>
      </c>
      <c r="BL838" s="5">
        <v>0</v>
      </c>
      <c r="BM838" t="s">
        <v>0</v>
      </c>
      <c r="BN838" t="s">
        <v>0</v>
      </c>
      <c r="BO838" t="s">
        <v>0</v>
      </c>
      <c r="BP838" t="s">
        <v>17</v>
      </c>
      <c r="BQ838" t="s">
        <v>0</v>
      </c>
      <c r="BR838" t="s">
        <v>17</v>
      </c>
      <c r="BS838" t="s">
        <v>17</v>
      </c>
      <c r="BT838" t="s">
        <v>0</v>
      </c>
      <c r="BU838" t="s">
        <v>0</v>
      </c>
      <c r="BV838" t="s">
        <v>0</v>
      </c>
      <c r="BW838" t="s">
        <v>0</v>
      </c>
      <c r="BX838" t="s">
        <v>0</v>
      </c>
      <c r="BY838" t="s">
        <v>0</v>
      </c>
      <c r="BZ838" t="s">
        <v>0</v>
      </c>
      <c r="CA838" t="s">
        <v>0</v>
      </c>
      <c r="CB838" t="s">
        <v>0</v>
      </c>
    </row>
    <row r="839" spans="1:80" ht="13.95" customHeight="1" x14ac:dyDescent="0.25">
      <c r="A839" t="s">
        <v>409</v>
      </c>
      <c r="B839" s="2">
        <v>45756</v>
      </c>
      <c r="C839" s="2"/>
      <c r="D839" s="2"/>
      <c r="E839" t="s">
        <v>2</v>
      </c>
      <c r="F839" t="s">
        <v>3</v>
      </c>
      <c r="G839" t="s">
        <v>0</v>
      </c>
      <c r="H839" t="s">
        <v>4</v>
      </c>
      <c r="I839" t="s">
        <v>410</v>
      </c>
      <c r="J839" t="s">
        <v>6</v>
      </c>
      <c r="K839" t="s">
        <v>26</v>
      </c>
      <c r="L839" t="s">
        <v>390</v>
      </c>
      <c r="M839" t="s">
        <v>391</v>
      </c>
      <c r="N839" t="s">
        <v>10</v>
      </c>
      <c r="O839" t="s">
        <v>0</v>
      </c>
      <c r="P839" t="s">
        <v>11</v>
      </c>
      <c r="Q839" s="5">
        <v>3</v>
      </c>
      <c r="R839" s="4">
        <v>64250</v>
      </c>
      <c r="S839" s="5">
        <v>1</v>
      </c>
      <c r="T839" s="4">
        <v>192750</v>
      </c>
      <c r="U839" s="5">
        <v>0</v>
      </c>
      <c r="V839" s="4">
        <v>0</v>
      </c>
      <c r="W839" s="5">
        <v>0</v>
      </c>
      <c r="X839" s="4">
        <v>0</v>
      </c>
      <c r="Y839" s="4">
        <f t="shared" si="26"/>
        <v>192750</v>
      </c>
      <c r="Z839" s="6" t="s">
        <v>0</v>
      </c>
      <c r="AA839" t="s">
        <v>2</v>
      </c>
      <c r="AB839" t="s">
        <v>12</v>
      </c>
      <c r="AC839">
        <f>_xlfn.XLOOKUP(AB839,'[1]GST Codes'!$A:$A,'[1]GST Codes'!$C:$C,0,0)</f>
        <v>18</v>
      </c>
      <c r="AD839">
        <f t="shared" si="27"/>
        <v>227445</v>
      </c>
      <c r="AE839" t="s">
        <v>13</v>
      </c>
      <c r="AF839" t="s">
        <v>0</v>
      </c>
      <c r="AG839" t="s">
        <v>14</v>
      </c>
      <c r="AH839" t="s">
        <v>15</v>
      </c>
      <c r="AI839" t="s">
        <v>16</v>
      </c>
      <c r="AJ839" t="s">
        <v>17</v>
      </c>
      <c r="AK839" t="s">
        <v>18</v>
      </c>
      <c r="AL839" t="s">
        <v>19</v>
      </c>
      <c r="AM839" t="s">
        <v>410</v>
      </c>
      <c r="AN839" t="s">
        <v>0</v>
      </c>
      <c r="AO839" t="s">
        <v>0</v>
      </c>
      <c r="AP839" t="s">
        <v>0</v>
      </c>
      <c r="AQ839" s="5">
        <v>3</v>
      </c>
      <c r="AR839" t="s">
        <v>11</v>
      </c>
      <c r="AS839" t="s">
        <v>0</v>
      </c>
      <c r="AT839" t="s">
        <v>17</v>
      </c>
      <c r="AU839" s="4">
        <v>0</v>
      </c>
      <c r="AV839" s="4">
        <v>0</v>
      </c>
      <c r="AW839" s="4">
        <v>0</v>
      </c>
      <c r="AX839" s="4">
        <v>0</v>
      </c>
      <c r="AY839" s="5">
        <v>0</v>
      </c>
      <c r="AZ839" s="5">
        <v>0</v>
      </c>
      <c r="BA839" s="5">
        <v>0</v>
      </c>
      <c r="BB839" s="2"/>
      <c r="BC839" t="s">
        <v>0</v>
      </c>
      <c r="BD839" s="5">
        <v>1</v>
      </c>
      <c r="BE839" t="s">
        <v>0</v>
      </c>
      <c r="BF839" t="s">
        <v>411</v>
      </c>
      <c r="BG839" t="s">
        <v>17</v>
      </c>
      <c r="BH839" t="s">
        <v>0</v>
      </c>
      <c r="BI839" t="s">
        <v>11</v>
      </c>
      <c r="BJ839" t="s">
        <v>0</v>
      </c>
      <c r="BK839" t="s">
        <v>0</v>
      </c>
      <c r="BL839" s="5">
        <v>0</v>
      </c>
      <c r="BM839" t="s">
        <v>0</v>
      </c>
      <c r="BN839" t="s">
        <v>0</v>
      </c>
      <c r="BO839" t="s">
        <v>0</v>
      </c>
      <c r="BP839" t="s">
        <v>17</v>
      </c>
      <c r="BQ839" t="s">
        <v>0</v>
      </c>
      <c r="BR839" t="s">
        <v>17</v>
      </c>
      <c r="BS839" t="s">
        <v>17</v>
      </c>
      <c r="BT839" t="s">
        <v>0</v>
      </c>
      <c r="BU839" t="s">
        <v>0</v>
      </c>
      <c r="BV839" t="s">
        <v>0</v>
      </c>
      <c r="BW839" t="s">
        <v>0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</row>
    <row r="840" spans="1:80" ht="13.95" customHeight="1" x14ac:dyDescent="0.25">
      <c r="A840" t="s">
        <v>409</v>
      </c>
      <c r="B840" s="2">
        <v>45756</v>
      </c>
      <c r="C840" s="2"/>
      <c r="D840" s="2"/>
      <c r="E840" t="s">
        <v>2</v>
      </c>
      <c r="F840" t="s">
        <v>3</v>
      </c>
      <c r="G840" t="s">
        <v>0</v>
      </c>
      <c r="H840" t="s">
        <v>4</v>
      </c>
      <c r="I840" t="s">
        <v>410</v>
      </c>
      <c r="J840" t="s">
        <v>6</v>
      </c>
      <c r="K840" t="s">
        <v>30</v>
      </c>
      <c r="L840" t="s">
        <v>390</v>
      </c>
      <c r="M840" t="s">
        <v>391</v>
      </c>
      <c r="N840" t="s">
        <v>10</v>
      </c>
      <c r="O840" t="s">
        <v>0</v>
      </c>
      <c r="P840" t="s">
        <v>11</v>
      </c>
      <c r="Q840" s="5">
        <v>3</v>
      </c>
      <c r="R840" s="4">
        <v>64250</v>
      </c>
      <c r="S840" s="5">
        <v>1</v>
      </c>
      <c r="T840" s="4">
        <v>192750</v>
      </c>
      <c r="U840" s="5">
        <v>0</v>
      </c>
      <c r="V840" s="4">
        <v>0</v>
      </c>
      <c r="W840" s="5">
        <v>0</v>
      </c>
      <c r="X840" s="4">
        <v>0</v>
      </c>
      <c r="Y840" s="4">
        <f t="shared" si="26"/>
        <v>192750</v>
      </c>
      <c r="Z840" s="6" t="s">
        <v>0</v>
      </c>
      <c r="AA840" t="s">
        <v>2</v>
      </c>
      <c r="AB840" t="s">
        <v>12</v>
      </c>
      <c r="AC840">
        <f>_xlfn.XLOOKUP(AB840,'[1]GST Codes'!$A:$A,'[1]GST Codes'!$C:$C,0,0)</f>
        <v>18</v>
      </c>
      <c r="AD840">
        <f t="shared" si="27"/>
        <v>227445</v>
      </c>
      <c r="AE840" t="s">
        <v>13</v>
      </c>
      <c r="AF840" t="s">
        <v>0</v>
      </c>
      <c r="AG840" t="s">
        <v>14</v>
      </c>
      <c r="AH840" t="s">
        <v>15</v>
      </c>
      <c r="AI840" t="s">
        <v>16</v>
      </c>
      <c r="AJ840" t="s">
        <v>17</v>
      </c>
      <c r="AK840" t="s">
        <v>18</v>
      </c>
      <c r="AL840" t="s">
        <v>19</v>
      </c>
      <c r="AM840" t="s">
        <v>410</v>
      </c>
      <c r="AN840" t="s">
        <v>0</v>
      </c>
      <c r="AO840" t="s">
        <v>0</v>
      </c>
      <c r="AP840" t="s">
        <v>0</v>
      </c>
      <c r="AQ840" s="5">
        <v>3</v>
      </c>
      <c r="AR840" t="s">
        <v>11</v>
      </c>
      <c r="AS840" t="s">
        <v>0</v>
      </c>
      <c r="AT840" t="s">
        <v>17</v>
      </c>
      <c r="AU840" s="4">
        <v>0</v>
      </c>
      <c r="AV840" s="4">
        <v>0</v>
      </c>
      <c r="AW840" s="4">
        <v>0</v>
      </c>
      <c r="AX840" s="4">
        <v>0</v>
      </c>
      <c r="AY840" s="5">
        <v>0</v>
      </c>
      <c r="AZ840" s="5">
        <v>0</v>
      </c>
      <c r="BA840" s="5">
        <v>0</v>
      </c>
      <c r="BB840" s="2"/>
      <c r="BC840" t="s">
        <v>0</v>
      </c>
      <c r="BD840" s="5">
        <v>1</v>
      </c>
      <c r="BE840" t="s">
        <v>0</v>
      </c>
      <c r="BF840" t="s">
        <v>411</v>
      </c>
      <c r="BG840" t="s">
        <v>17</v>
      </c>
      <c r="BH840" t="s">
        <v>0</v>
      </c>
      <c r="BI840" t="s">
        <v>11</v>
      </c>
      <c r="BJ840" t="s">
        <v>0</v>
      </c>
      <c r="BK840" t="s">
        <v>0</v>
      </c>
      <c r="BL840" s="5">
        <v>0</v>
      </c>
      <c r="BM840" t="s">
        <v>0</v>
      </c>
      <c r="BN840" t="s">
        <v>0</v>
      </c>
      <c r="BO840" t="s">
        <v>0</v>
      </c>
      <c r="BP840" t="s">
        <v>17</v>
      </c>
      <c r="BQ840" t="s">
        <v>0</v>
      </c>
      <c r="BR840" t="s">
        <v>17</v>
      </c>
      <c r="BS840" t="s">
        <v>17</v>
      </c>
      <c r="BT840" t="s">
        <v>0</v>
      </c>
      <c r="BU840" t="s">
        <v>0</v>
      </c>
      <c r="BV840" t="s">
        <v>0</v>
      </c>
      <c r="BW840" t="s">
        <v>0</v>
      </c>
      <c r="BX840" t="s">
        <v>0</v>
      </c>
      <c r="BY840" t="s">
        <v>0</v>
      </c>
      <c r="BZ840" t="s">
        <v>0</v>
      </c>
      <c r="CA840" t="s">
        <v>0</v>
      </c>
      <c r="CB840" t="s">
        <v>0</v>
      </c>
    </row>
    <row r="841" spans="1:80" ht="13.95" customHeight="1" x14ac:dyDescent="0.25">
      <c r="A841" t="s">
        <v>409</v>
      </c>
      <c r="B841" s="2">
        <v>45756</v>
      </c>
      <c r="C841" s="2"/>
      <c r="D841" s="2"/>
      <c r="E841" t="s">
        <v>2</v>
      </c>
      <c r="F841" t="s">
        <v>3</v>
      </c>
      <c r="G841" t="s">
        <v>0</v>
      </c>
      <c r="H841" t="s">
        <v>4</v>
      </c>
      <c r="I841" t="s">
        <v>410</v>
      </c>
      <c r="J841" t="s">
        <v>6</v>
      </c>
      <c r="K841" t="s">
        <v>34</v>
      </c>
      <c r="L841" t="s">
        <v>390</v>
      </c>
      <c r="M841" t="s">
        <v>391</v>
      </c>
      <c r="N841" t="s">
        <v>10</v>
      </c>
      <c r="O841" t="s">
        <v>0</v>
      </c>
      <c r="P841" t="s">
        <v>11</v>
      </c>
      <c r="Q841" s="5">
        <v>3</v>
      </c>
      <c r="R841" s="4">
        <v>64250</v>
      </c>
      <c r="S841" s="5">
        <v>1</v>
      </c>
      <c r="T841" s="4">
        <v>192750</v>
      </c>
      <c r="U841" s="5">
        <v>0</v>
      </c>
      <c r="V841" s="4">
        <v>0</v>
      </c>
      <c r="W841" s="5">
        <v>0</v>
      </c>
      <c r="X841" s="4">
        <v>0</v>
      </c>
      <c r="Y841" s="4">
        <f t="shared" si="26"/>
        <v>192750</v>
      </c>
      <c r="Z841" s="6" t="s">
        <v>0</v>
      </c>
      <c r="AA841" t="s">
        <v>2</v>
      </c>
      <c r="AB841" t="s">
        <v>12</v>
      </c>
      <c r="AC841">
        <f>_xlfn.XLOOKUP(AB841,'[1]GST Codes'!$A:$A,'[1]GST Codes'!$C:$C,0,0)</f>
        <v>18</v>
      </c>
      <c r="AD841">
        <f t="shared" si="27"/>
        <v>227445</v>
      </c>
      <c r="AE841" t="s">
        <v>13</v>
      </c>
      <c r="AF841" t="s">
        <v>0</v>
      </c>
      <c r="AG841" t="s">
        <v>14</v>
      </c>
      <c r="AH841" t="s">
        <v>15</v>
      </c>
      <c r="AI841" t="s">
        <v>16</v>
      </c>
      <c r="AJ841" t="s">
        <v>17</v>
      </c>
      <c r="AK841" t="s">
        <v>18</v>
      </c>
      <c r="AL841" t="s">
        <v>19</v>
      </c>
      <c r="AM841" t="s">
        <v>410</v>
      </c>
      <c r="AN841" t="s">
        <v>0</v>
      </c>
      <c r="AO841" t="s">
        <v>0</v>
      </c>
      <c r="AP841" t="s">
        <v>0</v>
      </c>
      <c r="AQ841" s="5">
        <v>3</v>
      </c>
      <c r="AR841" t="s">
        <v>11</v>
      </c>
      <c r="AS841" t="s">
        <v>0</v>
      </c>
      <c r="AT841" t="s">
        <v>17</v>
      </c>
      <c r="AU841" s="4">
        <v>0</v>
      </c>
      <c r="AV841" s="4">
        <v>0</v>
      </c>
      <c r="AW841" s="4">
        <v>0</v>
      </c>
      <c r="AX841" s="4">
        <v>0</v>
      </c>
      <c r="AY841" s="5">
        <v>0</v>
      </c>
      <c r="AZ841" s="5">
        <v>0</v>
      </c>
      <c r="BA841" s="5">
        <v>0</v>
      </c>
      <c r="BB841" s="2"/>
      <c r="BC841" t="s">
        <v>0</v>
      </c>
      <c r="BD841" s="5">
        <v>1</v>
      </c>
      <c r="BE841" t="s">
        <v>0</v>
      </c>
      <c r="BF841" t="s">
        <v>411</v>
      </c>
      <c r="BG841" t="s">
        <v>17</v>
      </c>
      <c r="BH841" t="s">
        <v>0</v>
      </c>
      <c r="BI841" t="s">
        <v>11</v>
      </c>
      <c r="BJ841" t="s">
        <v>0</v>
      </c>
      <c r="BK841" t="s">
        <v>0</v>
      </c>
      <c r="BL841" s="5">
        <v>0</v>
      </c>
      <c r="BM841" t="s">
        <v>0</v>
      </c>
      <c r="BN841" t="s">
        <v>0</v>
      </c>
      <c r="BO841" t="s">
        <v>0</v>
      </c>
      <c r="BP841" t="s">
        <v>17</v>
      </c>
      <c r="BQ841" t="s">
        <v>0</v>
      </c>
      <c r="BR841" t="s">
        <v>17</v>
      </c>
      <c r="BS841" t="s">
        <v>17</v>
      </c>
      <c r="BT841" t="s">
        <v>0</v>
      </c>
      <c r="BU841" t="s">
        <v>0</v>
      </c>
      <c r="BV841" t="s">
        <v>0</v>
      </c>
      <c r="BW841" t="s">
        <v>0</v>
      </c>
      <c r="BX841" t="s">
        <v>0</v>
      </c>
      <c r="BY841" t="s">
        <v>0</v>
      </c>
      <c r="BZ841" t="s">
        <v>0</v>
      </c>
      <c r="CA841" t="s">
        <v>0</v>
      </c>
      <c r="CB841" t="s">
        <v>0</v>
      </c>
    </row>
    <row r="842" spans="1:80" ht="13.95" customHeight="1" x14ac:dyDescent="0.25">
      <c r="A842" t="s">
        <v>409</v>
      </c>
      <c r="B842" s="2">
        <v>45756</v>
      </c>
      <c r="C842" s="2"/>
      <c r="D842" s="2"/>
      <c r="E842" t="s">
        <v>2</v>
      </c>
      <c r="F842" t="s">
        <v>3</v>
      </c>
      <c r="G842" t="s">
        <v>0</v>
      </c>
      <c r="H842" t="s">
        <v>4</v>
      </c>
      <c r="I842" t="s">
        <v>410</v>
      </c>
      <c r="J842" t="s">
        <v>6</v>
      </c>
      <c r="K842" t="s">
        <v>38</v>
      </c>
      <c r="L842" t="s">
        <v>390</v>
      </c>
      <c r="M842" t="s">
        <v>391</v>
      </c>
      <c r="N842" t="s">
        <v>10</v>
      </c>
      <c r="O842" t="s">
        <v>0</v>
      </c>
      <c r="P842" t="s">
        <v>11</v>
      </c>
      <c r="Q842" s="5">
        <v>3</v>
      </c>
      <c r="R842" s="4">
        <v>64250</v>
      </c>
      <c r="S842" s="5">
        <v>1</v>
      </c>
      <c r="T842" s="4">
        <v>192750</v>
      </c>
      <c r="U842" s="5">
        <v>0</v>
      </c>
      <c r="V842" s="4">
        <v>0</v>
      </c>
      <c r="W842" s="5">
        <v>0</v>
      </c>
      <c r="X842" s="4">
        <v>0</v>
      </c>
      <c r="Y842" s="4">
        <f t="shared" si="26"/>
        <v>192750</v>
      </c>
      <c r="Z842" s="6" t="s">
        <v>0</v>
      </c>
      <c r="AA842" t="s">
        <v>2</v>
      </c>
      <c r="AB842" t="s">
        <v>12</v>
      </c>
      <c r="AC842">
        <f>_xlfn.XLOOKUP(AB842,'[1]GST Codes'!$A:$A,'[1]GST Codes'!$C:$C,0,0)</f>
        <v>18</v>
      </c>
      <c r="AD842">
        <f t="shared" si="27"/>
        <v>227445</v>
      </c>
      <c r="AE842" t="s">
        <v>13</v>
      </c>
      <c r="AF842" t="s">
        <v>0</v>
      </c>
      <c r="AG842" t="s">
        <v>14</v>
      </c>
      <c r="AH842" t="s">
        <v>15</v>
      </c>
      <c r="AI842" t="s">
        <v>16</v>
      </c>
      <c r="AJ842" t="s">
        <v>17</v>
      </c>
      <c r="AK842" t="s">
        <v>18</v>
      </c>
      <c r="AL842" t="s">
        <v>19</v>
      </c>
      <c r="AM842" t="s">
        <v>410</v>
      </c>
      <c r="AN842" t="s">
        <v>0</v>
      </c>
      <c r="AO842" t="s">
        <v>0</v>
      </c>
      <c r="AP842" t="s">
        <v>0</v>
      </c>
      <c r="AQ842" s="5">
        <v>3</v>
      </c>
      <c r="AR842" t="s">
        <v>11</v>
      </c>
      <c r="AS842" t="s">
        <v>0</v>
      </c>
      <c r="AT842" t="s">
        <v>17</v>
      </c>
      <c r="AU842" s="4">
        <v>0</v>
      </c>
      <c r="AV842" s="4">
        <v>0</v>
      </c>
      <c r="AW842" s="4">
        <v>0</v>
      </c>
      <c r="AX842" s="4">
        <v>0</v>
      </c>
      <c r="AY842" s="5">
        <v>0</v>
      </c>
      <c r="AZ842" s="5">
        <v>0</v>
      </c>
      <c r="BA842" s="5">
        <v>0</v>
      </c>
      <c r="BB842" s="2"/>
      <c r="BC842" t="s">
        <v>0</v>
      </c>
      <c r="BD842" s="5">
        <v>1</v>
      </c>
      <c r="BE842" t="s">
        <v>0</v>
      </c>
      <c r="BF842" t="s">
        <v>411</v>
      </c>
      <c r="BG842" t="s">
        <v>17</v>
      </c>
      <c r="BH842" t="s">
        <v>0</v>
      </c>
      <c r="BI842" t="s">
        <v>11</v>
      </c>
      <c r="BJ842" t="s">
        <v>0</v>
      </c>
      <c r="BK842" t="s">
        <v>0</v>
      </c>
      <c r="BL842" s="5">
        <v>0</v>
      </c>
      <c r="BM842" t="s">
        <v>0</v>
      </c>
      <c r="BN842" t="s">
        <v>0</v>
      </c>
      <c r="BO842" t="s">
        <v>0</v>
      </c>
      <c r="BP842" t="s">
        <v>17</v>
      </c>
      <c r="BQ842" t="s">
        <v>0</v>
      </c>
      <c r="BR842" t="s">
        <v>17</v>
      </c>
      <c r="BS842" t="s">
        <v>17</v>
      </c>
      <c r="BT842" t="s">
        <v>0</v>
      </c>
      <c r="BU842" t="s">
        <v>0</v>
      </c>
      <c r="BV842" t="s">
        <v>0</v>
      </c>
      <c r="BW842" t="s">
        <v>0</v>
      </c>
      <c r="BX842" t="s">
        <v>0</v>
      </c>
      <c r="BY842" t="s">
        <v>0</v>
      </c>
      <c r="BZ842" t="s">
        <v>0</v>
      </c>
      <c r="CA842" t="s">
        <v>0</v>
      </c>
      <c r="CB842" t="s">
        <v>0</v>
      </c>
    </row>
    <row r="843" spans="1:80" ht="13.95" customHeight="1" x14ac:dyDescent="0.25">
      <c r="A843" t="s">
        <v>409</v>
      </c>
      <c r="B843" s="2">
        <v>45756</v>
      </c>
      <c r="C843" s="2"/>
      <c r="D843" s="2"/>
      <c r="E843" t="s">
        <v>2</v>
      </c>
      <c r="F843" t="s">
        <v>3</v>
      </c>
      <c r="G843" t="s">
        <v>0</v>
      </c>
      <c r="H843" t="s">
        <v>4</v>
      </c>
      <c r="I843" t="s">
        <v>410</v>
      </c>
      <c r="J843" t="s">
        <v>6</v>
      </c>
      <c r="K843" t="s">
        <v>42</v>
      </c>
      <c r="L843" t="s">
        <v>390</v>
      </c>
      <c r="M843" t="s">
        <v>391</v>
      </c>
      <c r="N843" t="s">
        <v>10</v>
      </c>
      <c r="O843" t="s">
        <v>0</v>
      </c>
      <c r="P843" t="s">
        <v>11</v>
      </c>
      <c r="Q843" s="5">
        <v>2</v>
      </c>
      <c r="R843" s="4">
        <v>64250</v>
      </c>
      <c r="S843" s="5">
        <v>1</v>
      </c>
      <c r="T843" s="4">
        <v>128500</v>
      </c>
      <c r="U843" s="5">
        <v>0</v>
      </c>
      <c r="V843" s="4">
        <v>0</v>
      </c>
      <c r="W843" s="5">
        <v>0</v>
      </c>
      <c r="X843" s="4">
        <v>0</v>
      </c>
      <c r="Y843" s="4">
        <f t="shared" si="26"/>
        <v>128500</v>
      </c>
      <c r="Z843" s="6" t="s">
        <v>0</v>
      </c>
      <c r="AA843" t="s">
        <v>2</v>
      </c>
      <c r="AB843" t="s">
        <v>12</v>
      </c>
      <c r="AC843">
        <f>_xlfn.XLOOKUP(AB843,'[1]GST Codes'!$A:$A,'[1]GST Codes'!$C:$C,0,0)</f>
        <v>18</v>
      </c>
      <c r="AD843">
        <f t="shared" si="27"/>
        <v>151630</v>
      </c>
      <c r="AE843" t="s">
        <v>13</v>
      </c>
      <c r="AF843" t="s">
        <v>0</v>
      </c>
      <c r="AG843" t="s">
        <v>14</v>
      </c>
      <c r="AH843" t="s">
        <v>15</v>
      </c>
      <c r="AI843" t="s">
        <v>16</v>
      </c>
      <c r="AJ843" t="s">
        <v>17</v>
      </c>
      <c r="AK843" t="s">
        <v>18</v>
      </c>
      <c r="AL843" t="s">
        <v>19</v>
      </c>
      <c r="AM843" t="s">
        <v>410</v>
      </c>
      <c r="AN843" t="s">
        <v>0</v>
      </c>
      <c r="AO843" t="s">
        <v>0</v>
      </c>
      <c r="AP843" t="s">
        <v>0</v>
      </c>
      <c r="AQ843" s="5">
        <v>2</v>
      </c>
      <c r="AR843" t="s">
        <v>11</v>
      </c>
      <c r="AS843" t="s">
        <v>0</v>
      </c>
      <c r="AT843" t="s">
        <v>17</v>
      </c>
      <c r="AU843" s="4">
        <v>0</v>
      </c>
      <c r="AV843" s="4">
        <v>0</v>
      </c>
      <c r="AW843" s="4">
        <v>0</v>
      </c>
      <c r="AX843" s="4">
        <v>0</v>
      </c>
      <c r="AY843" s="5">
        <v>0</v>
      </c>
      <c r="AZ843" s="5">
        <v>0</v>
      </c>
      <c r="BA843" s="5">
        <v>0</v>
      </c>
      <c r="BB843" s="2"/>
      <c r="BC843" t="s">
        <v>0</v>
      </c>
      <c r="BD843" s="5">
        <v>1</v>
      </c>
      <c r="BE843" t="s">
        <v>0</v>
      </c>
      <c r="BF843" t="s">
        <v>411</v>
      </c>
      <c r="BG843" t="s">
        <v>17</v>
      </c>
      <c r="BH843" t="s">
        <v>0</v>
      </c>
      <c r="BI843" t="s">
        <v>11</v>
      </c>
      <c r="BJ843" t="s">
        <v>0</v>
      </c>
      <c r="BK843" t="s">
        <v>0</v>
      </c>
      <c r="BL843" s="5">
        <v>0</v>
      </c>
      <c r="BM843" t="s">
        <v>0</v>
      </c>
      <c r="BN843" t="s">
        <v>0</v>
      </c>
      <c r="BO843" t="s">
        <v>0</v>
      </c>
      <c r="BP843" t="s">
        <v>17</v>
      </c>
      <c r="BQ843" t="s">
        <v>0</v>
      </c>
      <c r="BR843" t="s">
        <v>17</v>
      </c>
      <c r="BS843" t="s">
        <v>17</v>
      </c>
      <c r="BT843" t="s">
        <v>0</v>
      </c>
      <c r="BU843" t="s">
        <v>0</v>
      </c>
      <c r="BV843" t="s">
        <v>0</v>
      </c>
      <c r="BW843" t="s">
        <v>0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</row>
    <row r="844" spans="1:80" ht="13.95" customHeight="1" x14ac:dyDescent="0.25">
      <c r="A844" t="s">
        <v>409</v>
      </c>
      <c r="B844" s="2">
        <v>45756</v>
      </c>
      <c r="C844" s="2"/>
      <c r="D844" s="2"/>
      <c r="E844" t="s">
        <v>2</v>
      </c>
      <c r="F844" t="s">
        <v>3</v>
      </c>
      <c r="G844" t="s">
        <v>0</v>
      </c>
      <c r="H844" t="s">
        <v>4</v>
      </c>
      <c r="I844" t="s">
        <v>410</v>
      </c>
      <c r="J844" t="s">
        <v>6</v>
      </c>
      <c r="K844" t="s">
        <v>86</v>
      </c>
      <c r="L844" t="s">
        <v>386</v>
      </c>
      <c r="M844" t="s">
        <v>387</v>
      </c>
      <c r="N844" t="s">
        <v>10</v>
      </c>
      <c r="O844" t="s">
        <v>0</v>
      </c>
      <c r="P844" t="s">
        <v>11</v>
      </c>
      <c r="Q844" s="5">
        <v>3</v>
      </c>
      <c r="R844" s="4">
        <v>65750</v>
      </c>
      <c r="S844" s="5">
        <v>1</v>
      </c>
      <c r="T844" s="4">
        <v>197250</v>
      </c>
      <c r="U844" s="5">
        <v>0</v>
      </c>
      <c r="V844" s="4">
        <v>0</v>
      </c>
      <c r="W844" s="5">
        <v>0</v>
      </c>
      <c r="X844" s="4">
        <v>0</v>
      </c>
      <c r="Y844" s="4">
        <f t="shared" si="26"/>
        <v>197250</v>
      </c>
      <c r="Z844" s="6" t="s">
        <v>0</v>
      </c>
      <c r="AA844" t="s">
        <v>2</v>
      </c>
      <c r="AB844" t="s">
        <v>12</v>
      </c>
      <c r="AC844">
        <f>_xlfn.XLOOKUP(AB844,'[1]GST Codes'!$A:$A,'[1]GST Codes'!$C:$C,0,0)</f>
        <v>18</v>
      </c>
      <c r="AD844">
        <f t="shared" si="27"/>
        <v>232755</v>
      </c>
      <c r="AE844" t="s">
        <v>13</v>
      </c>
      <c r="AF844" t="s">
        <v>0</v>
      </c>
      <c r="AG844" t="s">
        <v>14</v>
      </c>
      <c r="AH844" t="s">
        <v>15</v>
      </c>
      <c r="AI844" t="s">
        <v>16</v>
      </c>
      <c r="AJ844" t="s">
        <v>17</v>
      </c>
      <c r="AK844" t="s">
        <v>18</v>
      </c>
      <c r="AL844" t="s">
        <v>19</v>
      </c>
      <c r="AM844" t="s">
        <v>410</v>
      </c>
      <c r="AN844" t="s">
        <v>0</v>
      </c>
      <c r="AO844" t="s">
        <v>0</v>
      </c>
      <c r="AP844" t="s">
        <v>0</v>
      </c>
      <c r="AQ844" s="5">
        <v>3</v>
      </c>
      <c r="AR844" t="s">
        <v>11</v>
      </c>
      <c r="AS844" t="s">
        <v>0</v>
      </c>
      <c r="AT844" t="s">
        <v>17</v>
      </c>
      <c r="AU844" s="4">
        <v>0</v>
      </c>
      <c r="AV844" s="4">
        <v>0</v>
      </c>
      <c r="AW844" s="4">
        <v>0</v>
      </c>
      <c r="AX844" s="4">
        <v>0</v>
      </c>
      <c r="AY844" s="5">
        <v>0</v>
      </c>
      <c r="AZ844" s="5">
        <v>0</v>
      </c>
      <c r="BA844" s="5">
        <v>0</v>
      </c>
      <c r="BB844" s="2"/>
      <c r="BC844" t="s">
        <v>0</v>
      </c>
      <c r="BD844" s="5">
        <v>1</v>
      </c>
      <c r="BE844" t="s">
        <v>0</v>
      </c>
      <c r="BF844" t="s">
        <v>412</v>
      </c>
      <c r="BG844" t="s">
        <v>17</v>
      </c>
      <c r="BH844" t="s">
        <v>0</v>
      </c>
      <c r="BI844" t="s">
        <v>11</v>
      </c>
      <c r="BJ844" t="s">
        <v>0</v>
      </c>
      <c r="BK844" t="s">
        <v>0</v>
      </c>
      <c r="BL844" s="5">
        <v>0</v>
      </c>
      <c r="BM844" t="s">
        <v>0</v>
      </c>
      <c r="BN844" t="s">
        <v>0</v>
      </c>
      <c r="BO844" t="s">
        <v>0</v>
      </c>
      <c r="BP844" t="s">
        <v>17</v>
      </c>
      <c r="BQ844" t="s">
        <v>0</v>
      </c>
      <c r="BR844" t="s">
        <v>17</v>
      </c>
      <c r="BS844" t="s">
        <v>17</v>
      </c>
      <c r="BT844" t="s">
        <v>0</v>
      </c>
      <c r="BU844" t="s">
        <v>0</v>
      </c>
      <c r="BV844" t="s">
        <v>0</v>
      </c>
      <c r="BW844" t="s">
        <v>0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</row>
    <row r="845" spans="1:80" ht="13.95" customHeight="1" x14ac:dyDescent="0.25">
      <c r="A845" t="s">
        <v>409</v>
      </c>
      <c r="B845" s="2">
        <v>45756</v>
      </c>
      <c r="C845" s="2"/>
      <c r="D845" s="2"/>
      <c r="E845" t="s">
        <v>2</v>
      </c>
      <c r="F845" t="s">
        <v>3</v>
      </c>
      <c r="G845" t="s">
        <v>0</v>
      </c>
      <c r="H845" t="s">
        <v>4</v>
      </c>
      <c r="I845" t="s">
        <v>410</v>
      </c>
      <c r="J845" t="s">
        <v>6</v>
      </c>
      <c r="K845" t="s">
        <v>87</v>
      </c>
      <c r="L845" t="s">
        <v>386</v>
      </c>
      <c r="M845" t="s">
        <v>387</v>
      </c>
      <c r="N845" t="s">
        <v>10</v>
      </c>
      <c r="O845" t="s">
        <v>0</v>
      </c>
      <c r="P845" t="s">
        <v>11</v>
      </c>
      <c r="Q845" s="5">
        <v>3</v>
      </c>
      <c r="R845" s="4">
        <v>65750</v>
      </c>
      <c r="S845" s="5">
        <v>1</v>
      </c>
      <c r="T845" s="4">
        <v>197250</v>
      </c>
      <c r="U845" s="5">
        <v>0</v>
      </c>
      <c r="V845" s="4">
        <v>0</v>
      </c>
      <c r="W845" s="5">
        <v>0</v>
      </c>
      <c r="X845" s="4">
        <v>0</v>
      </c>
      <c r="Y845" s="4">
        <f t="shared" si="26"/>
        <v>197250</v>
      </c>
      <c r="Z845" s="6" t="s">
        <v>0</v>
      </c>
      <c r="AA845" t="s">
        <v>2</v>
      </c>
      <c r="AB845" t="s">
        <v>12</v>
      </c>
      <c r="AC845">
        <f>_xlfn.XLOOKUP(AB845,'[1]GST Codes'!$A:$A,'[1]GST Codes'!$C:$C,0,0)</f>
        <v>18</v>
      </c>
      <c r="AD845">
        <f t="shared" si="27"/>
        <v>232755</v>
      </c>
      <c r="AE845" t="s">
        <v>13</v>
      </c>
      <c r="AF845" t="s">
        <v>0</v>
      </c>
      <c r="AG845" t="s">
        <v>14</v>
      </c>
      <c r="AH845" t="s">
        <v>15</v>
      </c>
      <c r="AI845" t="s">
        <v>16</v>
      </c>
      <c r="AJ845" t="s">
        <v>17</v>
      </c>
      <c r="AK845" t="s">
        <v>18</v>
      </c>
      <c r="AL845" t="s">
        <v>19</v>
      </c>
      <c r="AM845" t="s">
        <v>410</v>
      </c>
      <c r="AN845" t="s">
        <v>0</v>
      </c>
      <c r="AO845" t="s">
        <v>0</v>
      </c>
      <c r="AP845" t="s">
        <v>0</v>
      </c>
      <c r="AQ845" s="5">
        <v>3</v>
      </c>
      <c r="AR845" t="s">
        <v>11</v>
      </c>
      <c r="AS845" t="s">
        <v>0</v>
      </c>
      <c r="AT845" t="s">
        <v>17</v>
      </c>
      <c r="AU845" s="4">
        <v>0</v>
      </c>
      <c r="AV845" s="4">
        <v>0</v>
      </c>
      <c r="AW845" s="4">
        <v>0</v>
      </c>
      <c r="AX845" s="4">
        <v>0</v>
      </c>
      <c r="AY845" s="5">
        <v>0</v>
      </c>
      <c r="AZ845" s="5">
        <v>0</v>
      </c>
      <c r="BA845" s="5">
        <v>0</v>
      </c>
      <c r="BB845" s="2"/>
      <c r="BC845" t="s">
        <v>0</v>
      </c>
      <c r="BD845" s="5">
        <v>1</v>
      </c>
      <c r="BE845" t="s">
        <v>0</v>
      </c>
      <c r="BF845" t="s">
        <v>412</v>
      </c>
      <c r="BG845" t="s">
        <v>17</v>
      </c>
      <c r="BH845" t="s">
        <v>0</v>
      </c>
      <c r="BI845" t="s">
        <v>11</v>
      </c>
      <c r="BJ845" t="s">
        <v>0</v>
      </c>
      <c r="BK845" t="s">
        <v>0</v>
      </c>
      <c r="BL845" s="5">
        <v>0</v>
      </c>
      <c r="BM845" t="s">
        <v>0</v>
      </c>
      <c r="BN845" t="s">
        <v>0</v>
      </c>
      <c r="BO845" t="s">
        <v>0</v>
      </c>
      <c r="BP845" t="s">
        <v>17</v>
      </c>
      <c r="BQ845" t="s">
        <v>0</v>
      </c>
      <c r="BR845" t="s">
        <v>17</v>
      </c>
      <c r="BS845" t="s">
        <v>17</v>
      </c>
      <c r="BT845" t="s">
        <v>0</v>
      </c>
      <c r="BU845" t="s">
        <v>0</v>
      </c>
      <c r="BV845" t="s">
        <v>0</v>
      </c>
      <c r="BW845" t="s">
        <v>0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</row>
    <row r="846" spans="1:80" ht="13.95" customHeight="1" x14ac:dyDescent="0.25">
      <c r="A846" t="s">
        <v>409</v>
      </c>
      <c r="B846" s="2">
        <v>45756</v>
      </c>
      <c r="C846" s="2"/>
      <c r="D846" s="2"/>
      <c r="E846" t="s">
        <v>2</v>
      </c>
      <c r="F846" t="s">
        <v>3</v>
      </c>
      <c r="G846" t="s">
        <v>0</v>
      </c>
      <c r="H846" t="s">
        <v>4</v>
      </c>
      <c r="I846" t="s">
        <v>410</v>
      </c>
      <c r="J846" t="s">
        <v>6</v>
      </c>
      <c r="K846" t="s">
        <v>88</v>
      </c>
      <c r="L846" t="s">
        <v>386</v>
      </c>
      <c r="M846" t="s">
        <v>387</v>
      </c>
      <c r="N846" t="s">
        <v>10</v>
      </c>
      <c r="O846" t="s">
        <v>0</v>
      </c>
      <c r="P846" t="s">
        <v>11</v>
      </c>
      <c r="Q846" s="5">
        <v>3</v>
      </c>
      <c r="R846" s="4">
        <v>65750</v>
      </c>
      <c r="S846" s="5">
        <v>1</v>
      </c>
      <c r="T846" s="4">
        <v>197250</v>
      </c>
      <c r="U846" s="5">
        <v>0</v>
      </c>
      <c r="V846" s="4">
        <v>0</v>
      </c>
      <c r="W846" s="5">
        <v>0</v>
      </c>
      <c r="X846" s="4">
        <v>0</v>
      </c>
      <c r="Y846" s="4">
        <f t="shared" si="26"/>
        <v>197250</v>
      </c>
      <c r="Z846" s="6" t="s">
        <v>0</v>
      </c>
      <c r="AA846" t="s">
        <v>2</v>
      </c>
      <c r="AB846" t="s">
        <v>12</v>
      </c>
      <c r="AC846">
        <f>_xlfn.XLOOKUP(AB846,'[1]GST Codes'!$A:$A,'[1]GST Codes'!$C:$C,0,0)</f>
        <v>18</v>
      </c>
      <c r="AD846">
        <f t="shared" si="27"/>
        <v>232755</v>
      </c>
      <c r="AE846" t="s">
        <v>13</v>
      </c>
      <c r="AF846" t="s">
        <v>0</v>
      </c>
      <c r="AG846" t="s">
        <v>14</v>
      </c>
      <c r="AH846" t="s">
        <v>15</v>
      </c>
      <c r="AI846" t="s">
        <v>16</v>
      </c>
      <c r="AJ846" t="s">
        <v>17</v>
      </c>
      <c r="AK846" t="s">
        <v>18</v>
      </c>
      <c r="AL846" t="s">
        <v>19</v>
      </c>
      <c r="AM846" t="s">
        <v>410</v>
      </c>
      <c r="AN846" t="s">
        <v>0</v>
      </c>
      <c r="AO846" t="s">
        <v>0</v>
      </c>
      <c r="AP846" t="s">
        <v>0</v>
      </c>
      <c r="AQ846" s="5">
        <v>3</v>
      </c>
      <c r="AR846" t="s">
        <v>11</v>
      </c>
      <c r="AS846" t="s">
        <v>0</v>
      </c>
      <c r="AT846" t="s">
        <v>17</v>
      </c>
      <c r="AU846" s="4">
        <v>0</v>
      </c>
      <c r="AV846" s="4">
        <v>0</v>
      </c>
      <c r="AW846" s="4">
        <v>0</v>
      </c>
      <c r="AX846" s="4">
        <v>0</v>
      </c>
      <c r="AY846" s="5">
        <v>0</v>
      </c>
      <c r="AZ846" s="5">
        <v>0</v>
      </c>
      <c r="BA846" s="5">
        <v>0</v>
      </c>
      <c r="BB846" s="2"/>
      <c r="BC846" t="s">
        <v>0</v>
      </c>
      <c r="BD846" s="5">
        <v>1</v>
      </c>
      <c r="BE846" t="s">
        <v>0</v>
      </c>
      <c r="BF846" t="s">
        <v>412</v>
      </c>
      <c r="BG846" t="s">
        <v>17</v>
      </c>
      <c r="BH846" t="s">
        <v>0</v>
      </c>
      <c r="BI846" t="s">
        <v>11</v>
      </c>
      <c r="BJ846" t="s">
        <v>0</v>
      </c>
      <c r="BK846" t="s">
        <v>0</v>
      </c>
      <c r="BL846" s="5">
        <v>0</v>
      </c>
      <c r="BM846" t="s">
        <v>0</v>
      </c>
      <c r="BN846" t="s">
        <v>0</v>
      </c>
      <c r="BO846" t="s">
        <v>0</v>
      </c>
      <c r="BP846" t="s">
        <v>17</v>
      </c>
      <c r="BQ846" t="s">
        <v>0</v>
      </c>
      <c r="BR846" t="s">
        <v>17</v>
      </c>
      <c r="BS846" t="s">
        <v>17</v>
      </c>
      <c r="BT846" t="s">
        <v>0</v>
      </c>
      <c r="BU846" t="s">
        <v>0</v>
      </c>
      <c r="BV846" t="s">
        <v>0</v>
      </c>
      <c r="BW846" t="s">
        <v>0</v>
      </c>
      <c r="BX846" t="s">
        <v>0</v>
      </c>
      <c r="BY846" t="s">
        <v>0</v>
      </c>
      <c r="BZ846" t="s">
        <v>0</v>
      </c>
      <c r="CA846" t="s">
        <v>0</v>
      </c>
      <c r="CB846" t="s">
        <v>0</v>
      </c>
    </row>
    <row r="847" spans="1:80" ht="13.95" customHeight="1" x14ac:dyDescent="0.25">
      <c r="A847" t="s">
        <v>409</v>
      </c>
      <c r="B847" s="2">
        <v>45756</v>
      </c>
      <c r="C847" s="2"/>
      <c r="D847" s="2"/>
      <c r="E847" t="s">
        <v>2</v>
      </c>
      <c r="F847" t="s">
        <v>3</v>
      </c>
      <c r="G847" t="s">
        <v>0</v>
      </c>
      <c r="H847" t="s">
        <v>4</v>
      </c>
      <c r="I847" t="s">
        <v>410</v>
      </c>
      <c r="J847" t="s">
        <v>6</v>
      </c>
      <c r="K847" t="s">
        <v>89</v>
      </c>
      <c r="L847" t="s">
        <v>386</v>
      </c>
      <c r="M847" t="s">
        <v>387</v>
      </c>
      <c r="N847" t="s">
        <v>10</v>
      </c>
      <c r="O847" t="s">
        <v>0</v>
      </c>
      <c r="P847" t="s">
        <v>11</v>
      </c>
      <c r="Q847" s="5">
        <v>3</v>
      </c>
      <c r="R847" s="4">
        <v>65750</v>
      </c>
      <c r="S847" s="5">
        <v>1</v>
      </c>
      <c r="T847" s="4">
        <v>197250</v>
      </c>
      <c r="U847" s="5">
        <v>0</v>
      </c>
      <c r="V847" s="4">
        <v>0</v>
      </c>
      <c r="W847" s="5">
        <v>0</v>
      </c>
      <c r="X847" s="4">
        <v>0</v>
      </c>
      <c r="Y847" s="4">
        <f t="shared" si="26"/>
        <v>197250</v>
      </c>
      <c r="Z847" s="6" t="s">
        <v>0</v>
      </c>
      <c r="AA847" t="s">
        <v>2</v>
      </c>
      <c r="AB847" t="s">
        <v>12</v>
      </c>
      <c r="AC847">
        <f>_xlfn.XLOOKUP(AB847,'[1]GST Codes'!$A:$A,'[1]GST Codes'!$C:$C,0,0)</f>
        <v>18</v>
      </c>
      <c r="AD847">
        <f t="shared" si="27"/>
        <v>232755</v>
      </c>
      <c r="AE847" t="s">
        <v>13</v>
      </c>
      <c r="AF847" t="s">
        <v>0</v>
      </c>
      <c r="AG847" t="s">
        <v>14</v>
      </c>
      <c r="AH847" t="s">
        <v>15</v>
      </c>
      <c r="AI847" t="s">
        <v>16</v>
      </c>
      <c r="AJ847" t="s">
        <v>17</v>
      </c>
      <c r="AK847" t="s">
        <v>18</v>
      </c>
      <c r="AL847" t="s">
        <v>19</v>
      </c>
      <c r="AM847" t="s">
        <v>410</v>
      </c>
      <c r="AN847" t="s">
        <v>0</v>
      </c>
      <c r="AO847" t="s">
        <v>0</v>
      </c>
      <c r="AP847" t="s">
        <v>0</v>
      </c>
      <c r="AQ847" s="5">
        <v>3</v>
      </c>
      <c r="AR847" t="s">
        <v>11</v>
      </c>
      <c r="AS847" t="s">
        <v>0</v>
      </c>
      <c r="AT847" t="s">
        <v>17</v>
      </c>
      <c r="AU847" s="4">
        <v>0</v>
      </c>
      <c r="AV847" s="4">
        <v>0</v>
      </c>
      <c r="AW847" s="4">
        <v>0</v>
      </c>
      <c r="AX847" s="4">
        <v>0</v>
      </c>
      <c r="AY847" s="5">
        <v>0</v>
      </c>
      <c r="AZ847" s="5">
        <v>0</v>
      </c>
      <c r="BA847" s="5">
        <v>0</v>
      </c>
      <c r="BB847" s="2"/>
      <c r="BC847" t="s">
        <v>0</v>
      </c>
      <c r="BD847" s="5">
        <v>1</v>
      </c>
      <c r="BE847" t="s">
        <v>0</v>
      </c>
      <c r="BF847" t="s">
        <v>412</v>
      </c>
      <c r="BG847" t="s">
        <v>17</v>
      </c>
      <c r="BH847" t="s">
        <v>0</v>
      </c>
      <c r="BI847" t="s">
        <v>11</v>
      </c>
      <c r="BJ847" t="s">
        <v>0</v>
      </c>
      <c r="BK847" t="s">
        <v>0</v>
      </c>
      <c r="BL847" s="5">
        <v>0</v>
      </c>
      <c r="BM847" t="s">
        <v>0</v>
      </c>
      <c r="BN847" t="s">
        <v>0</v>
      </c>
      <c r="BO847" t="s">
        <v>0</v>
      </c>
      <c r="BP847" t="s">
        <v>17</v>
      </c>
      <c r="BQ847" t="s">
        <v>0</v>
      </c>
      <c r="BR847" t="s">
        <v>17</v>
      </c>
      <c r="BS847" t="s">
        <v>17</v>
      </c>
      <c r="BT847" t="s">
        <v>0</v>
      </c>
      <c r="BU847" t="s">
        <v>0</v>
      </c>
      <c r="BV847" t="s">
        <v>0</v>
      </c>
      <c r="BW847" t="s">
        <v>0</v>
      </c>
      <c r="BX847" t="s">
        <v>0</v>
      </c>
      <c r="BY847" t="s">
        <v>0</v>
      </c>
      <c r="BZ847" t="s">
        <v>0</v>
      </c>
      <c r="CA847" t="s">
        <v>0</v>
      </c>
      <c r="CB847" t="s">
        <v>0</v>
      </c>
    </row>
    <row r="848" spans="1:80" ht="13.95" customHeight="1" x14ac:dyDescent="0.25">
      <c r="A848" t="s">
        <v>409</v>
      </c>
      <c r="B848" s="2">
        <v>45756</v>
      </c>
      <c r="C848" s="2"/>
      <c r="D848" s="2"/>
      <c r="E848" t="s">
        <v>2</v>
      </c>
      <c r="F848" t="s">
        <v>3</v>
      </c>
      <c r="G848" t="s">
        <v>0</v>
      </c>
      <c r="H848" t="s">
        <v>4</v>
      </c>
      <c r="I848" t="s">
        <v>410</v>
      </c>
      <c r="J848" t="s">
        <v>6</v>
      </c>
      <c r="K848" t="s">
        <v>90</v>
      </c>
      <c r="L848" t="s">
        <v>386</v>
      </c>
      <c r="M848" t="s">
        <v>387</v>
      </c>
      <c r="N848" t="s">
        <v>10</v>
      </c>
      <c r="O848" t="s">
        <v>0</v>
      </c>
      <c r="P848" t="s">
        <v>11</v>
      </c>
      <c r="Q848" s="5">
        <v>3</v>
      </c>
      <c r="R848" s="4">
        <v>65750</v>
      </c>
      <c r="S848" s="5">
        <v>1</v>
      </c>
      <c r="T848" s="4">
        <v>197250</v>
      </c>
      <c r="U848" s="5">
        <v>0</v>
      </c>
      <c r="V848" s="4">
        <v>0</v>
      </c>
      <c r="W848" s="5">
        <v>0</v>
      </c>
      <c r="X848" s="4">
        <v>0</v>
      </c>
      <c r="Y848" s="4">
        <f t="shared" si="26"/>
        <v>197250</v>
      </c>
      <c r="Z848" s="6" t="s">
        <v>0</v>
      </c>
      <c r="AA848" t="s">
        <v>2</v>
      </c>
      <c r="AB848" t="s">
        <v>12</v>
      </c>
      <c r="AC848">
        <f>_xlfn.XLOOKUP(AB848,'[1]GST Codes'!$A:$A,'[1]GST Codes'!$C:$C,0,0)</f>
        <v>18</v>
      </c>
      <c r="AD848">
        <f t="shared" si="27"/>
        <v>232755</v>
      </c>
      <c r="AE848" t="s">
        <v>13</v>
      </c>
      <c r="AF848" t="s">
        <v>0</v>
      </c>
      <c r="AG848" t="s">
        <v>14</v>
      </c>
      <c r="AH848" t="s">
        <v>15</v>
      </c>
      <c r="AI848" t="s">
        <v>16</v>
      </c>
      <c r="AJ848" t="s">
        <v>17</v>
      </c>
      <c r="AK848" t="s">
        <v>18</v>
      </c>
      <c r="AL848" t="s">
        <v>19</v>
      </c>
      <c r="AM848" t="s">
        <v>410</v>
      </c>
      <c r="AN848" t="s">
        <v>0</v>
      </c>
      <c r="AO848" t="s">
        <v>0</v>
      </c>
      <c r="AP848" t="s">
        <v>0</v>
      </c>
      <c r="AQ848" s="5">
        <v>3</v>
      </c>
      <c r="AR848" t="s">
        <v>11</v>
      </c>
      <c r="AS848" t="s">
        <v>0</v>
      </c>
      <c r="AT848" t="s">
        <v>17</v>
      </c>
      <c r="AU848" s="4">
        <v>0</v>
      </c>
      <c r="AV848" s="4">
        <v>0</v>
      </c>
      <c r="AW848" s="4">
        <v>0</v>
      </c>
      <c r="AX848" s="4">
        <v>0</v>
      </c>
      <c r="AY848" s="5">
        <v>0</v>
      </c>
      <c r="AZ848" s="5">
        <v>0</v>
      </c>
      <c r="BA848" s="5">
        <v>0</v>
      </c>
      <c r="BB848" s="2"/>
      <c r="BC848" t="s">
        <v>0</v>
      </c>
      <c r="BD848" s="5">
        <v>1</v>
      </c>
      <c r="BE848" t="s">
        <v>0</v>
      </c>
      <c r="BF848" t="s">
        <v>412</v>
      </c>
      <c r="BG848" t="s">
        <v>17</v>
      </c>
      <c r="BH848" t="s">
        <v>0</v>
      </c>
      <c r="BI848" t="s">
        <v>11</v>
      </c>
      <c r="BJ848" t="s">
        <v>0</v>
      </c>
      <c r="BK848" t="s">
        <v>0</v>
      </c>
      <c r="BL848" s="5">
        <v>0</v>
      </c>
      <c r="BM848" t="s">
        <v>0</v>
      </c>
      <c r="BN848" t="s">
        <v>0</v>
      </c>
      <c r="BO848" t="s">
        <v>0</v>
      </c>
      <c r="BP848" t="s">
        <v>17</v>
      </c>
      <c r="BQ848" t="s">
        <v>0</v>
      </c>
      <c r="BR848" t="s">
        <v>17</v>
      </c>
      <c r="BS848" t="s">
        <v>17</v>
      </c>
      <c r="BT848" t="s">
        <v>0</v>
      </c>
      <c r="BU848" t="s">
        <v>0</v>
      </c>
      <c r="BV848" t="s">
        <v>0</v>
      </c>
      <c r="BW848" t="s">
        <v>0</v>
      </c>
      <c r="BX848" t="s">
        <v>0</v>
      </c>
      <c r="BY848" t="s">
        <v>0</v>
      </c>
      <c r="BZ848" t="s">
        <v>0</v>
      </c>
      <c r="CA848" t="s">
        <v>0</v>
      </c>
      <c r="CB848" t="s">
        <v>0</v>
      </c>
    </row>
    <row r="849" spans="1:80" ht="13.95" customHeight="1" x14ac:dyDescent="0.25">
      <c r="A849" t="s">
        <v>409</v>
      </c>
      <c r="B849" s="2">
        <v>45756</v>
      </c>
      <c r="C849" s="2"/>
      <c r="D849" s="2"/>
      <c r="E849" t="s">
        <v>2</v>
      </c>
      <c r="F849" t="s">
        <v>3</v>
      </c>
      <c r="G849" t="s">
        <v>0</v>
      </c>
      <c r="H849" t="s">
        <v>4</v>
      </c>
      <c r="I849" t="s">
        <v>410</v>
      </c>
      <c r="J849" t="s">
        <v>6</v>
      </c>
      <c r="K849" t="s">
        <v>177</v>
      </c>
      <c r="L849" t="s">
        <v>386</v>
      </c>
      <c r="M849" t="s">
        <v>387</v>
      </c>
      <c r="N849" t="s">
        <v>10</v>
      </c>
      <c r="O849" t="s">
        <v>0</v>
      </c>
      <c r="P849" t="s">
        <v>11</v>
      </c>
      <c r="Q849" s="5">
        <v>3</v>
      </c>
      <c r="R849" s="4">
        <v>65750</v>
      </c>
      <c r="S849" s="5">
        <v>1</v>
      </c>
      <c r="T849" s="4">
        <v>197250</v>
      </c>
      <c r="U849" s="5">
        <v>0</v>
      </c>
      <c r="V849" s="4">
        <v>0</v>
      </c>
      <c r="W849" s="5">
        <v>0</v>
      </c>
      <c r="X849" s="4">
        <v>0</v>
      </c>
      <c r="Y849" s="4">
        <f t="shared" si="26"/>
        <v>197250</v>
      </c>
      <c r="Z849" s="6" t="s">
        <v>0</v>
      </c>
      <c r="AA849" t="s">
        <v>2</v>
      </c>
      <c r="AB849" t="s">
        <v>12</v>
      </c>
      <c r="AC849">
        <f>_xlfn.XLOOKUP(AB849,'[1]GST Codes'!$A:$A,'[1]GST Codes'!$C:$C,0,0)</f>
        <v>18</v>
      </c>
      <c r="AD849">
        <f t="shared" si="27"/>
        <v>232755</v>
      </c>
      <c r="AE849" t="s">
        <v>13</v>
      </c>
      <c r="AF849" t="s">
        <v>0</v>
      </c>
      <c r="AG849" t="s">
        <v>14</v>
      </c>
      <c r="AH849" t="s">
        <v>15</v>
      </c>
      <c r="AI849" t="s">
        <v>16</v>
      </c>
      <c r="AJ849" t="s">
        <v>17</v>
      </c>
      <c r="AK849" t="s">
        <v>18</v>
      </c>
      <c r="AL849" t="s">
        <v>19</v>
      </c>
      <c r="AM849" t="s">
        <v>410</v>
      </c>
      <c r="AN849" t="s">
        <v>0</v>
      </c>
      <c r="AO849" t="s">
        <v>0</v>
      </c>
      <c r="AP849" t="s">
        <v>0</v>
      </c>
      <c r="AQ849" s="5">
        <v>3</v>
      </c>
      <c r="AR849" t="s">
        <v>11</v>
      </c>
      <c r="AS849" t="s">
        <v>0</v>
      </c>
      <c r="AT849" t="s">
        <v>17</v>
      </c>
      <c r="AU849" s="4">
        <v>0</v>
      </c>
      <c r="AV849" s="4">
        <v>0</v>
      </c>
      <c r="AW849" s="4">
        <v>0</v>
      </c>
      <c r="AX849" s="4">
        <v>0</v>
      </c>
      <c r="AY849" s="5">
        <v>0</v>
      </c>
      <c r="AZ849" s="5">
        <v>0</v>
      </c>
      <c r="BA849" s="5">
        <v>0</v>
      </c>
      <c r="BB849" s="2"/>
      <c r="BC849" t="s">
        <v>0</v>
      </c>
      <c r="BD849" s="5">
        <v>1</v>
      </c>
      <c r="BE849" t="s">
        <v>0</v>
      </c>
      <c r="BF849" t="s">
        <v>412</v>
      </c>
      <c r="BG849" t="s">
        <v>17</v>
      </c>
      <c r="BH849" t="s">
        <v>0</v>
      </c>
      <c r="BI849" t="s">
        <v>11</v>
      </c>
      <c r="BJ849" t="s">
        <v>0</v>
      </c>
      <c r="BK849" t="s">
        <v>0</v>
      </c>
      <c r="BL849" s="5">
        <v>0</v>
      </c>
      <c r="BM849" t="s">
        <v>0</v>
      </c>
      <c r="BN849" t="s">
        <v>0</v>
      </c>
      <c r="BO849" t="s">
        <v>0</v>
      </c>
      <c r="BP849" t="s">
        <v>17</v>
      </c>
      <c r="BQ849" t="s">
        <v>0</v>
      </c>
      <c r="BR849" t="s">
        <v>17</v>
      </c>
      <c r="BS849" t="s">
        <v>17</v>
      </c>
      <c r="BT849" t="s">
        <v>0</v>
      </c>
      <c r="BU849" t="s">
        <v>0</v>
      </c>
      <c r="BV849" t="s">
        <v>0</v>
      </c>
      <c r="BW849" t="s">
        <v>0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</row>
    <row r="850" spans="1:80" ht="13.95" customHeight="1" x14ac:dyDescent="0.25">
      <c r="A850" t="s">
        <v>409</v>
      </c>
      <c r="B850" s="2">
        <v>45756</v>
      </c>
      <c r="C850" s="2"/>
      <c r="D850" s="2"/>
      <c r="E850" t="s">
        <v>2</v>
      </c>
      <c r="F850" t="s">
        <v>3</v>
      </c>
      <c r="G850" t="s">
        <v>0</v>
      </c>
      <c r="H850" t="s">
        <v>4</v>
      </c>
      <c r="I850" t="s">
        <v>410</v>
      </c>
      <c r="J850" t="s">
        <v>6</v>
      </c>
      <c r="K850" t="s">
        <v>181</v>
      </c>
      <c r="L850" t="s">
        <v>386</v>
      </c>
      <c r="M850" t="s">
        <v>387</v>
      </c>
      <c r="N850" t="s">
        <v>10</v>
      </c>
      <c r="O850" t="s">
        <v>0</v>
      </c>
      <c r="P850" t="s">
        <v>11</v>
      </c>
      <c r="Q850" s="5">
        <v>2</v>
      </c>
      <c r="R850" s="4">
        <v>65750</v>
      </c>
      <c r="S850" s="5">
        <v>1</v>
      </c>
      <c r="T850" s="4">
        <v>131500</v>
      </c>
      <c r="U850" s="5">
        <v>0</v>
      </c>
      <c r="V850" s="4">
        <v>0</v>
      </c>
      <c r="W850" s="5">
        <v>0</v>
      </c>
      <c r="X850" s="4">
        <v>0</v>
      </c>
      <c r="Y850" s="4">
        <f t="shared" si="26"/>
        <v>131500</v>
      </c>
      <c r="Z850" s="6" t="s">
        <v>0</v>
      </c>
      <c r="AA850" t="s">
        <v>2</v>
      </c>
      <c r="AB850" t="s">
        <v>12</v>
      </c>
      <c r="AC850">
        <f>_xlfn.XLOOKUP(AB850,'[1]GST Codes'!$A:$A,'[1]GST Codes'!$C:$C,0,0)</f>
        <v>18</v>
      </c>
      <c r="AD850">
        <f t="shared" si="27"/>
        <v>155170</v>
      </c>
      <c r="AE850" t="s">
        <v>13</v>
      </c>
      <c r="AF850" t="s">
        <v>0</v>
      </c>
      <c r="AG850" t="s">
        <v>14</v>
      </c>
      <c r="AH850" t="s">
        <v>15</v>
      </c>
      <c r="AI850" t="s">
        <v>16</v>
      </c>
      <c r="AJ850" t="s">
        <v>17</v>
      </c>
      <c r="AK850" t="s">
        <v>18</v>
      </c>
      <c r="AL850" t="s">
        <v>19</v>
      </c>
      <c r="AM850" t="s">
        <v>410</v>
      </c>
      <c r="AN850" t="s">
        <v>0</v>
      </c>
      <c r="AO850" t="s">
        <v>0</v>
      </c>
      <c r="AP850" t="s">
        <v>0</v>
      </c>
      <c r="AQ850" s="5">
        <v>2</v>
      </c>
      <c r="AR850" t="s">
        <v>11</v>
      </c>
      <c r="AS850" t="s">
        <v>0</v>
      </c>
      <c r="AT850" t="s">
        <v>17</v>
      </c>
      <c r="AU850" s="4">
        <v>0</v>
      </c>
      <c r="AV850" s="4">
        <v>0</v>
      </c>
      <c r="AW850" s="4">
        <v>0</v>
      </c>
      <c r="AX850" s="4">
        <v>0</v>
      </c>
      <c r="AY850" s="5">
        <v>0</v>
      </c>
      <c r="AZ850" s="5">
        <v>0</v>
      </c>
      <c r="BA850" s="5">
        <v>0</v>
      </c>
      <c r="BB850" s="2"/>
      <c r="BC850" t="s">
        <v>0</v>
      </c>
      <c r="BD850" s="5">
        <v>1</v>
      </c>
      <c r="BE850" t="s">
        <v>0</v>
      </c>
      <c r="BF850" t="s">
        <v>412</v>
      </c>
      <c r="BG850" t="s">
        <v>17</v>
      </c>
      <c r="BH850" t="s">
        <v>0</v>
      </c>
      <c r="BI850" t="s">
        <v>11</v>
      </c>
      <c r="BJ850" t="s">
        <v>0</v>
      </c>
      <c r="BK850" t="s">
        <v>0</v>
      </c>
      <c r="BL850" s="5">
        <v>0</v>
      </c>
      <c r="BM850" t="s">
        <v>0</v>
      </c>
      <c r="BN850" t="s">
        <v>0</v>
      </c>
      <c r="BO850" t="s">
        <v>0</v>
      </c>
      <c r="BP850" t="s">
        <v>17</v>
      </c>
      <c r="BQ850" t="s">
        <v>0</v>
      </c>
      <c r="BR850" t="s">
        <v>17</v>
      </c>
      <c r="BS850" t="s">
        <v>17</v>
      </c>
      <c r="BT850" t="s">
        <v>0</v>
      </c>
      <c r="BU850" t="s">
        <v>0</v>
      </c>
      <c r="BV850" t="s">
        <v>0</v>
      </c>
      <c r="BW850" t="s">
        <v>0</v>
      </c>
      <c r="BX850" t="s">
        <v>0</v>
      </c>
      <c r="BY850" t="s">
        <v>0</v>
      </c>
      <c r="BZ850" t="s">
        <v>0</v>
      </c>
      <c r="CA850" t="s">
        <v>0</v>
      </c>
      <c r="CB850" t="s">
        <v>0</v>
      </c>
    </row>
    <row r="851" spans="1:80" ht="13.95" customHeight="1" x14ac:dyDescent="0.25">
      <c r="A851" t="s">
        <v>413</v>
      </c>
      <c r="B851" s="2">
        <v>45765</v>
      </c>
      <c r="C851" s="2">
        <v>45758</v>
      </c>
      <c r="D851" s="2">
        <v>45777</v>
      </c>
      <c r="E851" t="s">
        <v>2</v>
      </c>
      <c r="F851" t="s">
        <v>3</v>
      </c>
      <c r="G851" t="s">
        <v>0</v>
      </c>
      <c r="H851" t="s">
        <v>4</v>
      </c>
      <c r="I851" t="s">
        <v>414</v>
      </c>
      <c r="J851" t="s">
        <v>6</v>
      </c>
      <c r="K851" t="s">
        <v>7</v>
      </c>
      <c r="L851" t="s">
        <v>386</v>
      </c>
      <c r="M851" t="s">
        <v>387</v>
      </c>
      <c r="N851" t="s">
        <v>10</v>
      </c>
      <c r="O851" t="s">
        <v>0</v>
      </c>
      <c r="P851" t="s">
        <v>11</v>
      </c>
      <c r="Q851" s="5">
        <v>40</v>
      </c>
      <c r="R851" s="4">
        <v>60000</v>
      </c>
      <c r="S851" s="5">
        <v>1</v>
      </c>
      <c r="T851" s="4">
        <v>2400000</v>
      </c>
      <c r="U851" s="5">
        <v>5</v>
      </c>
      <c r="V851" s="4">
        <v>300000</v>
      </c>
      <c r="W851" s="5">
        <v>5</v>
      </c>
      <c r="X851" s="4">
        <v>300000</v>
      </c>
      <c r="Y851" s="4">
        <f t="shared" si="26"/>
        <v>2100000</v>
      </c>
      <c r="Z851" s="6" t="s">
        <v>0</v>
      </c>
      <c r="AA851" t="s">
        <v>2</v>
      </c>
      <c r="AB851" t="s">
        <v>12</v>
      </c>
      <c r="AC851">
        <f>_xlfn.XLOOKUP(AB851,'[1]GST Codes'!$A:$A,'[1]GST Codes'!$C:$C,0,0)</f>
        <v>18</v>
      </c>
      <c r="AD851">
        <f t="shared" si="27"/>
        <v>2478000</v>
      </c>
      <c r="AE851" t="s">
        <v>13</v>
      </c>
      <c r="AF851" t="s">
        <v>0</v>
      </c>
      <c r="AG851" t="s">
        <v>14</v>
      </c>
      <c r="AH851" t="s">
        <v>15</v>
      </c>
      <c r="AI851" t="s">
        <v>16</v>
      </c>
      <c r="AJ851" t="s">
        <v>17</v>
      </c>
      <c r="AK851" t="s">
        <v>18</v>
      </c>
      <c r="AL851" t="s">
        <v>19</v>
      </c>
      <c r="AM851" t="s">
        <v>415</v>
      </c>
      <c r="AN851" t="s">
        <v>0</v>
      </c>
      <c r="AO851" t="s">
        <v>0</v>
      </c>
      <c r="AP851" t="s">
        <v>0</v>
      </c>
      <c r="AQ851" s="5">
        <v>40</v>
      </c>
      <c r="AR851" t="s">
        <v>11</v>
      </c>
      <c r="AS851" t="s">
        <v>0</v>
      </c>
      <c r="AT851" t="s">
        <v>17</v>
      </c>
      <c r="AU851" s="4">
        <v>0</v>
      </c>
      <c r="AV851" s="4">
        <v>0</v>
      </c>
      <c r="AW851" s="4">
        <v>0</v>
      </c>
      <c r="AX851" s="4">
        <v>0</v>
      </c>
      <c r="AY851" s="5">
        <v>0</v>
      </c>
      <c r="AZ851" s="5">
        <v>0</v>
      </c>
      <c r="BA851" s="5">
        <v>0</v>
      </c>
      <c r="BB851" s="2"/>
      <c r="BC851" t="s">
        <v>0</v>
      </c>
      <c r="BD851" s="5">
        <v>1</v>
      </c>
      <c r="BE851" t="s">
        <v>0</v>
      </c>
      <c r="BF851" t="s">
        <v>416</v>
      </c>
      <c r="BG851" t="s">
        <v>17</v>
      </c>
      <c r="BH851" t="s">
        <v>0</v>
      </c>
      <c r="BI851" t="s">
        <v>11</v>
      </c>
      <c r="BJ851" t="s">
        <v>0</v>
      </c>
      <c r="BK851" t="s">
        <v>0</v>
      </c>
      <c r="BL851" s="5">
        <v>0</v>
      </c>
      <c r="BM851" t="s">
        <v>0</v>
      </c>
      <c r="BN851" t="s">
        <v>0</v>
      </c>
      <c r="BO851" t="s">
        <v>0</v>
      </c>
      <c r="BP851" t="s">
        <v>17</v>
      </c>
      <c r="BQ851" t="s">
        <v>0</v>
      </c>
      <c r="BR851" t="s">
        <v>17</v>
      </c>
      <c r="BS851" t="s">
        <v>17</v>
      </c>
      <c r="BT851" t="s">
        <v>0</v>
      </c>
      <c r="BU851" t="s">
        <v>0</v>
      </c>
      <c r="BV851" t="s">
        <v>0</v>
      </c>
      <c r="BW851" t="s">
        <v>0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</row>
    <row r="852" spans="1:80" ht="13.95" customHeight="1" x14ac:dyDescent="0.25">
      <c r="A852" t="s">
        <v>413</v>
      </c>
      <c r="B852" s="2">
        <v>45765</v>
      </c>
      <c r="C852" s="2">
        <v>45758</v>
      </c>
      <c r="D852" s="2">
        <v>45777</v>
      </c>
      <c r="E852" t="s">
        <v>2</v>
      </c>
      <c r="F852" t="s">
        <v>3</v>
      </c>
      <c r="G852" t="s">
        <v>0</v>
      </c>
      <c r="H852" t="s">
        <v>4</v>
      </c>
      <c r="I852" t="s">
        <v>414</v>
      </c>
      <c r="J852" t="s">
        <v>6</v>
      </c>
      <c r="K852" t="s">
        <v>22</v>
      </c>
      <c r="L852" t="s">
        <v>390</v>
      </c>
      <c r="M852" t="s">
        <v>391</v>
      </c>
      <c r="N852" t="s">
        <v>10</v>
      </c>
      <c r="O852" t="s">
        <v>0</v>
      </c>
      <c r="P852" t="s">
        <v>11</v>
      </c>
      <c r="Q852" s="5">
        <v>60</v>
      </c>
      <c r="R852" s="4">
        <v>58250</v>
      </c>
      <c r="S852" s="5">
        <v>1</v>
      </c>
      <c r="T852" s="4">
        <v>3495000</v>
      </c>
      <c r="U852" s="5">
        <v>0</v>
      </c>
      <c r="V852" s="4">
        <v>0</v>
      </c>
      <c r="W852" s="5">
        <v>0</v>
      </c>
      <c r="X852" s="4">
        <v>0</v>
      </c>
      <c r="Y852" s="4">
        <f t="shared" si="26"/>
        <v>3495000</v>
      </c>
      <c r="Z852" s="6" t="s">
        <v>0</v>
      </c>
      <c r="AA852" t="s">
        <v>2</v>
      </c>
      <c r="AB852" t="s">
        <v>12</v>
      </c>
      <c r="AC852">
        <f>_xlfn.XLOOKUP(AB852,'[1]GST Codes'!$A:$A,'[1]GST Codes'!$C:$C,0,0)</f>
        <v>18</v>
      </c>
      <c r="AD852">
        <f t="shared" si="27"/>
        <v>4124100</v>
      </c>
      <c r="AE852" t="s">
        <v>13</v>
      </c>
      <c r="AF852" t="s">
        <v>0</v>
      </c>
      <c r="AG852" t="s">
        <v>14</v>
      </c>
      <c r="AH852" t="s">
        <v>15</v>
      </c>
      <c r="AI852" t="s">
        <v>16</v>
      </c>
      <c r="AJ852" t="s">
        <v>17</v>
      </c>
      <c r="AK852" t="s">
        <v>18</v>
      </c>
      <c r="AL852" t="s">
        <v>19</v>
      </c>
      <c r="AM852" t="s">
        <v>415</v>
      </c>
      <c r="AN852" t="s">
        <v>0</v>
      </c>
      <c r="AO852" t="s">
        <v>0</v>
      </c>
      <c r="AP852" t="s">
        <v>0</v>
      </c>
      <c r="AQ852" s="5">
        <v>60</v>
      </c>
      <c r="AR852" t="s">
        <v>11</v>
      </c>
      <c r="AS852" t="s">
        <v>0</v>
      </c>
      <c r="AT852" t="s">
        <v>17</v>
      </c>
      <c r="AU852" s="4">
        <v>0</v>
      </c>
      <c r="AV852" s="4">
        <v>0</v>
      </c>
      <c r="AW852" s="4">
        <v>0</v>
      </c>
      <c r="AX852" s="4">
        <v>0</v>
      </c>
      <c r="AY852" s="5">
        <v>0</v>
      </c>
      <c r="AZ852" s="5">
        <v>0</v>
      </c>
      <c r="BA852" s="5">
        <v>0</v>
      </c>
      <c r="BB852" s="2"/>
      <c r="BC852" t="s">
        <v>0</v>
      </c>
      <c r="BD852" s="5">
        <v>1</v>
      </c>
      <c r="BE852" t="s">
        <v>0</v>
      </c>
      <c r="BF852" t="s">
        <v>417</v>
      </c>
      <c r="BG852" t="s">
        <v>17</v>
      </c>
      <c r="BH852" t="s">
        <v>0</v>
      </c>
      <c r="BI852" t="s">
        <v>11</v>
      </c>
      <c r="BJ852" t="s">
        <v>0</v>
      </c>
      <c r="BK852" t="s">
        <v>0</v>
      </c>
      <c r="BL852" s="5">
        <v>0</v>
      </c>
      <c r="BM852" t="s">
        <v>0</v>
      </c>
      <c r="BN852" t="s">
        <v>0</v>
      </c>
      <c r="BO852" t="s">
        <v>0</v>
      </c>
      <c r="BP852" t="s">
        <v>17</v>
      </c>
      <c r="BQ852" t="s">
        <v>0</v>
      </c>
      <c r="BR852" t="s">
        <v>17</v>
      </c>
      <c r="BS852" t="s">
        <v>17</v>
      </c>
      <c r="BT852" t="s">
        <v>0</v>
      </c>
      <c r="BU852" t="s">
        <v>0</v>
      </c>
      <c r="BV852" t="s">
        <v>0</v>
      </c>
      <c r="BW852" t="s">
        <v>0</v>
      </c>
      <c r="BX852" t="s">
        <v>0</v>
      </c>
      <c r="BY852" t="s">
        <v>0</v>
      </c>
      <c r="BZ852" t="s">
        <v>0</v>
      </c>
      <c r="CA852" t="s">
        <v>0</v>
      </c>
      <c r="CB852" t="s">
        <v>0</v>
      </c>
    </row>
    <row r="853" spans="1:80" ht="13.95" customHeight="1" x14ac:dyDescent="0.25">
      <c r="A853" t="s">
        <v>413</v>
      </c>
      <c r="B853" s="2">
        <v>45765</v>
      </c>
      <c r="C853" s="2">
        <v>45758</v>
      </c>
      <c r="D853" s="2">
        <v>45777</v>
      </c>
      <c r="E853" t="s">
        <v>2</v>
      </c>
      <c r="F853" t="s">
        <v>3</v>
      </c>
      <c r="G853" t="s">
        <v>0</v>
      </c>
      <c r="H853" t="s">
        <v>4</v>
      </c>
      <c r="I853" t="s">
        <v>414</v>
      </c>
      <c r="J853" t="s">
        <v>6</v>
      </c>
      <c r="K853" t="s">
        <v>26</v>
      </c>
      <c r="L853" t="s">
        <v>390</v>
      </c>
      <c r="M853" t="s">
        <v>391</v>
      </c>
      <c r="N853" t="s">
        <v>10</v>
      </c>
      <c r="O853" t="s">
        <v>0</v>
      </c>
      <c r="P853" t="s">
        <v>11</v>
      </c>
      <c r="Q853" s="5">
        <v>40</v>
      </c>
      <c r="R853" s="4">
        <v>58250</v>
      </c>
      <c r="S853" s="5">
        <v>1</v>
      </c>
      <c r="T853" s="4">
        <v>2330000</v>
      </c>
      <c r="U853" s="5">
        <v>0</v>
      </c>
      <c r="V853" s="4">
        <v>0</v>
      </c>
      <c r="W853" s="5">
        <v>0</v>
      </c>
      <c r="X853" s="4">
        <v>0</v>
      </c>
      <c r="Y853" s="4">
        <f t="shared" si="26"/>
        <v>2330000</v>
      </c>
      <c r="Z853" s="6" t="s">
        <v>0</v>
      </c>
      <c r="AA853" t="s">
        <v>2</v>
      </c>
      <c r="AB853" t="s">
        <v>12</v>
      </c>
      <c r="AC853">
        <f>_xlfn.XLOOKUP(AB853,'[1]GST Codes'!$A:$A,'[1]GST Codes'!$C:$C,0,0)</f>
        <v>18</v>
      </c>
      <c r="AD853">
        <f t="shared" si="27"/>
        <v>2749400</v>
      </c>
      <c r="AE853" t="s">
        <v>13</v>
      </c>
      <c r="AF853" t="s">
        <v>0</v>
      </c>
      <c r="AG853" t="s">
        <v>14</v>
      </c>
      <c r="AH853" t="s">
        <v>15</v>
      </c>
      <c r="AI853" t="s">
        <v>16</v>
      </c>
      <c r="AJ853" t="s">
        <v>17</v>
      </c>
      <c r="AK853" t="s">
        <v>18</v>
      </c>
      <c r="AL853" t="s">
        <v>19</v>
      </c>
      <c r="AM853" t="s">
        <v>415</v>
      </c>
      <c r="AN853" t="s">
        <v>0</v>
      </c>
      <c r="AO853" t="s">
        <v>0</v>
      </c>
      <c r="AP853" t="s">
        <v>0</v>
      </c>
      <c r="AQ853" s="5">
        <v>40</v>
      </c>
      <c r="AR853" t="s">
        <v>11</v>
      </c>
      <c r="AS853" t="s">
        <v>0</v>
      </c>
      <c r="AT853" t="s">
        <v>17</v>
      </c>
      <c r="AU853" s="4">
        <v>0</v>
      </c>
      <c r="AV853" s="4">
        <v>0</v>
      </c>
      <c r="AW853" s="4">
        <v>0</v>
      </c>
      <c r="AX853" s="4">
        <v>0</v>
      </c>
      <c r="AY853" s="5">
        <v>0</v>
      </c>
      <c r="AZ853" s="5">
        <v>0</v>
      </c>
      <c r="BA853" s="5">
        <v>0</v>
      </c>
      <c r="BB853" s="2"/>
      <c r="BC853" t="s">
        <v>0</v>
      </c>
      <c r="BD853" s="5">
        <v>1</v>
      </c>
      <c r="BE853" t="s">
        <v>0</v>
      </c>
      <c r="BF853" t="s">
        <v>417</v>
      </c>
      <c r="BG853" t="s">
        <v>17</v>
      </c>
      <c r="BH853" t="s">
        <v>0</v>
      </c>
      <c r="BI853" t="s">
        <v>11</v>
      </c>
      <c r="BJ853" t="s">
        <v>0</v>
      </c>
      <c r="BK853" t="s">
        <v>0</v>
      </c>
      <c r="BL853" s="5">
        <v>0</v>
      </c>
      <c r="BM853" t="s">
        <v>0</v>
      </c>
      <c r="BN853" t="s">
        <v>0</v>
      </c>
      <c r="BO853" t="s">
        <v>0</v>
      </c>
      <c r="BP853" t="s">
        <v>17</v>
      </c>
      <c r="BQ853" t="s">
        <v>0</v>
      </c>
      <c r="BR853" t="s">
        <v>17</v>
      </c>
      <c r="BS853" t="s">
        <v>17</v>
      </c>
      <c r="BT853" t="s">
        <v>0</v>
      </c>
      <c r="BU853" t="s">
        <v>0</v>
      </c>
      <c r="BV853" t="s">
        <v>0</v>
      </c>
      <c r="BW853" t="s">
        <v>0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</row>
    <row r="854" spans="1:80" ht="13.95" customHeight="1" x14ac:dyDescent="0.25">
      <c r="A854" t="s">
        <v>413</v>
      </c>
      <c r="B854" s="2">
        <v>45765</v>
      </c>
      <c r="C854" s="2">
        <v>45758</v>
      </c>
      <c r="D854" s="2">
        <v>45777</v>
      </c>
      <c r="E854" t="s">
        <v>2</v>
      </c>
      <c r="F854" t="s">
        <v>3</v>
      </c>
      <c r="G854" t="s">
        <v>0</v>
      </c>
      <c r="H854" t="s">
        <v>4</v>
      </c>
      <c r="I854" t="s">
        <v>414</v>
      </c>
      <c r="J854" t="s">
        <v>6</v>
      </c>
      <c r="K854" t="s">
        <v>30</v>
      </c>
      <c r="L854" t="s">
        <v>390</v>
      </c>
      <c r="M854" t="s">
        <v>391</v>
      </c>
      <c r="N854" t="s">
        <v>10</v>
      </c>
      <c r="O854" t="s">
        <v>0</v>
      </c>
      <c r="P854" t="s">
        <v>11</v>
      </c>
      <c r="Q854" s="5">
        <v>40</v>
      </c>
      <c r="R854" s="4">
        <v>58250</v>
      </c>
      <c r="S854" s="5">
        <v>1</v>
      </c>
      <c r="T854" s="4">
        <v>2330000</v>
      </c>
      <c r="U854" s="5">
        <v>0</v>
      </c>
      <c r="V854" s="4">
        <v>0</v>
      </c>
      <c r="W854" s="5">
        <v>0</v>
      </c>
      <c r="X854" s="4">
        <v>0</v>
      </c>
      <c r="Y854" s="4">
        <f t="shared" si="26"/>
        <v>2330000</v>
      </c>
      <c r="Z854" s="6" t="s">
        <v>0</v>
      </c>
      <c r="AA854" t="s">
        <v>2</v>
      </c>
      <c r="AB854" t="s">
        <v>12</v>
      </c>
      <c r="AC854">
        <f>_xlfn.XLOOKUP(AB854,'[1]GST Codes'!$A:$A,'[1]GST Codes'!$C:$C,0,0)</f>
        <v>18</v>
      </c>
      <c r="AD854">
        <f t="shared" si="27"/>
        <v>2749400</v>
      </c>
      <c r="AE854" t="s">
        <v>13</v>
      </c>
      <c r="AF854" t="s">
        <v>0</v>
      </c>
      <c r="AG854" t="s">
        <v>14</v>
      </c>
      <c r="AH854" t="s">
        <v>15</v>
      </c>
      <c r="AI854" t="s">
        <v>16</v>
      </c>
      <c r="AJ854" t="s">
        <v>17</v>
      </c>
      <c r="AK854" t="s">
        <v>18</v>
      </c>
      <c r="AL854" t="s">
        <v>19</v>
      </c>
      <c r="AM854" t="s">
        <v>415</v>
      </c>
      <c r="AN854" t="s">
        <v>0</v>
      </c>
      <c r="AO854" t="s">
        <v>0</v>
      </c>
      <c r="AP854" t="s">
        <v>0</v>
      </c>
      <c r="AQ854" s="5">
        <v>40</v>
      </c>
      <c r="AR854" t="s">
        <v>11</v>
      </c>
      <c r="AS854" t="s">
        <v>0</v>
      </c>
      <c r="AT854" t="s">
        <v>17</v>
      </c>
      <c r="AU854" s="4">
        <v>0</v>
      </c>
      <c r="AV854" s="4">
        <v>0</v>
      </c>
      <c r="AW854" s="4">
        <v>0</v>
      </c>
      <c r="AX854" s="4">
        <v>0</v>
      </c>
      <c r="AY854" s="5">
        <v>0</v>
      </c>
      <c r="AZ854" s="5">
        <v>0</v>
      </c>
      <c r="BA854" s="5">
        <v>0</v>
      </c>
      <c r="BB854" s="2"/>
      <c r="BC854" t="s">
        <v>0</v>
      </c>
      <c r="BD854" s="5">
        <v>1</v>
      </c>
      <c r="BE854" t="s">
        <v>0</v>
      </c>
      <c r="BF854" t="s">
        <v>417</v>
      </c>
      <c r="BG854" t="s">
        <v>17</v>
      </c>
      <c r="BH854" t="s">
        <v>0</v>
      </c>
      <c r="BI854" t="s">
        <v>11</v>
      </c>
      <c r="BJ854" t="s">
        <v>0</v>
      </c>
      <c r="BK854" t="s">
        <v>0</v>
      </c>
      <c r="BL854" s="5">
        <v>0</v>
      </c>
      <c r="BM854" t="s">
        <v>0</v>
      </c>
      <c r="BN854" t="s">
        <v>0</v>
      </c>
      <c r="BO854" t="s">
        <v>0</v>
      </c>
      <c r="BP854" t="s">
        <v>17</v>
      </c>
      <c r="BQ854" t="s">
        <v>0</v>
      </c>
      <c r="BR854" t="s">
        <v>17</v>
      </c>
      <c r="BS854" t="s">
        <v>17</v>
      </c>
      <c r="BT854" t="s">
        <v>0</v>
      </c>
      <c r="BU854" t="s">
        <v>0</v>
      </c>
      <c r="BV854" t="s">
        <v>0</v>
      </c>
      <c r="BW854" t="s">
        <v>0</v>
      </c>
      <c r="BX854" t="s">
        <v>0</v>
      </c>
      <c r="BY854" t="s">
        <v>0</v>
      </c>
      <c r="BZ854" t="s">
        <v>0</v>
      </c>
      <c r="CA854" t="s">
        <v>0</v>
      </c>
      <c r="CB854" t="s">
        <v>0</v>
      </c>
    </row>
    <row r="855" spans="1:80" ht="13.95" customHeight="1" x14ac:dyDescent="0.25">
      <c r="A855" t="s">
        <v>413</v>
      </c>
      <c r="B855" s="2">
        <v>45765</v>
      </c>
      <c r="C855" s="2">
        <v>45758</v>
      </c>
      <c r="D855" s="2">
        <v>45777</v>
      </c>
      <c r="E855" t="s">
        <v>2</v>
      </c>
      <c r="F855" t="s">
        <v>3</v>
      </c>
      <c r="G855" t="s">
        <v>0</v>
      </c>
      <c r="H855" t="s">
        <v>4</v>
      </c>
      <c r="I855" t="s">
        <v>414</v>
      </c>
      <c r="J855" t="s">
        <v>6</v>
      </c>
      <c r="K855" t="s">
        <v>34</v>
      </c>
      <c r="L855" t="s">
        <v>390</v>
      </c>
      <c r="M855" t="s">
        <v>391</v>
      </c>
      <c r="N855" t="s">
        <v>10</v>
      </c>
      <c r="O855" t="s">
        <v>0</v>
      </c>
      <c r="P855" t="s">
        <v>11</v>
      </c>
      <c r="Q855" s="5">
        <v>40</v>
      </c>
      <c r="R855" s="4">
        <v>58250</v>
      </c>
      <c r="S855" s="5">
        <v>1</v>
      </c>
      <c r="T855" s="4">
        <v>2330000</v>
      </c>
      <c r="U855" s="5">
        <v>0</v>
      </c>
      <c r="V855" s="4">
        <v>0</v>
      </c>
      <c r="W855" s="5">
        <v>0</v>
      </c>
      <c r="X855" s="4">
        <v>0</v>
      </c>
      <c r="Y855" s="4">
        <f t="shared" si="26"/>
        <v>2330000</v>
      </c>
      <c r="Z855" s="6" t="s">
        <v>0</v>
      </c>
      <c r="AA855" t="s">
        <v>2</v>
      </c>
      <c r="AB855" t="s">
        <v>12</v>
      </c>
      <c r="AC855">
        <f>_xlfn.XLOOKUP(AB855,'[1]GST Codes'!$A:$A,'[1]GST Codes'!$C:$C,0,0)</f>
        <v>18</v>
      </c>
      <c r="AD855">
        <f t="shared" si="27"/>
        <v>2749400</v>
      </c>
      <c r="AE855" t="s">
        <v>13</v>
      </c>
      <c r="AF855" t="s">
        <v>0</v>
      </c>
      <c r="AG855" t="s">
        <v>14</v>
      </c>
      <c r="AH855" t="s">
        <v>15</v>
      </c>
      <c r="AI855" t="s">
        <v>16</v>
      </c>
      <c r="AJ855" t="s">
        <v>17</v>
      </c>
      <c r="AK855" t="s">
        <v>18</v>
      </c>
      <c r="AL855" t="s">
        <v>19</v>
      </c>
      <c r="AM855" t="s">
        <v>415</v>
      </c>
      <c r="AN855" t="s">
        <v>0</v>
      </c>
      <c r="AO855" t="s">
        <v>0</v>
      </c>
      <c r="AP855" t="s">
        <v>0</v>
      </c>
      <c r="AQ855" s="5">
        <v>40</v>
      </c>
      <c r="AR855" t="s">
        <v>11</v>
      </c>
      <c r="AS855" t="s">
        <v>0</v>
      </c>
      <c r="AT855" t="s">
        <v>17</v>
      </c>
      <c r="AU855" s="4">
        <v>0</v>
      </c>
      <c r="AV855" s="4">
        <v>0</v>
      </c>
      <c r="AW855" s="4">
        <v>0</v>
      </c>
      <c r="AX855" s="4">
        <v>0</v>
      </c>
      <c r="AY855" s="5">
        <v>0</v>
      </c>
      <c r="AZ855" s="5">
        <v>0</v>
      </c>
      <c r="BA855" s="5">
        <v>0</v>
      </c>
      <c r="BB855" s="2"/>
      <c r="BC855" t="s">
        <v>0</v>
      </c>
      <c r="BD855" s="5">
        <v>1</v>
      </c>
      <c r="BE855" t="s">
        <v>0</v>
      </c>
      <c r="BF855" t="s">
        <v>417</v>
      </c>
      <c r="BG855" t="s">
        <v>17</v>
      </c>
      <c r="BH855" t="s">
        <v>0</v>
      </c>
      <c r="BI855" t="s">
        <v>11</v>
      </c>
      <c r="BJ855" t="s">
        <v>0</v>
      </c>
      <c r="BK855" t="s">
        <v>0</v>
      </c>
      <c r="BL855" s="5">
        <v>0</v>
      </c>
      <c r="BM855" t="s">
        <v>0</v>
      </c>
      <c r="BN855" t="s">
        <v>0</v>
      </c>
      <c r="BO855" t="s">
        <v>0</v>
      </c>
      <c r="BP855" t="s">
        <v>17</v>
      </c>
      <c r="BQ855" t="s">
        <v>0</v>
      </c>
      <c r="BR855" t="s">
        <v>17</v>
      </c>
      <c r="BS855" t="s">
        <v>17</v>
      </c>
      <c r="BT855" t="s">
        <v>0</v>
      </c>
      <c r="BU855" t="s">
        <v>0</v>
      </c>
      <c r="BV855" t="s">
        <v>0</v>
      </c>
      <c r="BW855" t="s">
        <v>0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</row>
    <row r="856" spans="1:80" ht="13.95" customHeight="1" x14ac:dyDescent="0.25">
      <c r="A856" t="s">
        <v>413</v>
      </c>
      <c r="B856" s="2">
        <v>45765</v>
      </c>
      <c r="C856" s="2">
        <v>45758</v>
      </c>
      <c r="D856" s="2">
        <v>45777</v>
      </c>
      <c r="E856" t="s">
        <v>2</v>
      </c>
      <c r="F856" t="s">
        <v>3</v>
      </c>
      <c r="G856" t="s">
        <v>0</v>
      </c>
      <c r="H856" t="s">
        <v>4</v>
      </c>
      <c r="I856" t="s">
        <v>414</v>
      </c>
      <c r="J856" t="s">
        <v>6</v>
      </c>
      <c r="K856" t="s">
        <v>38</v>
      </c>
      <c r="L856" t="s">
        <v>390</v>
      </c>
      <c r="M856" t="s">
        <v>391</v>
      </c>
      <c r="N856" t="s">
        <v>10</v>
      </c>
      <c r="O856" t="s">
        <v>0</v>
      </c>
      <c r="P856" t="s">
        <v>11</v>
      </c>
      <c r="Q856" s="5">
        <v>40</v>
      </c>
      <c r="R856" s="4">
        <v>58250</v>
      </c>
      <c r="S856" s="5">
        <v>1</v>
      </c>
      <c r="T856" s="4">
        <v>2330000</v>
      </c>
      <c r="U856" s="5">
        <v>0</v>
      </c>
      <c r="V856" s="4">
        <v>0</v>
      </c>
      <c r="W856" s="5">
        <v>0</v>
      </c>
      <c r="X856" s="4">
        <v>0</v>
      </c>
      <c r="Y856" s="4">
        <f t="shared" si="26"/>
        <v>2330000</v>
      </c>
      <c r="Z856" s="6" t="s">
        <v>0</v>
      </c>
      <c r="AA856" t="s">
        <v>2</v>
      </c>
      <c r="AB856" t="s">
        <v>12</v>
      </c>
      <c r="AC856">
        <f>_xlfn.XLOOKUP(AB856,'[1]GST Codes'!$A:$A,'[1]GST Codes'!$C:$C,0,0)</f>
        <v>18</v>
      </c>
      <c r="AD856">
        <f t="shared" si="27"/>
        <v>2749400</v>
      </c>
      <c r="AE856" t="s">
        <v>13</v>
      </c>
      <c r="AF856" t="s">
        <v>0</v>
      </c>
      <c r="AG856" t="s">
        <v>14</v>
      </c>
      <c r="AH856" t="s">
        <v>15</v>
      </c>
      <c r="AI856" t="s">
        <v>16</v>
      </c>
      <c r="AJ856" t="s">
        <v>17</v>
      </c>
      <c r="AK856" t="s">
        <v>18</v>
      </c>
      <c r="AL856" t="s">
        <v>19</v>
      </c>
      <c r="AM856" t="s">
        <v>415</v>
      </c>
      <c r="AN856" t="s">
        <v>0</v>
      </c>
      <c r="AO856" t="s">
        <v>0</v>
      </c>
      <c r="AP856" t="s">
        <v>0</v>
      </c>
      <c r="AQ856" s="5">
        <v>40</v>
      </c>
      <c r="AR856" t="s">
        <v>11</v>
      </c>
      <c r="AS856" t="s">
        <v>0</v>
      </c>
      <c r="AT856" t="s">
        <v>17</v>
      </c>
      <c r="AU856" s="4">
        <v>0</v>
      </c>
      <c r="AV856" s="4">
        <v>0</v>
      </c>
      <c r="AW856" s="4">
        <v>0</v>
      </c>
      <c r="AX856" s="4">
        <v>0</v>
      </c>
      <c r="AY856" s="5">
        <v>0</v>
      </c>
      <c r="AZ856" s="5">
        <v>0</v>
      </c>
      <c r="BA856" s="5">
        <v>0</v>
      </c>
      <c r="BB856" s="2"/>
      <c r="BC856" t="s">
        <v>0</v>
      </c>
      <c r="BD856" s="5">
        <v>1</v>
      </c>
      <c r="BE856" t="s">
        <v>0</v>
      </c>
      <c r="BF856" t="s">
        <v>417</v>
      </c>
      <c r="BG856" t="s">
        <v>17</v>
      </c>
      <c r="BH856" t="s">
        <v>0</v>
      </c>
      <c r="BI856" t="s">
        <v>11</v>
      </c>
      <c r="BJ856" t="s">
        <v>0</v>
      </c>
      <c r="BK856" t="s">
        <v>0</v>
      </c>
      <c r="BL856" s="5">
        <v>0</v>
      </c>
      <c r="BM856" t="s">
        <v>0</v>
      </c>
      <c r="BN856" t="s">
        <v>0</v>
      </c>
      <c r="BO856" t="s">
        <v>0</v>
      </c>
      <c r="BP856" t="s">
        <v>17</v>
      </c>
      <c r="BQ856" t="s">
        <v>0</v>
      </c>
      <c r="BR856" t="s">
        <v>17</v>
      </c>
      <c r="BS856" t="s">
        <v>17</v>
      </c>
      <c r="BT856" t="s">
        <v>0</v>
      </c>
      <c r="BU856" t="s">
        <v>0</v>
      </c>
      <c r="BV856" t="s">
        <v>0</v>
      </c>
      <c r="BW856" t="s">
        <v>0</v>
      </c>
      <c r="BX856" t="s">
        <v>0</v>
      </c>
      <c r="BY856" t="s">
        <v>0</v>
      </c>
      <c r="BZ856" t="s">
        <v>0</v>
      </c>
      <c r="CA856" t="s">
        <v>0</v>
      </c>
      <c r="CB856" t="s">
        <v>0</v>
      </c>
    </row>
    <row r="857" spans="1:80" ht="13.95" customHeight="1" x14ac:dyDescent="0.25">
      <c r="A857" t="s">
        <v>413</v>
      </c>
      <c r="B857" s="2">
        <v>45765</v>
      </c>
      <c r="C857" s="2">
        <v>45758</v>
      </c>
      <c r="D857" s="2">
        <v>45777</v>
      </c>
      <c r="E857" t="s">
        <v>2</v>
      </c>
      <c r="F857" t="s">
        <v>3</v>
      </c>
      <c r="G857" t="s">
        <v>0</v>
      </c>
      <c r="H857" t="s">
        <v>4</v>
      </c>
      <c r="I857" t="s">
        <v>414</v>
      </c>
      <c r="J857" t="s">
        <v>6</v>
      </c>
      <c r="K857" t="s">
        <v>42</v>
      </c>
      <c r="L857" t="s">
        <v>390</v>
      </c>
      <c r="M857" t="s">
        <v>391</v>
      </c>
      <c r="N857" t="s">
        <v>10</v>
      </c>
      <c r="O857" t="s">
        <v>0</v>
      </c>
      <c r="P857" t="s">
        <v>11</v>
      </c>
      <c r="Q857" s="5">
        <v>40</v>
      </c>
      <c r="R857" s="4">
        <v>58250</v>
      </c>
      <c r="S857" s="5">
        <v>1</v>
      </c>
      <c r="T857" s="4">
        <v>2330000</v>
      </c>
      <c r="U857" s="5">
        <v>0</v>
      </c>
      <c r="V857" s="4">
        <v>0</v>
      </c>
      <c r="W857" s="5">
        <v>0</v>
      </c>
      <c r="X857" s="4">
        <v>0</v>
      </c>
      <c r="Y857" s="4">
        <f t="shared" si="26"/>
        <v>2330000</v>
      </c>
      <c r="Z857" s="6" t="s">
        <v>0</v>
      </c>
      <c r="AA857" t="s">
        <v>2</v>
      </c>
      <c r="AB857" t="s">
        <v>12</v>
      </c>
      <c r="AC857">
        <f>_xlfn.XLOOKUP(AB857,'[1]GST Codes'!$A:$A,'[1]GST Codes'!$C:$C,0,0)</f>
        <v>18</v>
      </c>
      <c r="AD857">
        <f t="shared" si="27"/>
        <v>2749400</v>
      </c>
      <c r="AE857" t="s">
        <v>13</v>
      </c>
      <c r="AF857" t="s">
        <v>0</v>
      </c>
      <c r="AG857" t="s">
        <v>14</v>
      </c>
      <c r="AH857" t="s">
        <v>15</v>
      </c>
      <c r="AI857" t="s">
        <v>16</v>
      </c>
      <c r="AJ857" t="s">
        <v>17</v>
      </c>
      <c r="AK857" t="s">
        <v>18</v>
      </c>
      <c r="AL857" t="s">
        <v>19</v>
      </c>
      <c r="AM857" t="s">
        <v>415</v>
      </c>
      <c r="AN857" t="s">
        <v>0</v>
      </c>
      <c r="AO857" t="s">
        <v>0</v>
      </c>
      <c r="AP857" t="s">
        <v>0</v>
      </c>
      <c r="AQ857" s="5">
        <v>40</v>
      </c>
      <c r="AR857" t="s">
        <v>11</v>
      </c>
      <c r="AS857" t="s">
        <v>0</v>
      </c>
      <c r="AT857" t="s">
        <v>17</v>
      </c>
      <c r="AU857" s="4">
        <v>0</v>
      </c>
      <c r="AV857" s="4">
        <v>0</v>
      </c>
      <c r="AW857" s="4">
        <v>0</v>
      </c>
      <c r="AX857" s="4">
        <v>0</v>
      </c>
      <c r="AY857" s="5">
        <v>0</v>
      </c>
      <c r="AZ857" s="5">
        <v>0</v>
      </c>
      <c r="BA857" s="5">
        <v>0</v>
      </c>
      <c r="BB857" s="2"/>
      <c r="BC857" t="s">
        <v>0</v>
      </c>
      <c r="BD857" s="5">
        <v>1</v>
      </c>
      <c r="BE857" t="s">
        <v>0</v>
      </c>
      <c r="BF857" t="s">
        <v>417</v>
      </c>
      <c r="BG857" t="s">
        <v>17</v>
      </c>
      <c r="BH857" t="s">
        <v>0</v>
      </c>
      <c r="BI857" t="s">
        <v>11</v>
      </c>
      <c r="BJ857" t="s">
        <v>0</v>
      </c>
      <c r="BK857" t="s">
        <v>0</v>
      </c>
      <c r="BL857" s="5">
        <v>0</v>
      </c>
      <c r="BM857" t="s">
        <v>0</v>
      </c>
      <c r="BN857" t="s">
        <v>0</v>
      </c>
      <c r="BO857" t="s">
        <v>0</v>
      </c>
      <c r="BP857" t="s">
        <v>17</v>
      </c>
      <c r="BQ857" t="s">
        <v>0</v>
      </c>
      <c r="BR857" t="s">
        <v>17</v>
      </c>
      <c r="BS857" t="s">
        <v>17</v>
      </c>
      <c r="BT857" t="s">
        <v>0</v>
      </c>
      <c r="BU857" t="s">
        <v>0</v>
      </c>
      <c r="BV857" t="s">
        <v>0</v>
      </c>
      <c r="BW857" t="s">
        <v>0</v>
      </c>
      <c r="BX857" t="s">
        <v>0</v>
      </c>
      <c r="BY857" t="s">
        <v>0</v>
      </c>
      <c r="BZ857" t="s">
        <v>0</v>
      </c>
      <c r="CA857" t="s">
        <v>0</v>
      </c>
      <c r="CB857" t="s">
        <v>0</v>
      </c>
    </row>
    <row r="858" spans="1:80" ht="13.95" customHeight="1" x14ac:dyDescent="0.25">
      <c r="A858" t="s">
        <v>413</v>
      </c>
      <c r="B858" s="2">
        <v>45765</v>
      </c>
      <c r="C858" s="2">
        <v>45758</v>
      </c>
      <c r="D858" s="2">
        <v>45777</v>
      </c>
      <c r="E858" t="s">
        <v>2</v>
      </c>
      <c r="F858" t="s">
        <v>3</v>
      </c>
      <c r="G858" t="s">
        <v>0</v>
      </c>
      <c r="H858" t="s">
        <v>4</v>
      </c>
      <c r="I858" t="s">
        <v>414</v>
      </c>
      <c r="J858" t="s">
        <v>6</v>
      </c>
      <c r="K858" t="s">
        <v>86</v>
      </c>
      <c r="L858" t="s">
        <v>390</v>
      </c>
      <c r="M858" t="s">
        <v>391</v>
      </c>
      <c r="N858" t="s">
        <v>10</v>
      </c>
      <c r="O858" t="s">
        <v>0</v>
      </c>
      <c r="P858" t="s">
        <v>11</v>
      </c>
      <c r="Q858" s="5">
        <v>40</v>
      </c>
      <c r="R858" s="4">
        <v>58250</v>
      </c>
      <c r="S858" s="5">
        <v>1</v>
      </c>
      <c r="T858" s="4">
        <v>2330000</v>
      </c>
      <c r="U858" s="3">
        <v>4.88</v>
      </c>
      <c r="V858" s="4">
        <v>284260</v>
      </c>
      <c r="W858" s="3">
        <v>4.88</v>
      </c>
      <c r="X858" s="4">
        <v>284260</v>
      </c>
      <c r="Y858" s="4">
        <f t="shared" si="26"/>
        <v>2045740</v>
      </c>
      <c r="Z858" s="6" t="s">
        <v>0</v>
      </c>
      <c r="AA858" t="s">
        <v>2</v>
      </c>
      <c r="AB858" t="s">
        <v>12</v>
      </c>
      <c r="AC858">
        <f>_xlfn.XLOOKUP(AB858,'[1]GST Codes'!$A:$A,'[1]GST Codes'!$C:$C,0,0)</f>
        <v>18</v>
      </c>
      <c r="AD858">
        <f t="shared" si="27"/>
        <v>2413973.2000000002</v>
      </c>
      <c r="AE858" t="s">
        <v>13</v>
      </c>
      <c r="AF858" t="s">
        <v>0</v>
      </c>
      <c r="AG858" t="s">
        <v>14</v>
      </c>
      <c r="AH858" t="s">
        <v>15</v>
      </c>
      <c r="AI858" t="s">
        <v>16</v>
      </c>
      <c r="AJ858" t="s">
        <v>17</v>
      </c>
      <c r="AK858" t="s">
        <v>18</v>
      </c>
      <c r="AL858" t="s">
        <v>19</v>
      </c>
      <c r="AM858" t="s">
        <v>415</v>
      </c>
      <c r="AN858" t="s">
        <v>0</v>
      </c>
      <c r="AO858" t="s">
        <v>0</v>
      </c>
      <c r="AP858" t="s">
        <v>0</v>
      </c>
      <c r="AQ858" s="5">
        <v>40</v>
      </c>
      <c r="AR858" t="s">
        <v>11</v>
      </c>
      <c r="AS858" t="s">
        <v>0</v>
      </c>
      <c r="AT858" t="s">
        <v>17</v>
      </c>
      <c r="AU858" s="4">
        <v>0</v>
      </c>
      <c r="AV858" s="4">
        <v>0</v>
      </c>
      <c r="AW858" s="4">
        <v>0</v>
      </c>
      <c r="AX858" s="4">
        <v>0</v>
      </c>
      <c r="AY858" s="5">
        <v>0</v>
      </c>
      <c r="AZ858" s="5">
        <v>0</v>
      </c>
      <c r="BA858" s="5">
        <v>0</v>
      </c>
      <c r="BB858" s="2"/>
      <c r="BC858" t="s">
        <v>0</v>
      </c>
      <c r="BD858" s="5">
        <v>1</v>
      </c>
      <c r="BE858" t="s">
        <v>0</v>
      </c>
      <c r="BF858" t="s">
        <v>417</v>
      </c>
      <c r="BG858" t="s">
        <v>17</v>
      </c>
      <c r="BH858" t="s">
        <v>0</v>
      </c>
      <c r="BI858" t="s">
        <v>11</v>
      </c>
      <c r="BJ858" t="s">
        <v>0</v>
      </c>
      <c r="BK858" t="s">
        <v>0</v>
      </c>
      <c r="BL858" s="5">
        <v>0</v>
      </c>
      <c r="BM858" t="s">
        <v>0</v>
      </c>
      <c r="BN858" t="s">
        <v>0</v>
      </c>
      <c r="BO858" t="s">
        <v>0</v>
      </c>
      <c r="BP858" t="s">
        <v>17</v>
      </c>
      <c r="BQ858" t="s">
        <v>0</v>
      </c>
      <c r="BR858" t="s">
        <v>17</v>
      </c>
      <c r="BS858" t="s">
        <v>17</v>
      </c>
      <c r="BT858" t="s">
        <v>0</v>
      </c>
      <c r="BU858" t="s">
        <v>0</v>
      </c>
      <c r="BV858" t="s">
        <v>0</v>
      </c>
      <c r="BW858" t="s">
        <v>0</v>
      </c>
      <c r="BX858" t="s">
        <v>0</v>
      </c>
      <c r="BY858" t="s">
        <v>0</v>
      </c>
      <c r="BZ858" t="s">
        <v>0</v>
      </c>
      <c r="CA858" t="s">
        <v>0</v>
      </c>
      <c r="CB858" t="s">
        <v>0</v>
      </c>
    </row>
    <row r="859" spans="1:80" ht="13.95" customHeight="1" x14ac:dyDescent="0.25">
      <c r="A859" t="s">
        <v>418</v>
      </c>
      <c r="B859" s="2">
        <v>45775</v>
      </c>
      <c r="C859" s="2"/>
      <c r="D859" s="2"/>
      <c r="E859" t="s">
        <v>2</v>
      </c>
      <c r="F859" t="s">
        <v>3</v>
      </c>
      <c r="G859" t="s">
        <v>0</v>
      </c>
      <c r="H859" t="s">
        <v>4</v>
      </c>
      <c r="I859" t="s">
        <v>414</v>
      </c>
      <c r="J859" t="s">
        <v>6</v>
      </c>
      <c r="K859" t="s">
        <v>7</v>
      </c>
      <c r="L859" t="s">
        <v>329</v>
      </c>
      <c r="M859" t="s">
        <v>339</v>
      </c>
      <c r="N859" t="s">
        <v>10</v>
      </c>
      <c r="O859" t="s">
        <v>0</v>
      </c>
      <c r="P859" t="s">
        <v>11</v>
      </c>
      <c r="Q859" s="5">
        <v>11</v>
      </c>
      <c r="R859" s="4">
        <v>57000</v>
      </c>
      <c r="S859" s="5">
        <v>1</v>
      </c>
      <c r="T859" s="4">
        <v>627000</v>
      </c>
      <c r="U859" s="5">
        <v>4</v>
      </c>
      <c r="V859" s="4">
        <v>228000</v>
      </c>
      <c r="W859" s="5">
        <v>4</v>
      </c>
      <c r="X859" s="4">
        <v>228000</v>
      </c>
      <c r="Y859" s="4">
        <f t="shared" si="26"/>
        <v>399000</v>
      </c>
      <c r="Z859" s="6" t="s">
        <v>0</v>
      </c>
      <c r="AA859" t="s">
        <v>2</v>
      </c>
      <c r="AB859" t="s">
        <v>12</v>
      </c>
      <c r="AC859">
        <f>_xlfn.XLOOKUP(AB859,'[1]GST Codes'!$A:$A,'[1]GST Codes'!$C:$C,0,0)</f>
        <v>18</v>
      </c>
      <c r="AD859">
        <f t="shared" si="27"/>
        <v>470820</v>
      </c>
      <c r="AE859" t="s">
        <v>13</v>
      </c>
      <c r="AF859" t="s">
        <v>0</v>
      </c>
      <c r="AG859" t="s">
        <v>14</v>
      </c>
      <c r="AH859" t="s">
        <v>15</v>
      </c>
      <c r="AI859" t="s">
        <v>16</v>
      </c>
      <c r="AJ859" t="s">
        <v>17</v>
      </c>
      <c r="AK859" t="s">
        <v>18</v>
      </c>
      <c r="AL859" t="s">
        <v>19</v>
      </c>
      <c r="AM859" t="s">
        <v>415</v>
      </c>
      <c r="AN859" t="s">
        <v>0</v>
      </c>
      <c r="AO859" t="s">
        <v>0</v>
      </c>
      <c r="AP859" t="s">
        <v>0</v>
      </c>
      <c r="AQ859" s="5">
        <v>11</v>
      </c>
      <c r="AR859" t="s">
        <v>11</v>
      </c>
      <c r="AS859" t="s">
        <v>0</v>
      </c>
      <c r="AT859" t="s">
        <v>17</v>
      </c>
      <c r="AU859" s="4">
        <v>0</v>
      </c>
      <c r="AV859" s="4">
        <v>0</v>
      </c>
      <c r="AW859" s="4">
        <v>0</v>
      </c>
      <c r="AX859" s="4">
        <v>0</v>
      </c>
      <c r="AY859" s="5">
        <v>0</v>
      </c>
      <c r="AZ859" s="5">
        <v>0</v>
      </c>
      <c r="BA859" s="5">
        <v>0</v>
      </c>
      <c r="BB859" s="2"/>
      <c r="BC859" t="s">
        <v>0</v>
      </c>
      <c r="BD859" s="5">
        <v>1</v>
      </c>
      <c r="BE859" t="s">
        <v>0</v>
      </c>
      <c r="BF859" t="s">
        <v>419</v>
      </c>
      <c r="BG859" t="s">
        <v>17</v>
      </c>
      <c r="BH859" t="s">
        <v>0</v>
      </c>
      <c r="BI859" t="s">
        <v>11</v>
      </c>
      <c r="BJ859" t="s">
        <v>0</v>
      </c>
      <c r="BK859" t="s">
        <v>0</v>
      </c>
      <c r="BL859" s="5">
        <v>0</v>
      </c>
      <c r="BM859" t="s">
        <v>0</v>
      </c>
      <c r="BN859" t="s">
        <v>0</v>
      </c>
      <c r="BO859" t="s">
        <v>0</v>
      </c>
      <c r="BP859" t="s">
        <v>17</v>
      </c>
      <c r="BQ859" t="s">
        <v>0</v>
      </c>
      <c r="BR859" t="s">
        <v>17</v>
      </c>
      <c r="BS859" t="s">
        <v>17</v>
      </c>
      <c r="BT859" t="s">
        <v>0</v>
      </c>
      <c r="BU859" t="s">
        <v>0</v>
      </c>
      <c r="BV859" t="s">
        <v>0</v>
      </c>
      <c r="BW859" t="s">
        <v>0</v>
      </c>
      <c r="BX859" t="s">
        <v>0</v>
      </c>
      <c r="BY859" t="s">
        <v>0</v>
      </c>
      <c r="BZ859" t="s">
        <v>0</v>
      </c>
      <c r="CA859" t="s">
        <v>0</v>
      </c>
      <c r="CB859" t="s">
        <v>0</v>
      </c>
    </row>
    <row r="860" spans="1:80" ht="13.95" customHeight="1" x14ac:dyDescent="0.25">
      <c r="A860" t="s">
        <v>418</v>
      </c>
      <c r="B860" s="2">
        <v>45775</v>
      </c>
      <c r="C860" s="2"/>
      <c r="D860" s="2"/>
      <c r="E860" t="s">
        <v>2</v>
      </c>
      <c r="F860" t="s">
        <v>3</v>
      </c>
      <c r="G860" t="s">
        <v>0</v>
      </c>
      <c r="H860" t="s">
        <v>4</v>
      </c>
      <c r="I860" t="s">
        <v>414</v>
      </c>
      <c r="J860" t="s">
        <v>6</v>
      </c>
      <c r="K860" t="s">
        <v>22</v>
      </c>
      <c r="L860" t="s">
        <v>329</v>
      </c>
      <c r="M860" t="s">
        <v>339</v>
      </c>
      <c r="N860" t="s">
        <v>10</v>
      </c>
      <c r="O860" t="s">
        <v>0</v>
      </c>
      <c r="P860" t="s">
        <v>11</v>
      </c>
      <c r="Q860" s="5">
        <v>11</v>
      </c>
      <c r="R860" s="4">
        <v>57000</v>
      </c>
      <c r="S860" s="5">
        <v>1</v>
      </c>
      <c r="T860" s="4">
        <v>627000</v>
      </c>
      <c r="U860" s="5">
        <v>4</v>
      </c>
      <c r="V860" s="4">
        <v>228000</v>
      </c>
      <c r="W860" s="5">
        <v>4</v>
      </c>
      <c r="X860" s="4">
        <v>228000</v>
      </c>
      <c r="Y860" s="4">
        <f t="shared" si="26"/>
        <v>399000</v>
      </c>
      <c r="Z860" s="6" t="s">
        <v>0</v>
      </c>
      <c r="AA860" t="s">
        <v>2</v>
      </c>
      <c r="AB860" t="s">
        <v>12</v>
      </c>
      <c r="AC860">
        <f>_xlfn.XLOOKUP(AB860,'[1]GST Codes'!$A:$A,'[1]GST Codes'!$C:$C,0,0)</f>
        <v>18</v>
      </c>
      <c r="AD860">
        <f t="shared" si="27"/>
        <v>470820</v>
      </c>
      <c r="AE860" t="s">
        <v>13</v>
      </c>
      <c r="AF860" t="s">
        <v>0</v>
      </c>
      <c r="AG860" t="s">
        <v>14</v>
      </c>
      <c r="AH860" t="s">
        <v>15</v>
      </c>
      <c r="AI860" t="s">
        <v>16</v>
      </c>
      <c r="AJ860" t="s">
        <v>17</v>
      </c>
      <c r="AK860" t="s">
        <v>18</v>
      </c>
      <c r="AL860" t="s">
        <v>19</v>
      </c>
      <c r="AM860" t="s">
        <v>415</v>
      </c>
      <c r="AN860" t="s">
        <v>0</v>
      </c>
      <c r="AO860" t="s">
        <v>0</v>
      </c>
      <c r="AP860" t="s">
        <v>0</v>
      </c>
      <c r="AQ860" s="5">
        <v>11</v>
      </c>
      <c r="AR860" t="s">
        <v>11</v>
      </c>
      <c r="AS860" t="s">
        <v>0</v>
      </c>
      <c r="AT860" t="s">
        <v>17</v>
      </c>
      <c r="AU860" s="4">
        <v>0</v>
      </c>
      <c r="AV860" s="4">
        <v>0</v>
      </c>
      <c r="AW860" s="4">
        <v>0</v>
      </c>
      <c r="AX860" s="4">
        <v>0</v>
      </c>
      <c r="AY860" s="5">
        <v>0</v>
      </c>
      <c r="AZ860" s="5">
        <v>0</v>
      </c>
      <c r="BA860" s="5">
        <v>0</v>
      </c>
      <c r="BB860" s="2"/>
      <c r="BC860" t="s">
        <v>0</v>
      </c>
      <c r="BD860" s="5">
        <v>1</v>
      </c>
      <c r="BE860" t="s">
        <v>0</v>
      </c>
      <c r="BF860" t="s">
        <v>419</v>
      </c>
      <c r="BG860" t="s">
        <v>17</v>
      </c>
      <c r="BH860" t="s">
        <v>0</v>
      </c>
      <c r="BI860" t="s">
        <v>11</v>
      </c>
      <c r="BJ860" t="s">
        <v>0</v>
      </c>
      <c r="BK860" t="s">
        <v>0</v>
      </c>
      <c r="BL860" s="5">
        <v>0</v>
      </c>
      <c r="BM860" t="s">
        <v>0</v>
      </c>
      <c r="BN860" t="s">
        <v>0</v>
      </c>
      <c r="BO860" t="s">
        <v>0</v>
      </c>
      <c r="BP860" t="s">
        <v>17</v>
      </c>
      <c r="BQ860" t="s">
        <v>0</v>
      </c>
      <c r="BR860" t="s">
        <v>17</v>
      </c>
      <c r="BS860" t="s">
        <v>17</v>
      </c>
      <c r="BT860" t="s">
        <v>0</v>
      </c>
      <c r="BU860" t="s">
        <v>0</v>
      </c>
      <c r="BV860" t="s">
        <v>0</v>
      </c>
      <c r="BW860" t="s">
        <v>0</v>
      </c>
      <c r="BX860" t="s">
        <v>0</v>
      </c>
      <c r="BY860" t="s">
        <v>0</v>
      </c>
      <c r="BZ860" t="s">
        <v>0</v>
      </c>
      <c r="CA860" t="s">
        <v>0</v>
      </c>
      <c r="CB860" t="s">
        <v>0</v>
      </c>
    </row>
    <row r="861" spans="1:80" ht="13.95" customHeight="1" x14ac:dyDescent="0.25">
      <c r="A861" t="s">
        <v>418</v>
      </c>
      <c r="B861" s="2">
        <v>45775</v>
      </c>
      <c r="C861" s="2"/>
      <c r="D861" s="2"/>
      <c r="E861" t="s">
        <v>2</v>
      </c>
      <c r="F861" t="s">
        <v>3</v>
      </c>
      <c r="G861" t="s">
        <v>0</v>
      </c>
      <c r="H861" t="s">
        <v>4</v>
      </c>
      <c r="I861" t="s">
        <v>414</v>
      </c>
      <c r="J861" t="s">
        <v>6</v>
      </c>
      <c r="K861" t="s">
        <v>26</v>
      </c>
      <c r="L861" t="s">
        <v>329</v>
      </c>
      <c r="M861" t="s">
        <v>339</v>
      </c>
      <c r="N861" t="s">
        <v>10</v>
      </c>
      <c r="O861" t="s">
        <v>0</v>
      </c>
      <c r="P861" t="s">
        <v>11</v>
      </c>
      <c r="Q861" s="5">
        <v>11</v>
      </c>
      <c r="R861" s="4">
        <v>57000</v>
      </c>
      <c r="S861" s="5">
        <v>1</v>
      </c>
      <c r="T861" s="4">
        <v>627000</v>
      </c>
      <c r="U861" s="5">
        <v>4</v>
      </c>
      <c r="V861" s="4">
        <v>228000</v>
      </c>
      <c r="W861" s="5">
        <v>4</v>
      </c>
      <c r="X861" s="4">
        <v>228000</v>
      </c>
      <c r="Y861" s="4">
        <f t="shared" si="26"/>
        <v>399000</v>
      </c>
      <c r="Z861" s="6" t="s">
        <v>0</v>
      </c>
      <c r="AA861" t="s">
        <v>2</v>
      </c>
      <c r="AB861" t="s">
        <v>12</v>
      </c>
      <c r="AC861">
        <f>_xlfn.XLOOKUP(AB861,'[1]GST Codes'!$A:$A,'[1]GST Codes'!$C:$C,0,0)</f>
        <v>18</v>
      </c>
      <c r="AD861">
        <f t="shared" si="27"/>
        <v>470820</v>
      </c>
      <c r="AE861" t="s">
        <v>13</v>
      </c>
      <c r="AF861" t="s">
        <v>0</v>
      </c>
      <c r="AG861" t="s">
        <v>14</v>
      </c>
      <c r="AH861" t="s">
        <v>15</v>
      </c>
      <c r="AI861" t="s">
        <v>16</v>
      </c>
      <c r="AJ861" t="s">
        <v>17</v>
      </c>
      <c r="AK861" t="s">
        <v>18</v>
      </c>
      <c r="AL861" t="s">
        <v>19</v>
      </c>
      <c r="AM861" t="s">
        <v>415</v>
      </c>
      <c r="AN861" t="s">
        <v>0</v>
      </c>
      <c r="AO861" t="s">
        <v>0</v>
      </c>
      <c r="AP861" t="s">
        <v>0</v>
      </c>
      <c r="AQ861" s="5">
        <v>11</v>
      </c>
      <c r="AR861" t="s">
        <v>11</v>
      </c>
      <c r="AS861" t="s">
        <v>0</v>
      </c>
      <c r="AT861" t="s">
        <v>17</v>
      </c>
      <c r="AU861" s="4">
        <v>0</v>
      </c>
      <c r="AV861" s="4">
        <v>0</v>
      </c>
      <c r="AW861" s="4">
        <v>0</v>
      </c>
      <c r="AX861" s="4">
        <v>0</v>
      </c>
      <c r="AY861" s="5">
        <v>0</v>
      </c>
      <c r="AZ861" s="5">
        <v>0</v>
      </c>
      <c r="BA861" s="5">
        <v>0</v>
      </c>
      <c r="BB861" s="2"/>
      <c r="BC861" t="s">
        <v>0</v>
      </c>
      <c r="BD861" s="5">
        <v>1</v>
      </c>
      <c r="BE861" t="s">
        <v>0</v>
      </c>
      <c r="BF861" t="s">
        <v>419</v>
      </c>
      <c r="BG861" t="s">
        <v>17</v>
      </c>
      <c r="BH861" t="s">
        <v>0</v>
      </c>
      <c r="BI861" t="s">
        <v>11</v>
      </c>
      <c r="BJ861" t="s">
        <v>0</v>
      </c>
      <c r="BK861" t="s">
        <v>0</v>
      </c>
      <c r="BL861" s="5">
        <v>0</v>
      </c>
      <c r="BM861" t="s">
        <v>0</v>
      </c>
      <c r="BN861" t="s">
        <v>0</v>
      </c>
      <c r="BO861" t="s">
        <v>0</v>
      </c>
      <c r="BP861" t="s">
        <v>17</v>
      </c>
      <c r="BQ861" t="s">
        <v>0</v>
      </c>
      <c r="BR861" t="s">
        <v>17</v>
      </c>
      <c r="BS861" t="s">
        <v>17</v>
      </c>
      <c r="BT861" t="s">
        <v>0</v>
      </c>
      <c r="BU861" t="s">
        <v>0</v>
      </c>
      <c r="BV861" t="s">
        <v>0</v>
      </c>
      <c r="BW861" t="s">
        <v>0</v>
      </c>
      <c r="BX861" t="s">
        <v>0</v>
      </c>
      <c r="BY861" t="s">
        <v>0</v>
      </c>
      <c r="BZ861" t="s">
        <v>0</v>
      </c>
      <c r="CA861" t="s">
        <v>0</v>
      </c>
      <c r="CB861" t="s">
        <v>0</v>
      </c>
    </row>
    <row r="862" spans="1:80" ht="13.95" customHeight="1" x14ac:dyDescent="0.25">
      <c r="A862" t="s">
        <v>418</v>
      </c>
      <c r="B862" s="2">
        <v>45775</v>
      </c>
      <c r="C862" s="2"/>
      <c r="D862" s="2"/>
      <c r="E862" t="s">
        <v>2</v>
      </c>
      <c r="F862" t="s">
        <v>3</v>
      </c>
      <c r="G862" t="s">
        <v>0</v>
      </c>
      <c r="H862" t="s">
        <v>4</v>
      </c>
      <c r="I862" t="s">
        <v>414</v>
      </c>
      <c r="J862" t="s">
        <v>6</v>
      </c>
      <c r="K862" t="s">
        <v>30</v>
      </c>
      <c r="L862" t="s">
        <v>329</v>
      </c>
      <c r="M862" t="s">
        <v>339</v>
      </c>
      <c r="N862" t="s">
        <v>10</v>
      </c>
      <c r="O862" t="s">
        <v>0</v>
      </c>
      <c r="P862" t="s">
        <v>11</v>
      </c>
      <c r="Q862" s="5">
        <v>11</v>
      </c>
      <c r="R862" s="4">
        <v>57000</v>
      </c>
      <c r="S862" s="5">
        <v>1</v>
      </c>
      <c r="T862" s="4">
        <v>627000</v>
      </c>
      <c r="U862" s="5">
        <v>4</v>
      </c>
      <c r="V862" s="4">
        <v>228000</v>
      </c>
      <c r="W862" s="5">
        <v>4</v>
      </c>
      <c r="X862" s="4">
        <v>228000</v>
      </c>
      <c r="Y862" s="4">
        <f t="shared" si="26"/>
        <v>399000</v>
      </c>
      <c r="Z862" s="6" t="s">
        <v>0</v>
      </c>
      <c r="AA862" t="s">
        <v>2</v>
      </c>
      <c r="AB862" t="s">
        <v>12</v>
      </c>
      <c r="AC862">
        <f>_xlfn.XLOOKUP(AB862,'[1]GST Codes'!$A:$A,'[1]GST Codes'!$C:$C,0,0)</f>
        <v>18</v>
      </c>
      <c r="AD862">
        <f t="shared" si="27"/>
        <v>470820</v>
      </c>
      <c r="AE862" t="s">
        <v>13</v>
      </c>
      <c r="AF862" t="s">
        <v>0</v>
      </c>
      <c r="AG862" t="s">
        <v>14</v>
      </c>
      <c r="AH862" t="s">
        <v>15</v>
      </c>
      <c r="AI862" t="s">
        <v>16</v>
      </c>
      <c r="AJ862" t="s">
        <v>17</v>
      </c>
      <c r="AK862" t="s">
        <v>18</v>
      </c>
      <c r="AL862" t="s">
        <v>19</v>
      </c>
      <c r="AM862" t="s">
        <v>415</v>
      </c>
      <c r="AN862" t="s">
        <v>0</v>
      </c>
      <c r="AO862" t="s">
        <v>0</v>
      </c>
      <c r="AP862" t="s">
        <v>0</v>
      </c>
      <c r="AQ862" s="5">
        <v>11</v>
      </c>
      <c r="AR862" t="s">
        <v>11</v>
      </c>
      <c r="AS862" t="s">
        <v>0</v>
      </c>
      <c r="AT862" t="s">
        <v>17</v>
      </c>
      <c r="AU862" s="4">
        <v>0</v>
      </c>
      <c r="AV862" s="4">
        <v>0</v>
      </c>
      <c r="AW862" s="4">
        <v>0</v>
      </c>
      <c r="AX862" s="4">
        <v>0</v>
      </c>
      <c r="AY862" s="5">
        <v>0</v>
      </c>
      <c r="AZ862" s="5">
        <v>0</v>
      </c>
      <c r="BA862" s="5">
        <v>0</v>
      </c>
      <c r="BB862" s="2"/>
      <c r="BC862" t="s">
        <v>0</v>
      </c>
      <c r="BD862" s="5">
        <v>1</v>
      </c>
      <c r="BE862" t="s">
        <v>0</v>
      </c>
      <c r="BF862" t="s">
        <v>419</v>
      </c>
      <c r="BG862" t="s">
        <v>17</v>
      </c>
      <c r="BH862" t="s">
        <v>0</v>
      </c>
      <c r="BI862" t="s">
        <v>11</v>
      </c>
      <c r="BJ862" t="s">
        <v>0</v>
      </c>
      <c r="BK862" t="s">
        <v>0</v>
      </c>
      <c r="BL862" s="5">
        <v>0</v>
      </c>
      <c r="BM862" t="s">
        <v>0</v>
      </c>
      <c r="BN862" t="s">
        <v>0</v>
      </c>
      <c r="BO862" t="s">
        <v>0</v>
      </c>
      <c r="BP862" t="s">
        <v>17</v>
      </c>
      <c r="BQ862" t="s">
        <v>0</v>
      </c>
      <c r="BR862" t="s">
        <v>17</v>
      </c>
      <c r="BS862" t="s">
        <v>17</v>
      </c>
      <c r="BT862" t="s">
        <v>0</v>
      </c>
      <c r="BU862" t="s">
        <v>0</v>
      </c>
      <c r="BV862" t="s">
        <v>0</v>
      </c>
      <c r="BW862" t="s">
        <v>0</v>
      </c>
      <c r="BX862" t="s">
        <v>0</v>
      </c>
      <c r="BY862" t="s">
        <v>0</v>
      </c>
      <c r="BZ862" t="s">
        <v>0</v>
      </c>
      <c r="CA862" t="s">
        <v>0</v>
      </c>
      <c r="CB862" t="s">
        <v>0</v>
      </c>
    </row>
    <row r="863" spans="1:80" ht="13.95" customHeight="1" x14ac:dyDescent="0.25">
      <c r="A863" t="s">
        <v>418</v>
      </c>
      <c r="B863" s="2">
        <v>45775</v>
      </c>
      <c r="C863" s="2"/>
      <c r="D863" s="2"/>
      <c r="E863" t="s">
        <v>2</v>
      </c>
      <c r="F863" t="s">
        <v>3</v>
      </c>
      <c r="G863" t="s">
        <v>0</v>
      </c>
      <c r="H863" t="s">
        <v>4</v>
      </c>
      <c r="I863" t="s">
        <v>414</v>
      </c>
      <c r="J863" t="s">
        <v>6</v>
      </c>
      <c r="K863" t="s">
        <v>34</v>
      </c>
      <c r="L863" t="s">
        <v>329</v>
      </c>
      <c r="M863" t="s">
        <v>339</v>
      </c>
      <c r="N863" t="s">
        <v>10</v>
      </c>
      <c r="O863" t="s">
        <v>0</v>
      </c>
      <c r="P863" t="s">
        <v>11</v>
      </c>
      <c r="Q863" s="5">
        <v>11</v>
      </c>
      <c r="R863" s="4">
        <v>57000</v>
      </c>
      <c r="S863" s="5">
        <v>1</v>
      </c>
      <c r="T863" s="4">
        <v>627000</v>
      </c>
      <c r="U863" s="5">
        <v>4</v>
      </c>
      <c r="V863" s="4">
        <v>228000</v>
      </c>
      <c r="W863" s="5">
        <v>4</v>
      </c>
      <c r="X863" s="4">
        <v>228000</v>
      </c>
      <c r="Y863" s="4">
        <f t="shared" si="26"/>
        <v>399000</v>
      </c>
      <c r="Z863" s="6" t="s">
        <v>0</v>
      </c>
      <c r="AA863" t="s">
        <v>2</v>
      </c>
      <c r="AB863" t="s">
        <v>12</v>
      </c>
      <c r="AC863">
        <f>_xlfn.XLOOKUP(AB863,'[1]GST Codes'!$A:$A,'[1]GST Codes'!$C:$C,0,0)</f>
        <v>18</v>
      </c>
      <c r="AD863">
        <f t="shared" si="27"/>
        <v>470820</v>
      </c>
      <c r="AE863" t="s">
        <v>13</v>
      </c>
      <c r="AF863" t="s">
        <v>0</v>
      </c>
      <c r="AG863" t="s">
        <v>14</v>
      </c>
      <c r="AH863" t="s">
        <v>15</v>
      </c>
      <c r="AI863" t="s">
        <v>16</v>
      </c>
      <c r="AJ863" t="s">
        <v>17</v>
      </c>
      <c r="AK863" t="s">
        <v>18</v>
      </c>
      <c r="AL863" t="s">
        <v>19</v>
      </c>
      <c r="AM863" t="s">
        <v>415</v>
      </c>
      <c r="AN863" t="s">
        <v>0</v>
      </c>
      <c r="AO863" t="s">
        <v>0</v>
      </c>
      <c r="AP863" t="s">
        <v>0</v>
      </c>
      <c r="AQ863" s="5">
        <v>11</v>
      </c>
      <c r="AR863" t="s">
        <v>11</v>
      </c>
      <c r="AS863" t="s">
        <v>0</v>
      </c>
      <c r="AT863" t="s">
        <v>17</v>
      </c>
      <c r="AU863" s="4">
        <v>0</v>
      </c>
      <c r="AV863" s="4">
        <v>0</v>
      </c>
      <c r="AW863" s="4">
        <v>0</v>
      </c>
      <c r="AX863" s="4">
        <v>0</v>
      </c>
      <c r="AY863" s="5">
        <v>0</v>
      </c>
      <c r="AZ863" s="5">
        <v>0</v>
      </c>
      <c r="BA863" s="5">
        <v>0</v>
      </c>
      <c r="BB863" s="2"/>
      <c r="BC863" t="s">
        <v>0</v>
      </c>
      <c r="BD863" s="5">
        <v>1</v>
      </c>
      <c r="BE863" t="s">
        <v>0</v>
      </c>
      <c r="BF863" t="s">
        <v>419</v>
      </c>
      <c r="BG863" t="s">
        <v>17</v>
      </c>
      <c r="BH863" t="s">
        <v>0</v>
      </c>
      <c r="BI863" t="s">
        <v>11</v>
      </c>
      <c r="BJ863" t="s">
        <v>0</v>
      </c>
      <c r="BK863" t="s">
        <v>0</v>
      </c>
      <c r="BL863" s="5">
        <v>0</v>
      </c>
      <c r="BM863" t="s">
        <v>0</v>
      </c>
      <c r="BN863" t="s">
        <v>0</v>
      </c>
      <c r="BO863" t="s">
        <v>0</v>
      </c>
      <c r="BP863" t="s">
        <v>17</v>
      </c>
      <c r="BQ863" t="s">
        <v>0</v>
      </c>
      <c r="BR863" t="s">
        <v>17</v>
      </c>
      <c r="BS863" t="s">
        <v>17</v>
      </c>
      <c r="BT863" t="s">
        <v>0</v>
      </c>
      <c r="BU863" t="s">
        <v>0</v>
      </c>
      <c r="BV863" t="s">
        <v>0</v>
      </c>
      <c r="BW863" t="s">
        <v>0</v>
      </c>
      <c r="BX863" t="s">
        <v>0</v>
      </c>
      <c r="BY863" t="s">
        <v>0</v>
      </c>
      <c r="BZ863" t="s">
        <v>0</v>
      </c>
      <c r="CA863" t="s">
        <v>0</v>
      </c>
      <c r="CB863" t="s">
        <v>0</v>
      </c>
    </row>
    <row r="864" spans="1:80" ht="13.95" customHeight="1" x14ac:dyDescent="0.25">
      <c r="A864" t="s">
        <v>418</v>
      </c>
      <c r="B864" s="2">
        <v>45775</v>
      </c>
      <c r="C864" s="2"/>
      <c r="D864" s="2"/>
      <c r="E864" t="s">
        <v>2</v>
      </c>
      <c r="F864" t="s">
        <v>3</v>
      </c>
      <c r="G864" t="s">
        <v>0</v>
      </c>
      <c r="H864" t="s">
        <v>4</v>
      </c>
      <c r="I864" t="s">
        <v>414</v>
      </c>
      <c r="J864" t="s">
        <v>6</v>
      </c>
      <c r="K864" t="s">
        <v>38</v>
      </c>
      <c r="L864" t="s">
        <v>329</v>
      </c>
      <c r="M864" t="s">
        <v>339</v>
      </c>
      <c r="N864" t="s">
        <v>10</v>
      </c>
      <c r="O864" t="s">
        <v>0</v>
      </c>
      <c r="P864" t="s">
        <v>11</v>
      </c>
      <c r="Q864" s="5">
        <v>10</v>
      </c>
      <c r="R864" s="4">
        <v>57000</v>
      </c>
      <c r="S864" s="5">
        <v>1</v>
      </c>
      <c r="T864" s="4">
        <v>570000</v>
      </c>
      <c r="U864" s="3">
        <v>4.5599999999999996</v>
      </c>
      <c r="V864" s="4">
        <v>259920</v>
      </c>
      <c r="W864" s="3">
        <v>4.5599999999999996</v>
      </c>
      <c r="X864" s="4">
        <v>259920</v>
      </c>
      <c r="Y864" s="4">
        <f t="shared" si="26"/>
        <v>310080</v>
      </c>
      <c r="Z864" s="6" t="s">
        <v>0</v>
      </c>
      <c r="AA864" t="s">
        <v>2</v>
      </c>
      <c r="AB864" t="s">
        <v>12</v>
      </c>
      <c r="AC864">
        <f>_xlfn.XLOOKUP(AB864,'[1]GST Codes'!$A:$A,'[1]GST Codes'!$C:$C,0,0)</f>
        <v>18</v>
      </c>
      <c r="AD864">
        <f t="shared" si="27"/>
        <v>365894.40000000002</v>
      </c>
      <c r="AE864" t="s">
        <v>13</v>
      </c>
      <c r="AF864" t="s">
        <v>0</v>
      </c>
      <c r="AG864" t="s">
        <v>14</v>
      </c>
      <c r="AH864" t="s">
        <v>15</v>
      </c>
      <c r="AI864" t="s">
        <v>16</v>
      </c>
      <c r="AJ864" t="s">
        <v>17</v>
      </c>
      <c r="AK864" t="s">
        <v>18</v>
      </c>
      <c r="AL864" t="s">
        <v>19</v>
      </c>
      <c r="AM864" t="s">
        <v>415</v>
      </c>
      <c r="AN864" t="s">
        <v>0</v>
      </c>
      <c r="AO864" t="s">
        <v>0</v>
      </c>
      <c r="AP864" t="s">
        <v>0</v>
      </c>
      <c r="AQ864" s="5">
        <v>10</v>
      </c>
      <c r="AR864" t="s">
        <v>11</v>
      </c>
      <c r="AS864" t="s">
        <v>0</v>
      </c>
      <c r="AT864" t="s">
        <v>17</v>
      </c>
      <c r="AU864" s="4">
        <v>0</v>
      </c>
      <c r="AV864" s="4">
        <v>0</v>
      </c>
      <c r="AW864" s="4">
        <v>0</v>
      </c>
      <c r="AX864" s="4">
        <v>0</v>
      </c>
      <c r="AY864" s="5">
        <v>0</v>
      </c>
      <c r="AZ864" s="5">
        <v>0</v>
      </c>
      <c r="BA864" s="5">
        <v>0</v>
      </c>
      <c r="BB864" s="2"/>
      <c r="BC864" t="s">
        <v>0</v>
      </c>
      <c r="BD864" s="5">
        <v>1</v>
      </c>
      <c r="BE864" t="s">
        <v>0</v>
      </c>
      <c r="BF864" t="s">
        <v>419</v>
      </c>
      <c r="BG864" t="s">
        <v>17</v>
      </c>
      <c r="BH864" t="s">
        <v>0</v>
      </c>
      <c r="BI864" t="s">
        <v>11</v>
      </c>
      <c r="BJ864" t="s">
        <v>0</v>
      </c>
      <c r="BK864" t="s">
        <v>0</v>
      </c>
      <c r="BL864" s="5">
        <v>0</v>
      </c>
      <c r="BM864" t="s">
        <v>0</v>
      </c>
      <c r="BN864" t="s">
        <v>0</v>
      </c>
      <c r="BO864" t="s">
        <v>0</v>
      </c>
      <c r="BP864" t="s">
        <v>17</v>
      </c>
      <c r="BQ864" t="s">
        <v>0</v>
      </c>
      <c r="BR864" t="s">
        <v>17</v>
      </c>
      <c r="BS864" t="s">
        <v>17</v>
      </c>
      <c r="BT864" t="s">
        <v>0</v>
      </c>
      <c r="BU864" t="s">
        <v>0</v>
      </c>
      <c r="BV864" t="s">
        <v>0</v>
      </c>
      <c r="BW864" t="s">
        <v>0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</row>
    <row r="865" spans="1:80" ht="13.95" customHeight="1" x14ac:dyDescent="0.25">
      <c r="A865" t="s">
        <v>420</v>
      </c>
      <c r="B865" s="2">
        <v>45940</v>
      </c>
      <c r="C865" s="2">
        <v>45940</v>
      </c>
      <c r="D865" s="2">
        <v>45971</v>
      </c>
      <c r="E865" t="s">
        <v>2</v>
      </c>
      <c r="F865" t="s">
        <v>3</v>
      </c>
      <c r="G865" t="s">
        <v>98</v>
      </c>
      <c r="H865" t="s">
        <v>4</v>
      </c>
      <c r="I865" t="s">
        <v>414</v>
      </c>
      <c r="J865" t="s">
        <v>6</v>
      </c>
      <c r="K865" t="s">
        <v>7</v>
      </c>
      <c r="L865" t="s">
        <v>386</v>
      </c>
      <c r="M865" t="s">
        <v>387</v>
      </c>
      <c r="N865" t="s">
        <v>10</v>
      </c>
      <c r="O865" t="s">
        <v>0</v>
      </c>
      <c r="P865" t="s">
        <v>11</v>
      </c>
      <c r="Q865" s="5">
        <v>50</v>
      </c>
      <c r="R865" s="4">
        <v>49000</v>
      </c>
      <c r="S865" s="5">
        <v>1</v>
      </c>
      <c r="T865" s="4">
        <v>2450000</v>
      </c>
      <c r="U865" s="5">
        <v>0</v>
      </c>
      <c r="V865" s="4">
        <v>0</v>
      </c>
      <c r="W865" s="5">
        <v>0</v>
      </c>
      <c r="X865" s="4">
        <v>0</v>
      </c>
      <c r="Y865" s="4">
        <f t="shared" si="26"/>
        <v>2450000</v>
      </c>
      <c r="Z865" s="6" t="s">
        <v>0</v>
      </c>
      <c r="AA865" t="s">
        <v>2</v>
      </c>
      <c r="AB865" t="s">
        <v>12</v>
      </c>
      <c r="AC865">
        <f>_xlfn.XLOOKUP(AB865,'[1]GST Codes'!$A:$A,'[1]GST Codes'!$C:$C,0,0)</f>
        <v>18</v>
      </c>
      <c r="AD865">
        <f t="shared" si="27"/>
        <v>2891000</v>
      </c>
      <c r="AE865" t="s">
        <v>13</v>
      </c>
      <c r="AF865" t="s">
        <v>0</v>
      </c>
      <c r="AG865" t="s">
        <v>14</v>
      </c>
      <c r="AH865" t="s">
        <v>15</v>
      </c>
      <c r="AI865" t="s">
        <v>85</v>
      </c>
      <c r="AJ865" t="s">
        <v>17</v>
      </c>
      <c r="AK865" t="s">
        <v>18</v>
      </c>
      <c r="AL865" t="s">
        <v>19</v>
      </c>
      <c r="AM865" t="s">
        <v>415</v>
      </c>
      <c r="AN865" t="s">
        <v>0</v>
      </c>
      <c r="AO865" t="s">
        <v>0</v>
      </c>
      <c r="AP865" t="s">
        <v>0</v>
      </c>
      <c r="AQ865" s="5">
        <v>50</v>
      </c>
      <c r="AR865" t="s">
        <v>11</v>
      </c>
      <c r="AS865" t="s">
        <v>0</v>
      </c>
      <c r="AT865" t="s">
        <v>17</v>
      </c>
      <c r="AU865" s="4">
        <v>0</v>
      </c>
      <c r="AV865" s="4">
        <v>0</v>
      </c>
      <c r="AW865" s="4">
        <v>0</v>
      </c>
      <c r="AX865" s="4">
        <v>0</v>
      </c>
      <c r="AY865" s="5">
        <v>0</v>
      </c>
      <c r="AZ865" s="5">
        <v>0</v>
      </c>
      <c r="BA865" s="5">
        <v>0</v>
      </c>
      <c r="BB865" s="2"/>
      <c r="BC865" t="s">
        <v>0</v>
      </c>
      <c r="BD865" s="5">
        <v>1</v>
      </c>
      <c r="BE865" t="s">
        <v>0</v>
      </c>
      <c r="BF865" t="s">
        <v>416</v>
      </c>
      <c r="BG865" t="s">
        <v>17</v>
      </c>
      <c r="BH865" t="s">
        <v>0</v>
      </c>
      <c r="BI865" t="s">
        <v>11</v>
      </c>
      <c r="BJ865" t="s">
        <v>0</v>
      </c>
      <c r="BK865" t="s">
        <v>0</v>
      </c>
      <c r="BL865" s="5">
        <v>0</v>
      </c>
      <c r="BM865" t="s">
        <v>0</v>
      </c>
      <c r="BN865" t="s">
        <v>0</v>
      </c>
      <c r="BO865" t="s">
        <v>0</v>
      </c>
      <c r="BP865" t="s">
        <v>17</v>
      </c>
      <c r="BQ865" t="s">
        <v>0</v>
      </c>
      <c r="BR865" t="s">
        <v>17</v>
      </c>
      <c r="BS865" t="s">
        <v>17</v>
      </c>
      <c r="BT865" t="s">
        <v>0</v>
      </c>
      <c r="BU865" t="s">
        <v>0</v>
      </c>
      <c r="BV865" t="s">
        <v>0</v>
      </c>
      <c r="BW865" t="s">
        <v>0</v>
      </c>
      <c r="BX865" t="s">
        <v>0</v>
      </c>
      <c r="BY865" t="s">
        <v>0</v>
      </c>
      <c r="BZ865" t="s">
        <v>0</v>
      </c>
      <c r="CA865" t="s">
        <v>0</v>
      </c>
      <c r="CB865" t="s">
        <v>0</v>
      </c>
    </row>
    <row r="866" spans="1:80" ht="13.95" customHeight="1" x14ac:dyDescent="0.25">
      <c r="A866" t="s">
        <v>420</v>
      </c>
      <c r="B866" s="2">
        <v>45940</v>
      </c>
      <c r="C866" s="2">
        <v>45940</v>
      </c>
      <c r="D866" s="2">
        <v>45971</v>
      </c>
      <c r="E866" t="s">
        <v>2</v>
      </c>
      <c r="F866" t="s">
        <v>3</v>
      </c>
      <c r="G866" t="s">
        <v>0</v>
      </c>
      <c r="H866" t="s">
        <v>4</v>
      </c>
      <c r="I866" t="s">
        <v>414</v>
      </c>
      <c r="J866" t="s">
        <v>6</v>
      </c>
      <c r="K866" t="s">
        <v>22</v>
      </c>
      <c r="L866" t="s">
        <v>390</v>
      </c>
      <c r="M866" t="s">
        <v>391</v>
      </c>
      <c r="N866" t="s">
        <v>10</v>
      </c>
      <c r="O866" t="s">
        <v>0</v>
      </c>
      <c r="P866" t="s">
        <v>11</v>
      </c>
      <c r="Q866" s="5">
        <v>70</v>
      </c>
      <c r="R866" s="4">
        <v>47500</v>
      </c>
      <c r="S866" s="5">
        <v>1</v>
      </c>
      <c r="T866" s="4">
        <v>3325000</v>
      </c>
      <c r="U866" s="3">
        <v>17.760000000000002</v>
      </c>
      <c r="V866" s="4">
        <v>843600</v>
      </c>
      <c r="W866" s="3">
        <v>17.760000000000002</v>
      </c>
      <c r="X866" s="4">
        <v>843600</v>
      </c>
      <c r="Y866" s="4">
        <f t="shared" si="26"/>
        <v>2481400</v>
      </c>
      <c r="Z866" s="6" t="s">
        <v>0</v>
      </c>
      <c r="AA866" t="s">
        <v>2</v>
      </c>
      <c r="AB866" t="s">
        <v>12</v>
      </c>
      <c r="AC866">
        <f>_xlfn.XLOOKUP(AB866,'[1]GST Codes'!$A:$A,'[1]GST Codes'!$C:$C,0,0)</f>
        <v>18</v>
      </c>
      <c r="AD866">
        <f t="shared" si="27"/>
        <v>2928052</v>
      </c>
      <c r="AE866" t="s">
        <v>13</v>
      </c>
      <c r="AF866" t="s">
        <v>0</v>
      </c>
      <c r="AG866" t="s">
        <v>14</v>
      </c>
      <c r="AH866" t="s">
        <v>15</v>
      </c>
      <c r="AI866" t="s">
        <v>85</v>
      </c>
      <c r="AJ866" t="s">
        <v>17</v>
      </c>
      <c r="AK866" t="s">
        <v>18</v>
      </c>
      <c r="AL866" t="s">
        <v>19</v>
      </c>
      <c r="AM866" t="s">
        <v>415</v>
      </c>
      <c r="AN866" t="s">
        <v>0</v>
      </c>
      <c r="AO866" t="s">
        <v>0</v>
      </c>
      <c r="AP866" t="s">
        <v>0</v>
      </c>
      <c r="AQ866" s="5">
        <v>70</v>
      </c>
      <c r="AR866" t="s">
        <v>11</v>
      </c>
      <c r="AS866" t="s">
        <v>0</v>
      </c>
      <c r="AT866" t="s">
        <v>17</v>
      </c>
      <c r="AU866" s="4">
        <v>0</v>
      </c>
      <c r="AV866" s="4">
        <v>0</v>
      </c>
      <c r="AW866" s="4">
        <v>0</v>
      </c>
      <c r="AX866" s="4">
        <v>0</v>
      </c>
      <c r="AY866" s="5">
        <v>0</v>
      </c>
      <c r="AZ866" s="5">
        <v>0</v>
      </c>
      <c r="BA866" s="5">
        <v>0</v>
      </c>
      <c r="BB866" s="2"/>
      <c r="BC866" t="s">
        <v>0</v>
      </c>
      <c r="BD866" s="5">
        <v>1</v>
      </c>
      <c r="BE866" t="s">
        <v>0</v>
      </c>
      <c r="BF866" t="s">
        <v>417</v>
      </c>
      <c r="BG866" t="s">
        <v>17</v>
      </c>
      <c r="BH866" t="s">
        <v>0</v>
      </c>
      <c r="BI866" t="s">
        <v>11</v>
      </c>
      <c r="BJ866" t="s">
        <v>0</v>
      </c>
      <c r="BK866" t="s">
        <v>0</v>
      </c>
      <c r="BL866" s="5">
        <v>0</v>
      </c>
      <c r="BM866" t="s">
        <v>0</v>
      </c>
      <c r="BN866" t="s">
        <v>0</v>
      </c>
      <c r="BO866" t="s">
        <v>0</v>
      </c>
      <c r="BP866" t="s">
        <v>17</v>
      </c>
      <c r="BQ866" t="s">
        <v>0</v>
      </c>
      <c r="BR866" t="s">
        <v>17</v>
      </c>
      <c r="BS866" t="s">
        <v>17</v>
      </c>
      <c r="BT866" t="s">
        <v>0</v>
      </c>
      <c r="BU866" t="s">
        <v>0</v>
      </c>
      <c r="BV866" t="s">
        <v>0</v>
      </c>
      <c r="BW866" t="s">
        <v>0</v>
      </c>
      <c r="BX866" t="s">
        <v>0</v>
      </c>
      <c r="BY866" t="s">
        <v>0</v>
      </c>
      <c r="BZ866" t="s">
        <v>0</v>
      </c>
      <c r="CA866" t="s">
        <v>0</v>
      </c>
      <c r="CB866" t="s">
        <v>0</v>
      </c>
    </row>
    <row r="867" spans="1:80" ht="13.95" customHeight="1" x14ac:dyDescent="0.25">
      <c r="A867" t="s">
        <v>420</v>
      </c>
      <c r="B867" s="2">
        <v>45940</v>
      </c>
      <c r="C867" s="2">
        <v>45940</v>
      </c>
      <c r="D867" s="2">
        <v>45971</v>
      </c>
      <c r="E867" t="s">
        <v>2</v>
      </c>
      <c r="F867" t="s">
        <v>3</v>
      </c>
      <c r="G867" t="s">
        <v>98</v>
      </c>
      <c r="H867" t="s">
        <v>4</v>
      </c>
      <c r="I867" t="s">
        <v>414</v>
      </c>
      <c r="J867" t="s">
        <v>6</v>
      </c>
      <c r="K867" t="s">
        <v>26</v>
      </c>
      <c r="L867" t="s">
        <v>35</v>
      </c>
      <c r="M867" t="s">
        <v>36</v>
      </c>
      <c r="N867" t="s">
        <v>10</v>
      </c>
      <c r="O867" t="s">
        <v>0</v>
      </c>
      <c r="P867" t="s">
        <v>11</v>
      </c>
      <c r="Q867" s="3">
        <v>51.5</v>
      </c>
      <c r="R867" s="4">
        <v>47500</v>
      </c>
      <c r="S867" s="5">
        <v>1</v>
      </c>
      <c r="T867" s="4">
        <v>2446250</v>
      </c>
      <c r="U867" s="5">
        <v>0</v>
      </c>
      <c r="V867" s="4">
        <v>0</v>
      </c>
      <c r="W867" s="5">
        <v>0</v>
      </c>
      <c r="X867" s="4">
        <v>0</v>
      </c>
      <c r="Y867" s="4">
        <f t="shared" si="26"/>
        <v>2446250</v>
      </c>
      <c r="Z867" s="6" t="s">
        <v>0</v>
      </c>
      <c r="AA867" t="s">
        <v>2</v>
      </c>
      <c r="AB867" t="s">
        <v>12</v>
      </c>
      <c r="AC867">
        <f>_xlfn.XLOOKUP(AB867,'[1]GST Codes'!$A:$A,'[1]GST Codes'!$C:$C,0,0)</f>
        <v>18</v>
      </c>
      <c r="AD867">
        <f t="shared" si="27"/>
        <v>2886575</v>
      </c>
      <c r="AE867" t="s">
        <v>13</v>
      </c>
      <c r="AF867" t="s">
        <v>0</v>
      </c>
      <c r="AG867" t="s">
        <v>14</v>
      </c>
      <c r="AH867" t="s">
        <v>15</v>
      </c>
      <c r="AI867" t="s">
        <v>85</v>
      </c>
      <c r="AJ867" t="s">
        <v>17</v>
      </c>
      <c r="AK867" t="s">
        <v>18</v>
      </c>
      <c r="AL867" t="s">
        <v>19</v>
      </c>
      <c r="AM867" t="s">
        <v>415</v>
      </c>
      <c r="AN867" t="s">
        <v>0</v>
      </c>
      <c r="AO867" t="s">
        <v>0</v>
      </c>
      <c r="AP867" t="s">
        <v>0</v>
      </c>
      <c r="AQ867" s="3">
        <v>51.5</v>
      </c>
      <c r="AR867" t="s">
        <v>11</v>
      </c>
      <c r="AS867" t="s">
        <v>0</v>
      </c>
      <c r="AT867" t="s">
        <v>17</v>
      </c>
      <c r="AU867" s="4">
        <v>0</v>
      </c>
      <c r="AV867" s="4">
        <v>0</v>
      </c>
      <c r="AW867" s="4">
        <v>0</v>
      </c>
      <c r="AX867" s="4">
        <v>0</v>
      </c>
      <c r="AY867" s="5">
        <v>0</v>
      </c>
      <c r="AZ867" s="5">
        <v>0</v>
      </c>
      <c r="BA867" s="5">
        <v>0</v>
      </c>
      <c r="BB867" s="2"/>
      <c r="BC867" t="s">
        <v>0</v>
      </c>
      <c r="BD867" s="5">
        <v>1</v>
      </c>
      <c r="BE867" t="s">
        <v>0</v>
      </c>
      <c r="BF867" t="s">
        <v>421</v>
      </c>
      <c r="BG867" t="s">
        <v>17</v>
      </c>
      <c r="BH867" t="s">
        <v>0</v>
      </c>
      <c r="BI867" t="s">
        <v>11</v>
      </c>
      <c r="BJ867" t="s">
        <v>0</v>
      </c>
      <c r="BK867" t="s">
        <v>0</v>
      </c>
      <c r="BL867" s="5">
        <v>0</v>
      </c>
      <c r="BM867" t="s">
        <v>0</v>
      </c>
      <c r="BN867" t="s">
        <v>0</v>
      </c>
      <c r="BO867" t="s">
        <v>0</v>
      </c>
      <c r="BP867" t="s">
        <v>17</v>
      </c>
      <c r="BQ867" t="s">
        <v>0</v>
      </c>
      <c r="BR867" t="s">
        <v>17</v>
      </c>
      <c r="BS867" t="s">
        <v>17</v>
      </c>
      <c r="BT867" t="s">
        <v>0</v>
      </c>
      <c r="BU867" t="s">
        <v>0</v>
      </c>
      <c r="BV867" t="s">
        <v>0</v>
      </c>
      <c r="BW867" t="s">
        <v>0</v>
      </c>
      <c r="BX867" t="s">
        <v>0</v>
      </c>
      <c r="BY867" t="s">
        <v>0</v>
      </c>
      <c r="BZ867" t="s">
        <v>0</v>
      </c>
      <c r="CA867" t="s">
        <v>0</v>
      </c>
      <c r="CB867" t="s">
        <v>0</v>
      </c>
    </row>
    <row r="868" spans="1:80" ht="13.95" customHeight="1" x14ac:dyDescent="0.25">
      <c r="A868" t="s">
        <v>420</v>
      </c>
      <c r="B868" s="2">
        <v>45940</v>
      </c>
      <c r="C868" s="2">
        <v>45940</v>
      </c>
      <c r="D868" s="2">
        <v>45971</v>
      </c>
      <c r="E868" t="s">
        <v>2</v>
      </c>
      <c r="F868" t="s">
        <v>3</v>
      </c>
      <c r="G868" t="s">
        <v>0</v>
      </c>
      <c r="H868" t="s">
        <v>4</v>
      </c>
      <c r="I868" t="s">
        <v>414</v>
      </c>
      <c r="J868" t="s">
        <v>6</v>
      </c>
      <c r="K868" t="s">
        <v>30</v>
      </c>
      <c r="L868" t="s">
        <v>390</v>
      </c>
      <c r="M868" t="s">
        <v>391</v>
      </c>
      <c r="N868" t="s">
        <v>10</v>
      </c>
      <c r="O868" t="s">
        <v>0</v>
      </c>
      <c r="P868" t="s">
        <v>11</v>
      </c>
      <c r="Q868" s="3">
        <v>51.5</v>
      </c>
      <c r="R868" s="4">
        <v>47500</v>
      </c>
      <c r="S868" s="5">
        <v>1</v>
      </c>
      <c r="T868" s="4">
        <v>2446250</v>
      </c>
      <c r="U868" s="3">
        <v>19.04</v>
      </c>
      <c r="V868" s="4">
        <v>904400</v>
      </c>
      <c r="W868" s="3">
        <v>19.04</v>
      </c>
      <c r="X868" s="4">
        <v>904400</v>
      </c>
      <c r="Y868" s="4">
        <f t="shared" si="26"/>
        <v>1541850</v>
      </c>
      <c r="Z868" s="6" t="s">
        <v>0</v>
      </c>
      <c r="AA868" t="s">
        <v>2</v>
      </c>
      <c r="AB868" t="s">
        <v>12</v>
      </c>
      <c r="AC868">
        <f>_xlfn.XLOOKUP(AB868,'[1]GST Codes'!$A:$A,'[1]GST Codes'!$C:$C,0,0)</f>
        <v>18</v>
      </c>
      <c r="AD868">
        <f t="shared" si="27"/>
        <v>1819383</v>
      </c>
      <c r="AE868" t="s">
        <v>13</v>
      </c>
      <c r="AF868" t="s">
        <v>0</v>
      </c>
      <c r="AG868" t="s">
        <v>14</v>
      </c>
      <c r="AH868" t="s">
        <v>15</v>
      </c>
      <c r="AI868" t="s">
        <v>85</v>
      </c>
      <c r="AJ868" t="s">
        <v>17</v>
      </c>
      <c r="AK868" t="s">
        <v>18</v>
      </c>
      <c r="AL868" t="s">
        <v>19</v>
      </c>
      <c r="AM868" t="s">
        <v>415</v>
      </c>
      <c r="AN868" t="s">
        <v>0</v>
      </c>
      <c r="AO868" t="s">
        <v>0</v>
      </c>
      <c r="AP868" t="s">
        <v>0</v>
      </c>
      <c r="AQ868" s="3">
        <v>51.5</v>
      </c>
      <c r="AR868" t="s">
        <v>11</v>
      </c>
      <c r="AS868" t="s">
        <v>0</v>
      </c>
      <c r="AT868" t="s">
        <v>17</v>
      </c>
      <c r="AU868" s="4">
        <v>0</v>
      </c>
      <c r="AV868" s="4">
        <v>0</v>
      </c>
      <c r="AW868" s="4">
        <v>0</v>
      </c>
      <c r="AX868" s="4">
        <v>0</v>
      </c>
      <c r="AY868" s="5">
        <v>0</v>
      </c>
      <c r="AZ868" s="5">
        <v>0</v>
      </c>
      <c r="BA868" s="5">
        <v>0</v>
      </c>
      <c r="BB868" s="2"/>
      <c r="BC868" t="s">
        <v>0</v>
      </c>
      <c r="BD868" s="5">
        <v>1</v>
      </c>
      <c r="BE868" t="s">
        <v>0</v>
      </c>
      <c r="BF868" t="s">
        <v>417</v>
      </c>
      <c r="BG868" t="s">
        <v>17</v>
      </c>
      <c r="BH868" t="s">
        <v>0</v>
      </c>
      <c r="BI868" t="s">
        <v>11</v>
      </c>
      <c r="BJ868" t="s">
        <v>0</v>
      </c>
      <c r="BK868" t="s">
        <v>0</v>
      </c>
      <c r="BL868" s="5">
        <v>0</v>
      </c>
      <c r="BM868" t="s">
        <v>0</v>
      </c>
      <c r="BN868" t="s">
        <v>0</v>
      </c>
      <c r="BO868" t="s">
        <v>0</v>
      </c>
      <c r="BP868" t="s">
        <v>17</v>
      </c>
      <c r="BQ868" t="s">
        <v>0</v>
      </c>
      <c r="BR868" t="s">
        <v>17</v>
      </c>
      <c r="BS868" t="s">
        <v>17</v>
      </c>
      <c r="BT868" t="s">
        <v>0</v>
      </c>
      <c r="BU868" t="s">
        <v>0</v>
      </c>
      <c r="BV868" t="s">
        <v>0</v>
      </c>
      <c r="BW868" t="s">
        <v>0</v>
      </c>
      <c r="BX868" t="s">
        <v>0</v>
      </c>
      <c r="BY868" t="s">
        <v>0</v>
      </c>
      <c r="BZ868" t="s">
        <v>0</v>
      </c>
      <c r="CA868" t="s">
        <v>0</v>
      </c>
      <c r="CB868" t="s">
        <v>0</v>
      </c>
    </row>
    <row r="869" spans="1:80" x14ac:dyDescent="0.25">
      <c r="A869" t="s">
        <v>422</v>
      </c>
      <c r="B869" s="2">
        <v>45968</v>
      </c>
      <c r="C869" s="2">
        <v>45968</v>
      </c>
      <c r="D869" s="2">
        <v>45998</v>
      </c>
      <c r="E869" t="s">
        <v>2</v>
      </c>
      <c r="F869" t="s">
        <v>3</v>
      </c>
      <c r="G869" t="s">
        <v>0</v>
      </c>
      <c r="H869" t="s">
        <v>4</v>
      </c>
      <c r="I869" t="s">
        <v>414</v>
      </c>
      <c r="J869" t="s">
        <v>6</v>
      </c>
      <c r="K869" t="s">
        <v>7</v>
      </c>
      <c r="L869" t="s">
        <v>390</v>
      </c>
      <c r="M869" t="s">
        <v>391</v>
      </c>
      <c r="N869" t="s">
        <v>10</v>
      </c>
      <c r="O869" t="s">
        <v>0</v>
      </c>
      <c r="P869" t="s">
        <v>11</v>
      </c>
      <c r="Q869" s="5">
        <v>90</v>
      </c>
      <c r="R869" s="4">
        <v>47750</v>
      </c>
      <c r="S869" s="5">
        <v>1</v>
      </c>
      <c r="T869" s="4">
        <v>4297500</v>
      </c>
      <c r="U869" s="5">
        <v>90</v>
      </c>
      <c r="V869" s="4">
        <v>4297500</v>
      </c>
      <c r="W869" s="5">
        <v>90</v>
      </c>
      <c r="X869" s="4">
        <v>4297500</v>
      </c>
      <c r="Y869" s="4">
        <f t="shared" si="26"/>
        <v>0</v>
      </c>
      <c r="Z869" t="s">
        <v>0</v>
      </c>
      <c r="AA869" t="s">
        <v>2</v>
      </c>
      <c r="AB869" t="s">
        <v>12</v>
      </c>
      <c r="AC869">
        <f>_xlfn.XLOOKUP(AB869,'[1]GST Codes'!$A:$A,'[1]GST Codes'!$C:$C,0,0)</f>
        <v>18</v>
      </c>
      <c r="AD869">
        <f t="shared" si="27"/>
        <v>0</v>
      </c>
      <c r="AE869" t="s">
        <v>13</v>
      </c>
      <c r="AF869" t="s">
        <v>0</v>
      </c>
      <c r="AG869" t="s">
        <v>14</v>
      </c>
      <c r="AH869" t="s">
        <v>15</v>
      </c>
      <c r="AI869" t="s">
        <v>85</v>
      </c>
      <c r="AJ869" t="s">
        <v>17</v>
      </c>
      <c r="AK869" t="s">
        <v>18</v>
      </c>
      <c r="AL869" t="s">
        <v>19</v>
      </c>
      <c r="AM869" t="s">
        <v>415</v>
      </c>
      <c r="AN869" t="s">
        <v>0</v>
      </c>
      <c r="AO869" t="s">
        <v>0</v>
      </c>
      <c r="AP869" t="s">
        <v>0</v>
      </c>
      <c r="AQ869" s="5">
        <v>90</v>
      </c>
      <c r="AR869" t="s">
        <v>11</v>
      </c>
      <c r="AS869" t="s">
        <v>0</v>
      </c>
      <c r="AT869" t="s">
        <v>17</v>
      </c>
      <c r="AU869" s="4">
        <v>0</v>
      </c>
      <c r="AV869" s="4">
        <v>0</v>
      </c>
      <c r="AW869" s="4">
        <v>0</v>
      </c>
      <c r="AX869" s="4">
        <v>0</v>
      </c>
      <c r="AY869" s="5">
        <v>0</v>
      </c>
      <c r="AZ869" s="5">
        <v>0</v>
      </c>
      <c r="BA869" s="5">
        <v>0</v>
      </c>
      <c r="BB869" s="2"/>
      <c r="BC869" t="s">
        <v>0</v>
      </c>
      <c r="BD869" s="5">
        <v>1</v>
      </c>
      <c r="BE869" t="s">
        <v>0</v>
      </c>
      <c r="BF869" t="s">
        <v>417</v>
      </c>
      <c r="BG869" t="s">
        <v>17</v>
      </c>
      <c r="BH869" t="s">
        <v>0</v>
      </c>
      <c r="BI869" t="s">
        <v>11</v>
      </c>
      <c r="BJ869" t="s">
        <v>0</v>
      </c>
      <c r="BK869" t="s">
        <v>0</v>
      </c>
      <c r="BL869" s="5">
        <v>0</v>
      </c>
      <c r="BM869" t="s">
        <v>0</v>
      </c>
      <c r="BN869" t="s">
        <v>0</v>
      </c>
      <c r="BO869" t="s">
        <v>0</v>
      </c>
      <c r="BP869" t="s">
        <v>17</v>
      </c>
      <c r="BQ869" t="s">
        <v>0</v>
      </c>
      <c r="BR869" t="s">
        <v>17</v>
      </c>
      <c r="BS869" t="s">
        <v>17</v>
      </c>
      <c r="BT869" t="s">
        <v>0</v>
      </c>
      <c r="BU869" t="s">
        <v>0</v>
      </c>
      <c r="BV869" t="s">
        <v>0</v>
      </c>
      <c r="BW869" t="s">
        <v>0</v>
      </c>
      <c r="BX869" t="s">
        <v>0</v>
      </c>
      <c r="BY869" t="s">
        <v>0</v>
      </c>
      <c r="BZ869" t="s">
        <v>0</v>
      </c>
      <c r="CA869" t="s">
        <v>0</v>
      </c>
      <c r="CB869" t="s">
        <v>0</v>
      </c>
    </row>
    <row r="870" spans="1:80" ht="13.95" customHeight="1" x14ac:dyDescent="0.25">
      <c r="A870" t="s">
        <v>423</v>
      </c>
      <c r="B870" s="2">
        <v>46037</v>
      </c>
      <c r="C870" s="2">
        <v>46037</v>
      </c>
      <c r="D870" s="2">
        <v>46068</v>
      </c>
      <c r="E870" t="s">
        <v>2</v>
      </c>
      <c r="F870" t="s">
        <v>3</v>
      </c>
      <c r="G870" t="s">
        <v>0</v>
      </c>
      <c r="H870" t="s">
        <v>4</v>
      </c>
      <c r="I870" t="s">
        <v>414</v>
      </c>
      <c r="J870" t="s">
        <v>6</v>
      </c>
      <c r="K870" t="s">
        <v>7</v>
      </c>
      <c r="L870" t="s">
        <v>390</v>
      </c>
      <c r="M870" t="s">
        <v>391</v>
      </c>
      <c r="N870" t="s">
        <v>10</v>
      </c>
      <c r="O870" t="s">
        <v>0</v>
      </c>
      <c r="P870" t="s">
        <v>11</v>
      </c>
      <c r="Q870" s="5">
        <v>60</v>
      </c>
      <c r="R870" s="4">
        <v>56750</v>
      </c>
      <c r="S870" s="5">
        <v>1</v>
      </c>
      <c r="T870" s="4">
        <v>3405000</v>
      </c>
      <c r="U870" s="5">
        <v>0</v>
      </c>
      <c r="V870" s="4">
        <v>0</v>
      </c>
      <c r="W870" s="5">
        <v>0</v>
      </c>
      <c r="X870" s="4">
        <v>0</v>
      </c>
      <c r="Y870" s="4">
        <f t="shared" si="26"/>
        <v>3405000</v>
      </c>
      <c r="Z870" s="6" t="s">
        <v>0</v>
      </c>
      <c r="AA870" t="s">
        <v>2</v>
      </c>
      <c r="AB870" t="s">
        <v>12</v>
      </c>
      <c r="AC870">
        <f>_xlfn.XLOOKUP(AB870,'[1]GST Codes'!$A:$A,'[1]GST Codes'!$C:$C,0,0)</f>
        <v>18</v>
      </c>
      <c r="AD870">
        <f t="shared" si="27"/>
        <v>4017900</v>
      </c>
      <c r="AE870" t="s">
        <v>13</v>
      </c>
      <c r="AF870" t="s">
        <v>0</v>
      </c>
      <c r="AG870" t="s">
        <v>14</v>
      </c>
      <c r="AH870" t="s">
        <v>15</v>
      </c>
      <c r="AI870" t="s">
        <v>85</v>
      </c>
      <c r="AJ870" t="s">
        <v>17</v>
      </c>
      <c r="AK870" t="s">
        <v>18</v>
      </c>
      <c r="AL870" t="s">
        <v>19</v>
      </c>
      <c r="AM870" t="s">
        <v>415</v>
      </c>
      <c r="AN870" t="s">
        <v>0</v>
      </c>
      <c r="AO870" t="s">
        <v>0</v>
      </c>
      <c r="AP870" t="s">
        <v>0</v>
      </c>
      <c r="AQ870" s="5">
        <v>60</v>
      </c>
      <c r="AR870" t="s">
        <v>11</v>
      </c>
      <c r="AS870" t="s">
        <v>0</v>
      </c>
      <c r="AT870" t="s">
        <v>17</v>
      </c>
      <c r="AU870" s="4">
        <v>0</v>
      </c>
      <c r="AV870" s="4">
        <v>0</v>
      </c>
      <c r="AW870" s="4">
        <v>0</v>
      </c>
      <c r="AX870" s="4">
        <v>0</v>
      </c>
      <c r="AY870" s="5">
        <v>0</v>
      </c>
      <c r="AZ870" s="5">
        <v>0</v>
      </c>
      <c r="BA870" s="5">
        <v>0</v>
      </c>
      <c r="BB870" s="2"/>
      <c r="BC870" t="s">
        <v>0</v>
      </c>
      <c r="BD870" s="5">
        <v>1</v>
      </c>
      <c r="BE870" t="s">
        <v>0</v>
      </c>
      <c r="BF870" t="s">
        <v>417</v>
      </c>
      <c r="BG870" t="s">
        <v>17</v>
      </c>
      <c r="BH870" t="s">
        <v>0</v>
      </c>
      <c r="BI870" t="s">
        <v>11</v>
      </c>
      <c r="BJ870" t="s">
        <v>0</v>
      </c>
      <c r="BK870" t="s">
        <v>0</v>
      </c>
      <c r="BL870" s="5">
        <v>0</v>
      </c>
      <c r="BM870" t="s">
        <v>0</v>
      </c>
      <c r="BN870" t="s">
        <v>0</v>
      </c>
      <c r="BO870" t="s">
        <v>0</v>
      </c>
      <c r="BP870" t="s">
        <v>17</v>
      </c>
      <c r="BQ870" t="s">
        <v>0</v>
      </c>
      <c r="BR870" t="s">
        <v>17</v>
      </c>
      <c r="BS870" t="s">
        <v>17</v>
      </c>
      <c r="BT870" t="s">
        <v>0</v>
      </c>
      <c r="BU870" t="s">
        <v>0</v>
      </c>
      <c r="BV870" t="s">
        <v>0</v>
      </c>
      <c r="BW870" t="s">
        <v>0</v>
      </c>
      <c r="BX870" t="s">
        <v>0</v>
      </c>
      <c r="BY870" t="s">
        <v>0</v>
      </c>
      <c r="BZ870" t="s">
        <v>0</v>
      </c>
      <c r="CA870" t="s">
        <v>0</v>
      </c>
      <c r="CB870" t="s">
        <v>0</v>
      </c>
    </row>
    <row r="871" spans="1:80" ht="13.95" customHeight="1" x14ac:dyDescent="0.25">
      <c r="A871" t="s">
        <v>423</v>
      </c>
      <c r="B871" s="2">
        <v>46037</v>
      </c>
      <c r="C871" s="2">
        <v>46037</v>
      </c>
      <c r="D871" s="2">
        <v>46068</v>
      </c>
      <c r="E871" t="s">
        <v>2</v>
      </c>
      <c r="F871" t="s">
        <v>3</v>
      </c>
      <c r="G871" t="s">
        <v>0</v>
      </c>
      <c r="H871" t="s">
        <v>4</v>
      </c>
      <c r="I871" t="s">
        <v>414</v>
      </c>
      <c r="J871" t="s">
        <v>6</v>
      </c>
      <c r="K871" t="s">
        <v>22</v>
      </c>
      <c r="L871" t="s">
        <v>386</v>
      </c>
      <c r="M871" t="s">
        <v>387</v>
      </c>
      <c r="N871" t="s">
        <v>10</v>
      </c>
      <c r="O871" t="s">
        <v>0</v>
      </c>
      <c r="P871" t="s">
        <v>11</v>
      </c>
      <c r="Q871" s="5">
        <v>150</v>
      </c>
      <c r="R871" s="4">
        <v>58750</v>
      </c>
      <c r="S871" s="5">
        <v>1</v>
      </c>
      <c r="T871" s="4">
        <v>8812500</v>
      </c>
      <c r="U871" s="3">
        <v>27.39</v>
      </c>
      <c r="V871" s="4">
        <v>1609162.5</v>
      </c>
      <c r="W871" s="3">
        <v>27.39</v>
      </c>
      <c r="X871" s="4">
        <v>1609162.5</v>
      </c>
      <c r="Y871" s="4">
        <f t="shared" si="26"/>
        <v>7203337.5</v>
      </c>
      <c r="Z871" s="6" t="s">
        <v>0</v>
      </c>
      <c r="AA871" t="s">
        <v>2</v>
      </c>
      <c r="AB871" t="s">
        <v>12</v>
      </c>
      <c r="AC871">
        <f>_xlfn.XLOOKUP(AB871,'[1]GST Codes'!$A:$A,'[1]GST Codes'!$C:$C,0,0)</f>
        <v>18</v>
      </c>
      <c r="AD871">
        <f t="shared" si="27"/>
        <v>8499938.25</v>
      </c>
      <c r="AE871" t="s">
        <v>13</v>
      </c>
      <c r="AF871" t="s">
        <v>0</v>
      </c>
      <c r="AG871" t="s">
        <v>14</v>
      </c>
      <c r="AH871" t="s">
        <v>15</v>
      </c>
      <c r="AI871" t="s">
        <v>85</v>
      </c>
      <c r="AJ871" t="s">
        <v>17</v>
      </c>
      <c r="AK871" t="s">
        <v>18</v>
      </c>
      <c r="AL871" t="s">
        <v>19</v>
      </c>
      <c r="AM871" t="s">
        <v>415</v>
      </c>
      <c r="AN871" t="s">
        <v>0</v>
      </c>
      <c r="AO871" t="s">
        <v>0</v>
      </c>
      <c r="AP871" t="s">
        <v>0</v>
      </c>
      <c r="AQ871" s="5">
        <v>150</v>
      </c>
      <c r="AR871" t="s">
        <v>11</v>
      </c>
      <c r="AS871" t="s">
        <v>0</v>
      </c>
      <c r="AT871" t="s">
        <v>17</v>
      </c>
      <c r="AU871" s="4">
        <v>0</v>
      </c>
      <c r="AV871" s="4">
        <v>0</v>
      </c>
      <c r="AW871" s="4">
        <v>0</v>
      </c>
      <c r="AX871" s="4">
        <v>0</v>
      </c>
      <c r="AY871" s="5">
        <v>0</v>
      </c>
      <c r="AZ871" s="5">
        <v>0</v>
      </c>
      <c r="BA871" s="5">
        <v>0</v>
      </c>
      <c r="BB871" s="2"/>
      <c r="BC871" t="s">
        <v>0</v>
      </c>
      <c r="BD871" s="5">
        <v>1</v>
      </c>
      <c r="BE871" t="s">
        <v>0</v>
      </c>
      <c r="BF871" t="s">
        <v>416</v>
      </c>
      <c r="BG871" t="s">
        <v>17</v>
      </c>
      <c r="BH871" t="s">
        <v>0</v>
      </c>
      <c r="BI871" t="s">
        <v>11</v>
      </c>
      <c r="BJ871" t="s">
        <v>0</v>
      </c>
      <c r="BK871" t="s">
        <v>0</v>
      </c>
      <c r="BL871" s="5">
        <v>0</v>
      </c>
      <c r="BM871" t="s">
        <v>0</v>
      </c>
      <c r="BN871" t="s">
        <v>0</v>
      </c>
      <c r="BO871" t="s">
        <v>0</v>
      </c>
      <c r="BP871" t="s">
        <v>17</v>
      </c>
      <c r="BQ871" t="s">
        <v>0</v>
      </c>
      <c r="BR871" t="s">
        <v>17</v>
      </c>
      <c r="BS871" t="s">
        <v>17</v>
      </c>
      <c r="BT871" t="s">
        <v>0</v>
      </c>
      <c r="BU871" t="s">
        <v>0</v>
      </c>
      <c r="BV871" t="s">
        <v>0</v>
      </c>
      <c r="BW871" t="s">
        <v>0</v>
      </c>
      <c r="BX871" t="s">
        <v>0</v>
      </c>
      <c r="BY871" t="s">
        <v>0</v>
      </c>
      <c r="BZ871" t="s">
        <v>0</v>
      </c>
      <c r="CA871" t="s">
        <v>0</v>
      </c>
      <c r="CB871" t="s">
        <v>0</v>
      </c>
    </row>
    <row r="872" spans="1:80" ht="13.95" customHeight="1" x14ac:dyDescent="0.25">
      <c r="A872" t="s">
        <v>423</v>
      </c>
      <c r="B872" s="2">
        <v>46037</v>
      </c>
      <c r="C872" s="2">
        <v>46037</v>
      </c>
      <c r="D872" s="2">
        <v>46068</v>
      </c>
      <c r="E872" t="s">
        <v>2</v>
      </c>
      <c r="F872" t="s">
        <v>3</v>
      </c>
      <c r="G872" t="s">
        <v>0</v>
      </c>
      <c r="H872" t="s">
        <v>4</v>
      </c>
      <c r="I872" t="s">
        <v>414</v>
      </c>
      <c r="J872" t="s">
        <v>6</v>
      </c>
      <c r="K872" t="s">
        <v>26</v>
      </c>
      <c r="L872" t="s">
        <v>390</v>
      </c>
      <c r="M872" t="s">
        <v>391</v>
      </c>
      <c r="N872" t="s">
        <v>10</v>
      </c>
      <c r="O872" t="s">
        <v>0</v>
      </c>
      <c r="P872" t="s">
        <v>11</v>
      </c>
      <c r="Q872" s="5">
        <v>150</v>
      </c>
      <c r="R872" s="4">
        <v>56750</v>
      </c>
      <c r="S872" s="5">
        <v>1</v>
      </c>
      <c r="T872" s="4">
        <v>8512500</v>
      </c>
      <c r="U872" s="5">
        <v>0</v>
      </c>
      <c r="V872" s="4">
        <v>0</v>
      </c>
      <c r="W872" s="5">
        <v>0</v>
      </c>
      <c r="X872" s="4">
        <v>0</v>
      </c>
      <c r="Y872" s="4">
        <f t="shared" si="26"/>
        <v>8512500</v>
      </c>
      <c r="Z872" s="6" t="s">
        <v>0</v>
      </c>
      <c r="AA872" t="s">
        <v>2</v>
      </c>
      <c r="AB872" t="s">
        <v>12</v>
      </c>
      <c r="AC872">
        <f>_xlfn.XLOOKUP(AB872,'[1]GST Codes'!$A:$A,'[1]GST Codes'!$C:$C,0,0)</f>
        <v>18</v>
      </c>
      <c r="AD872">
        <f t="shared" si="27"/>
        <v>10044750</v>
      </c>
      <c r="AE872" t="s">
        <v>13</v>
      </c>
      <c r="AF872" t="s">
        <v>0</v>
      </c>
      <c r="AG872" t="s">
        <v>14</v>
      </c>
      <c r="AH872" t="s">
        <v>15</v>
      </c>
      <c r="AI872" t="s">
        <v>85</v>
      </c>
      <c r="AJ872" t="s">
        <v>17</v>
      </c>
      <c r="AK872" t="s">
        <v>18</v>
      </c>
      <c r="AL872" t="s">
        <v>19</v>
      </c>
      <c r="AM872" t="s">
        <v>415</v>
      </c>
      <c r="AN872" t="s">
        <v>0</v>
      </c>
      <c r="AO872" t="s">
        <v>0</v>
      </c>
      <c r="AP872" t="s">
        <v>0</v>
      </c>
      <c r="AQ872" s="5">
        <v>150</v>
      </c>
      <c r="AR872" t="s">
        <v>11</v>
      </c>
      <c r="AS872" t="s">
        <v>0</v>
      </c>
      <c r="AT872" t="s">
        <v>17</v>
      </c>
      <c r="AU872" s="4">
        <v>0</v>
      </c>
      <c r="AV872" s="4">
        <v>0</v>
      </c>
      <c r="AW872" s="4">
        <v>0</v>
      </c>
      <c r="AX872" s="4">
        <v>0</v>
      </c>
      <c r="AY872" s="5">
        <v>0</v>
      </c>
      <c r="AZ872" s="5">
        <v>0</v>
      </c>
      <c r="BA872" s="5">
        <v>0</v>
      </c>
      <c r="BB872" s="2"/>
      <c r="BC872" t="s">
        <v>0</v>
      </c>
      <c r="BD872" s="5">
        <v>1</v>
      </c>
      <c r="BE872" t="s">
        <v>0</v>
      </c>
      <c r="BF872" t="s">
        <v>417</v>
      </c>
      <c r="BG872" t="s">
        <v>17</v>
      </c>
      <c r="BH872" t="s">
        <v>0</v>
      </c>
      <c r="BI872" t="s">
        <v>11</v>
      </c>
      <c r="BJ872" t="s">
        <v>0</v>
      </c>
      <c r="BK872" t="s">
        <v>0</v>
      </c>
      <c r="BL872" s="5">
        <v>0</v>
      </c>
      <c r="BM872" t="s">
        <v>0</v>
      </c>
      <c r="BN872" t="s">
        <v>0</v>
      </c>
      <c r="BO872" t="s">
        <v>0</v>
      </c>
      <c r="BP872" t="s">
        <v>17</v>
      </c>
      <c r="BQ872" t="s">
        <v>0</v>
      </c>
      <c r="BR872" t="s">
        <v>17</v>
      </c>
      <c r="BS872" t="s">
        <v>17</v>
      </c>
      <c r="BT872" t="s">
        <v>0</v>
      </c>
      <c r="BU872" t="s">
        <v>0</v>
      </c>
      <c r="BV872" t="s">
        <v>0</v>
      </c>
      <c r="BW872" t="s">
        <v>0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</row>
    <row r="873" spans="1:80" x14ac:dyDescent="0.25">
      <c r="A873" t="s">
        <v>424</v>
      </c>
      <c r="B873" s="2">
        <v>46129</v>
      </c>
      <c r="C873" s="2">
        <v>46132</v>
      </c>
      <c r="D873" s="2">
        <v>46162</v>
      </c>
      <c r="E873" t="s">
        <v>2</v>
      </c>
      <c r="F873" t="s">
        <v>3</v>
      </c>
      <c r="G873" t="s">
        <v>98</v>
      </c>
      <c r="H873" t="s">
        <v>4</v>
      </c>
      <c r="I873" t="s">
        <v>414</v>
      </c>
      <c r="J873" t="s">
        <v>6</v>
      </c>
      <c r="K873" t="s">
        <v>7</v>
      </c>
      <c r="L873" t="s">
        <v>386</v>
      </c>
      <c r="M873" t="s">
        <v>387</v>
      </c>
      <c r="N873" t="s">
        <v>10</v>
      </c>
      <c r="O873" t="s">
        <v>0</v>
      </c>
      <c r="P873" t="s">
        <v>11</v>
      </c>
      <c r="Q873" s="5">
        <v>60</v>
      </c>
      <c r="R873" s="4">
        <v>64800</v>
      </c>
      <c r="S873" s="5">
        <v>1</v>
      </c>
      <c r="T873" s="4">
        <v>3888000</v>
      </c>
      <c r="U873" s="5">
        <v>0</v>
      </c>
      <c r="V873" s="4">
        <v>0</v>
      </c>
      <c r="W873" s="5">
        <v>0</v>
      </c>
      <c r="X873" s="4">
        <v>0</v>
      </c>
      <c r="Y873" s="4">
        <f t="shared" si="26"/>
        <v>3888000</v>
      </c>
      <c r="Z873" t="s">
        <v>0</v>
      </c>
      <c r="AA873" t="s">
        <v>2</v>
      </c>
      <c r="AB873" t="s">
        <v>12</v>
      </c>
      <c r="AC873">
        <f>_xlfn.XLOOKUP(AB873,'[1]GST Codes'!$A:$A,'[1]GST Codes'!$C:$C,0,0)</f>
        <v>18</v>
      </c>
      <c r="AD873">
        <f t="shared" si="27"/>
        <v>4587840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17</v>
      </c>
      <c r="AK873" t="s">
        <v>18</v>
      </c>
      <c r="AL873" t="s">
        <v>19</v>
      </c>
      <c r="AM873" t="s">
        <v>415</v>
      </c>
      <c r="AN873" t="s">
        <v>0</v>
      </c>
      <c r="AO873" t="s">
        <v>0</v>
      </c>
      <c r="AP873" t="s">
        <v>0</v>
      </c>
      <c r="AQ873" s="5">
        <v>60</v>
      </c>
      <c r="AR873" t="s">
        <v>11</v>
      </c>
      <c r="AS873" t="s">
        <v>0</v>
      </c>
      <c r="AT873" t="s">
        <v>17</v>
      </c>
      <c r="AU873" s="4">
        <v>0</v>
      </c>
      <c r="AV873" s="4">
        <v>0</v>
      </c>
      <c r="AW873" s="4">
        <v>0</v>
      </c>
      <c r="AX873" s="4">
        <v>0</v>
      </c>
      <c r="AY873" s="5">
        <v>0</v>
      </c>
      <c r="AZ873" s="5">
        <v>0</v>
      </c>
      <c r="BA873" s="5">
        <v>0</v>
      </c>
      <c r="BB873" s="2"/>
      <c r="BC873" t="s">
        <v>0</v>
      </c>
      <c r="BD873" s="5">
        <v>1</v>
      </c>
      <c r="BE873" t="s">
        <v>0</v>
      </c>
      <c r="BF873" t="s">
        <v>416</v>
      </c>
      <c r="BG873" t="s">
        <v>17</v>
      </c>
      <c r="BH873" t="s">
        <v>0</v>
      </c>
      <c r="BI873" t="s">
        <v>11</v>
      </c>
      <c r="BJ873" t="s">
        <v>0</v>
      </c>
      <c r="BK873" t="s">
        <v>0</v>
      </c>
      <c r="BL873" s="5">
        <v>0</v>
      </c>
      <c r="BM873" t="s">
        <v>0</v>
      </c>
      <c r="BN873" t="s">
        <v>0</v>
      </c>
      <c r="BO873" t="s">
        <v>0</v>
      </c>
      <c r="BP873" t="s">
        <v>17</v>
      </c>
      <c r="BQ873" t="s">
        <v>0</v>
      </c>
      <c r="BR873" t="s">
        <v>17</v>
      </c>
      <c r="BS873" t="s">
        <v>17</v>
      </c>
      <c r="BT873" t="s">
        <v>0</v>
      </c>
      <c r="BU873" t="s">
        <v>0</v>
      </c>
      <c r="BV873" t="s">
        <v>0</v>
      </c>
      <c r="BW873" t="s">
        <v>0</v>
      </c>
      <c r="BX873" t="s">
        <v>0</v>
      </c>
      <c r="BY873" t="s">
        <v>0</v>
      </c>
      <c r="BZ873" t="s">
        <v>0</v>
      </c>
      <c r="CA873" t="s">
        <v>0</v>
      </c>
      <c r="CB873" t="s">
        <v>0</v>
      </c>
    </row>
    <row r="874" spans="1:80" x14ac:dyDescent="0.25">
      <c r="A874" t="s">
        <v>424</v>
      </c>
      <c r="B874" s="2">
        <v>46129</v>
      </c>
      <c r="C874" s="2">
        <v>46132</v>
      </c>
      <c r="D874" s="2">
        <v>46162</v>
      </c>
      <c r="E874" t="s">
        <v>2</v>
      </c>
      <c r="F874" t="s">
        <v>3</v>
      </c>
      <c r="G874" t="s">
        <v>98</v>
      </c>
      <c r="H874" t="s">
        <v>4</v>
      </c>
      <c r="I874" t="s">
        <v>414</v>
      </c>
      <c r="J874" t="s">
        <v>6</v>
      </c>
      <c r="K874" t="s">
        <v>22</v>
      </c>
      <c r="L874" t="s">
        <v>390</v>
      </c>
      <c r="M874" t="s">
        <v>391</v>
      </c>
      <c r="N874" t="s">
        <v>10</v>
      </c>
      <c r="O874" t="s">
        <v>0</v>
      </c>
      <c r="P874" t="s">
        <v>11</v>
      </c>
      <c r="Q874" s="5">
        <v>40</v>
      </c>
      <c r="R874" s="4">
        <v>62800</v>
      </c>
      <c r="S874" s="5">
        <v>1</v>
      </c>
      <c r="T874" s="4">
        <v>2512000</v>
      </c>
      <c r="U874" s="5">
        <v>0</v>
      </c>
      <c r="V874" s="4">
        <v>0</v>
      </c>
      <c r="W874" s="5">
        <v>0</v>
      </c>
      <c r="X874" s="4">
        <v>0</v>
      </c>
      <c r="Y874" s="4">
        <f t="shared" si="26"/>
        <v>2512000</v>
      </c>
      <c r="Z874" t="s">
        <v>0</v>
      </c>
      <c r="AA874" t="s">
        <v>2</v>
      </c>
      <c r="AB874" t="s">
        <v>12</v>
      </c>
      <c r="AC874">
        <f>_xlfn.XLOOKUP(AB874,'[1]GST Codes'!$A:$A,'[1]GST Codes'!$C:$C,0,0)</f>
        <v>18</v>
      </c>
      <c r="AD874">
        <f t="shared" si="27"/>
        <v>2964160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17</v>
      </c>
      <c r="AK874" t="s">
        <v>18</v>
      </c>
      <c r="AL874" t="s">
        <v>19</v>
      </c>
      <c r="AM874" t="s">
        <v>415</v>
      </c>
      <c r="AN874" t="s">
        <v>0</v>
      </c>
      <c r="AO874" t="s">
        <v>0</v>
      </c>
      <c r="AP874" t="s">
        <v>0</v>
      </c>
      <c r="AQ874" s="5">
        <v>40</v>
      </c>
      <c r="AR874" t="s">
        <v>11</v>
      </c>
      <c r="AS874" t="s">
        <v>0</v>
      </c>
      <c r="AT874" t="s">
        <v>17</v>
      </c>
      <c r="AU874" s="4">
        <v>0</v>
      </c>
      <c r="AV874" s="4">
        <v>0</v>
      </c>
      <c r="AW874" s="4">
        <v>0</v>
      </c>
      <c r="AX874" s="4">
        <v>0</v>
      </c>
      <c r="AY874" s="5">
        <v>0</v>
      </c>
      <c r="AZ874" s="5">
        <v>0</v>
      </c>
      <c r="BA874" s="5">
        <v>0</v>
      </c>
      <c r="BB874" s="2"/>
      <c r="BC874" t="s">
        <v>0</v>
      </c>
      <c r="BD874" s="5">
        <v>1</v>
      </c>
      <c r="BE874" t="s">
        <v>0</v>
      </c>
      <c r="BF874" t="s">
        <v>417</v>
      </c>
      <c r="BG874" t="s">
        <v>17</v>
      </c>
      <c r="BH874" t="s">
        <v>0</v>
      </c>
      <c r="BI874" t="s">
        <v>11</v>
      </c>
      <c r="BJ874" t="s">
        <v>0</v>
      </c>
      <c r="BK874" t="s">
        <v>0</v>
      </c>
      <c r="BL874" s="5">
        <v>0</v>
      </c>
      <c r="BM874" t="s">
        <v>0</v>
      </c>
      <c r="BN874" t="s">
        <v>0</v>
      </c>
      <c r="BO874" t="s">
        <v>0</v>
      </c>
      <c r="BP874" t="s">
        <v>17</v>
      </c>
      <c r="BQ874" t="s">
        <v>0</v>
      </c>
      <c r="BR874" t="s">
        <v>17</v>
      </c>
      <c r="BS874" t="s">
        <v>17</v>
      </c>
      <c r="BT874" t="s">
        <v>0</v>
      </c>
      <c r="BU874" t="s">
        <v>0</v>
      </c>
      <c r="BV874" t="s">
        <v>0</v>
      </c>
      <c r="BW874" t="s">
        <v>0</v>
      </c>
      <c r="BX874" t="s">
        <v>0</v>
      </c>
      <c r="BY874" t="s">
        <v>0</v>
      </c>
      <c r="BZ874" t="s">
        <v>0</v>
      </c>
      <c r="CA874" t="s">
        <v>0</v>
      </c>
      <c r="CB874" t="s">
        <v>0</v>
      </c>
    </row>
    <row r="875" spans="1:80" ht="13.95" customHeight="1" x14ac:dyDescent="0.25">
      <c r="A875" t="s">
        <v>425</v>
      </c>
      <c r="B875" s="2">
        <v>46182</v>
      </c>
      <c r="C875" s="2">
        <v>46179</v>
      </c>
      <c r="D875" s="2">
        <v>46209</v>
      </c>
      <c r="E875" t="s">
        <v>2</v>
      </c>
      <c r="F875" t="s">
        <v>47</v>
      </c>
      <c r="G875" t="s">
        <v>0</v>
      </c>
      <c r="H875" t="s">
        <v>4</v>
      </c>
      <c r="I875" t="s">
        <v>426</v>
      </c>
      <c r="J875" t="s">
        <v>6</v>
      </c>
      <c r="K875" t="s">
        <v>7</v>
      </c>
      <c r="L875" t="s">
        <v>35</v>
      </c>
      <c r="M875" t="s">
        <v>427</v>
      </c>
      <c r="N875" t="s">
        <v>10</v>
      </c>
      <c r="O875" t="s">
        <v>0</v>
      </c>
      <c r="P875" t="s">
        <v>11</v>
      </c>
      <c r="Q875" s="5">
        <v>3</v>
      </c>
      <c r="R875" s="4">
        <v>72000</v>
      </c>
      <c r="S875" s="5">
        <v>1</v>
      </c>
      <c r="T875" s="4">
        <v>216000</v>
      </c>
      <c r="U875" s="5">
        <v>3</v>
      </c>
      <c r="V875" s="4">
        <v>216000</v>
      </c>
      <c r="W875" s="5">
        <v>3</v>
      </c>
      <c r="X875" s="4">
        <v>216000</v>
      </c>
      <c r="Y875" s="4">
        <f t="shared" si="26"/>
        <v>0</v>
      </c>
      <c r="Z875" s="6" t="s">
        <v>0</v>
      </c>
      <c r="AA875" t="s">
        <v>2</v>
      </c>
      <c r="AB875" t="s">
        <v>103</v>
      </c>
      <c r="AC875">
        <f>_xlfn.XLOOKUP(AB875,'[1]GST Codes'!$A:$A,'[1]GST Codes'!$C:$C,0,0)</f>
        <v>18</v>
      </c>
      <c r="AD875">
        <f t="shared" si="27"/>
        <v>0</v>
      </c>
      <c r="AE875" t="s">
        <v>13</v>
      </c>
      <c r="AF875" t="s">
        <v>0</v>
      </c>
      <c r="AG875" t="s">
        <v>14</v>
      </c>
      <c r="AH875" t="s">
        <v>15</v>
      </c>
      <c r="AI875" t="s">
        <v>96</v>
      </c>
      <c r="AJ875" t="s">
        <v>17</v>
      </c>
      <c r="AK875" t="s">
        <v>18</v>
      </c>
      <c r="AL875" t="s">
        <v>19</v>
      </c>
      <c r="AM875" t="s">
        <v>428</v>
      </c>
      <c r="AN875" t="s">
        <v>0</v>
      </c>
      <c r="AO875" t="s">
        <v>0</v>
      </c>
      <c r="AP875" t="s">
        <v>0</v>
      </c>
      <c r="AQ875" s="5">
        <v>3</v>
      </c>
      <c r="AR875" t="s">
        <v>11</v>
      </c>
      <c r="AS875" t="s">
        <v>0</v>
      </c>
      <c r="AT875" t="s">
        <v>17</v>
      </c>
      <c r="AU875" s="4">
        <v>0</v>
      </c>
      <c r="AV875" s="4">
        <v>0</v>
      </c>
      <c r="AW875" s="4">
        <v>0</v>
      </c>
      <c r="AX875" s="4">
        <v>0</v>
      </c>
      <c r="AY875" s="5">
        <v>0</v>
      </c>
      <c r="AZ875" s="5">
        <v>0</v>
      </c>
      <c r="BA875" s="5">
        <v>0</v>
      </c>
      <c r="BB875" s="2"/>
      <c r="BC875" t="s">
        <v>0</v>
      </c>
      <c r="BD875" s="5">
        <v>1</v>
      </c>
      <c r="BE875" t="s">
        <v>0</v>
      </c>
      <c r="BF875" t="s">
        <v>429</v>
      </c>
      <c r="BG875" t="s">
        <v>17</v>
      </c>
      <c r="BH875" t="s">
        <v>0</v>
      </c>
      <c r="BI875" t="s">
        <v>11</v>
      </c>
      <c r="BJ875" t="s">
        <v>0</v>
      </c>
      <c r="BK875" t="s">
        <v>0</v>
      </c>
      <c r="BL875" s="5">
        <v>0</v>
      </c>
      <c r="BM875" t="s">
        <v>0</v>
      </c>
      <c r="BN875" t="s">
        <v>0</v>
      </c>
      <c r="BO875" t="s">
        <v>0</v>
      </c>
      <c r="BP875" t="s">
        <v>17</v>
      </c>
      <c r="BQ875" t="s">
        <v>0</v>
      </c>
      <c r="BR875" t="s">
        <v>17</v>
      </c>
      <c r="BS875" t="s">
        <v>17</v>
      </c>
      <c r="BT875" t="s">
        <v>0</v>
      </c>
      <c r="BU875" t="s">
        <v>0</v>
      </c>
      <c r="BV875" t="s">
        <v>0</v>
      </c>
      <c r="BW875" t="s">
        <v>0</v>
      </c>
      <c r="BX875" t="s">
        <v>0</v>
      </c>
      <c r="BY875" t="s">
        <v>0</v>
      </c>
      <c r="BZ875" t="s">
        <v>0</v>
      </c>
      <c r="CA875" t="s">
        <v>0</v>
      </c>
      <c r="CB875" t="s">
        <v>0</v>
      </c>
    </row>
    <row r="876" spans="1:80" x14ac:dyDescent="0.25">
      <c r="A876" t="s">
        <v>430</v>
      </c>
      <c r="B876" s="2">
        <v>46189</v>
      </c>
      <c r="C876" s="2">
        <v>46189</v>
      </c>
      <c r="D876" s="2">
        <v>46219</v>
      </c>
      <c r="E876" t="s">
        <v>2</v>
      </c>
      <c r="F876" t="s">
        <v>3</v>
      </c>
      <c r="G876" t="s">
        <v>0</v>
      </c>
      <c r="H876" t="s">
        <v>4</v>
      </c>
      <c r="I876" t="s">
        <v>426</v>
      </c>
      <c r="J876" t="s">
        <v>6</v>
      </c>
      <c r="K876" t="s">
        <v>7</v>
      </c>
      <c r="L876" t="s">
        <v>386</v>
      </c>
      <c r="M876" t="s">
        <v>387</v>
      </c>
      <c r="N876" t="s">
        <v>10</v>
      </c>
      <c r="O876" t="s">
        <v>0</v>
      </c>
      <c r="P876" t="s">
        <v>11</v>
      </c>
      <c r="Q876" s="5">
        <v>55</v>
      </c>
      <c r="R876" s="4">
        <v>55000</v>
      </c>
      <c r="S876" s="5">
        <v>1</v>
      </c>
      <c r="T876" s="4">
        <v>3025000</v>
      </c>
      <c r="U876" s="5">
        <v>55</v>
      </c>
      <c r="V876" s="4">
        <v>3025000</v>
      </c>
      <c r="W876" s="5">
        <v>55</v>
      </c>
      <c r="X876" s="4">
        <v>3025000</v>
      </c>
      <c r="Y876" s="4">
        <f t="shared" si="26"/>
        <v>0</v>
      </c>
      <c r="Z876" t="s">
        <v>0</v>
      </c>
      <c r="AA876" t="s">
        <v>2</v>
      </c>
      <c r="AB876" t="s">
        <v>103</v>
      </c>
      <c r="AC876">
        <f>_xlfn.XLOOKUP(AB876,'[1]GST Codes'!$A:$A,'[1]GST Codes'!$C:$C,0,0)</f>
        <v>18</v>
      </c>
      <c r="AD876">
        <f t="shared" si="27"/>
        <v>0</v>
      </c>
      <c r="AE876" t="s">
        <v>13</v>
      </c>
      <c r="AF876" t="s">
        <v>0</v>
      </c>
      <c r="AG876" t="s">
        <v>431</v>
      </c>
      <c r="AH876" t="s">
        <v>59</v>
      </c>
      <c r="AI876" t="s">
        <v>96</v>
      </c>
      <c r="AJ876" t="s">
        <v>17</v>
      </c>
      <c r="AK876" t="s">
        <v>18</v>
      </c>
      <c r="AL876" t="s">
        <v>19</v>
      </c>
      <c r="AM876" t="s">
        <v>428</v>
      </c>
      <c r="AN876" t="s">
        <v>0</v>
      </c>
      <c r="AO876" t="s">
        <v>0</v>
      </c>
      <c r="AP876" t="s">
        <v>0</v>
      </c>
      <c r="AQ876" s="5">
        <v>55</v>
      </c>
      <c r="AR876" t="s">
        <v>11</v>
      </c>
      <c r="AS876" t="s">
        <v>0</v>
      </c>
      <c r="AT876" t="s">
        <v>17</v>
      </c>
      <c r="AU876" s="4">
        <v>0</v>
      </c>
      <c r="AV876" s="4">
        <v>0</v>
      </c>
      <c r="AW876" s="4">
        <v>0</v>
      </c>
      <c r="AX876" s="4">
        <v>0</v>
      </c>
      <c r="AY876" s="5">
        <v>0</v>
      </c>
      <c r="AZ876" s="5">
        <v>0</v>
      </c>
      <c r="BA876" s="5">
        <v>0</v>
      </c>
      <c r="BB876" s="2"/>
      <c r="BC876" t="s">
        <v>0</v>
      </c>
      <c r="BD876" s="5">
        <v>1</v>
      </c>
      <c r="BE876" t="s">
        <v>0</v>
      </c>
      <c r="BF876" t="s">
        <v>432</v>
      </c>
      <c r="BG876" t="s">
        <v>17</v>
      </c>
      <c r="BH876" t="s">
        <v>0</v>
      </c>
      <c r="BI876" t="s">
        <v>11</v>
      </c>
      <c r="BJ876" t="s">
        <v>0</v>
      </c>
      <c r="BK876" t="s">
        <v>0</v>
      </c>
      <c r="BL876" s="5">
        <v>0</v>
      </c>
      <c r="BM876" t="s">
        <v>0</v>
      </c>
      <c r="BN876" t="s">
        <v>0</v>
      </c>
      <c r="BO876" t="s">
        <v>0</v>
      </c>
      <c r="BP876" t="s">
        <v>17</v>
      </c>
      <c r="BQ876" t="s">
        <v>0</v>
      </c>
      <c r="BR876" t="s">
        <v>17</v>
      </c>
      <c r="BS876" t="s">
        <v>17</v>
      </c>
      <c r="BT876" t="s">
        <v>0</v>
      </c>
      <c r="BU876" t="s">
        <v>0</v>
      </c>
      <c r="BV876" t="s">
        <v>0</v>
      </c>
      <c r="BW876" t="s">
        <v>0</v>
      </c>
      <c r="BX876" t="s">
        <v>0</v>
      </c>
      <c r="BY876" t="s">
        <v>0</v>
      </c>
      <c r="BZ876" t="s">
        <v>0</v>
      </c>
      <c r="CA876" t="s">
        <v>0</v>
      </c>
      <c r="CB876" t="s">
        <v>0</v>
      </c>
    </row>
    <row r="877" spans="1:80" x14ac:dyDescent="0.25">
      <c r="A877" t="s">
        <v>430</v>
      </c>
      <c r="B877" s="2">
        <v>46189</v>
      </c>
      <c r="C877" s="2">
        <v>46189</v>
      </c>
      <c r="D877" s="2">
        <v>46219</v>
      </c>
      <c r="E877" t="s">
        <v>2</v>
      </c>
      <c r="F877" t="s">
        <v>3</v>
      </c>
      <c r="G877" t="s">
        <v>0</v>
      </c>
      <c r="H877" t="s">
        <v>4</v>
      </c>
      <c r="I877" t="s">
        <v>426</v>
      </c>
      <c r="J877" t="s">
        <v>6</v>
      </c>
      <c r="K877" t="s">
        <v>22</v>
      </c>
      <c r="L877" t="s">
        <v>390</v>
      </c>
      <c r="M877" t="s">
        <v>391</v>
      </c>
      <c r="N877" t="s">
        <v>10</v>
      </c>
      <c r="O877" t="s">
        <v>0</v>
      </c>
      <c r="P877" t="s">
        <v>11</v>
      </c>
      <c r="Q877" s="5">
        <v>5</v>
      </c>
      <c r="R877" s="4">
        <v>53000</v>
      </c>
      <c r="S877" s="5">
        <v>1</v>
      </c>
      <c r="T877" s="4">
        <v>265000</v>
      </c>
      <c r="U877" s="5">
        <v>5</v>
      </c>
      <c r="V877" s="4">
        <v>265000</v>
      </c>
      <c r="W877" s="5">
        <v>5</v>
      </c>
      <c r="X877" s="4">
        <v>265000</v>
      </c>
      <c r="Y877" s="4">
        <f t="shared" si="26"/>
        <v>0</v>
      </c>
      <c r="Z877" t="s">
        <v>0</v>
      </c>
      <c r="AA877" t="s">
        <v>2</v>
      </c>
      <c r="AB877" t="s">
        <v>103</v>
      </c>
      <c r="AC877">
        <f>_xlfn.XLOOKUP(AB877,'[1]GST Codes'!$A:$A,'[1]GST Codes'!$C:$C,0,0)</f>
        <v>18</v>
      </c>
      <c r="AD877">
        <f t="shared" si="27"/>
        <v>0</v>
      </c>
      <c r="AE877" t="s">
        <v>13</v>
      </c>
      <c r="AF877" t="s">
        <v>0</v>
      </c>
      <c r="AG877" t="s">
        <v>431</v>
      </c>
      <c r="AH877" t="s">
        <v>59</v>
      </c>
      <c r="AI877" t="s">
        <v>96</v>
      </c>
      <c r="AJ877" t="s">
        <v>17</v>
      </c>
      <c r="AK877" t="s">
        <v>18</v>
      </c>
      <c r="AL877" t="s">
        <v>19</v>
      </c>
      <c r="AM877" t="s">
        <v>428</v>
      </c>
      <c r="AN877" t="s">
        <v>0</v>
      </c>
      <c r="AO877" t="s">
        <v>0</v>
      </c>
      <c r="AP877" t="s">
        <v>0</v>
      </c>
      <c r="AQ877" s="5">
        <v>5</v>
      </c>
      <c r="AR877" t="s">
        <v>11</v>
      </c>
      <c r="AS877" t="s">
        <v>0</v>
      </c>
      <c r="AT877" t="s">
        <v>17</v>
      </c>
      <c r="AU877" s="4">
        <v>0</v>
      </c>
      <c r="AV877" s="4">
        <v>0</v>
      </c>
      <c r="AW877" s="4">
        <v>0</v>
      </c>
      <c r="AX877" s="4">
        <v>0</v>
      </c>
      <c r="AY877" s="5">
        <v>0</v>
      </c>
      <c r="AZ877" s="5">
        <v>0</v>
      </c>
      <c r="BA877" s="5">
        <v>0</v>
      </c>
      <c r="BB877" s="2"/>
      <c r="BC877" t="s">
        <v>0</v>
      </c>
      <c r="BD877" s="5">
        <v>1</v>
      </c>
      <c r="BE877" t="s">
        <v>0</v>
      </c>
      <c r="BF877" t="s">
        <v>433</v>
      </c>
      <c r="BG877" t="s">
        <v>17</v>
      </c>
      <c r="BH877" t="s">
        <v>0</v>
      </c>
      <c r="BI877" t="s">
        <v>11</v>
      </c>
      <c r="BJ877" t="s">
        <v>0</v>
      </c>
      <c r="BK877" t="s">
        <v>0</v>
      </c>
      <c r="BL877" s="5">
        <v>0</v>
      </c>
      <c r="BM877" t="s">
        <v>0</v>
      </c>
      <c r="BN877" t="s">
        <v>0</v>
      </c>
      <c r="BO877" t="s">
        <v>0</v>
      </c>
      <c r="BP877" t="s">
        <v>17</v>
      </c>
      <c r="BQ877" t="s">
        <v>0</v>
      </c>
      <c r="BR877" t="s">
        <v>17</v>
      </c>
      <c r="BS877" t="s">
        <v>17</v>
      </c>
      <c r="BT877" t="s">
        <v>0</v>
      </c>
      <c r="BU877" t="s">
        <v>0</v>
      </c>
      <c r="BV877" t="s">
        <v>0</v>
      </c>
      <c r="BW877" t="s">
        <v>0</v>
      </c>
      <c r="BX877" t="s">
        <v>0</v>
      </c>
      <c r="BY877" t="s">
        <v>0</v>
      </c>
      <c r="BZ877" t="s">
        <v>0</v>
      </c>
      <c r="CA877" t="s">
        <v>0</v>
      </c>
      <c r="CB877" t="s">
        <v>0</v>
      </c>
    </row>
    <row r="878" spans="1:80" x14ac:dyDescent="0.25">
      <c r="A878" t="s">
        <v>430</v>
      </c>
      <c r="B878" s="2">
        <v>46189</v>
      </c>
      <c r="C878" s="2">
        <v>46189</v>
      </c>
      <c r="D878" s="2">
        <v>46219</v>
      </c>
      <c r="E878" t="s">
        <v>2</v>
      </c>
      <c r="F878" t="s">
        <v>3</v>
      </c>
      <c r="G878" t="s">
        <v>0</v>
      </c>
      <c r="H878" t="s">
        <v>4</v>
      </c>
      <c r="I878" t="s">
        <v>426</v>
      </c>
      <c r="J878" t="s">
        <v>6</v>
      </c>
      <c r="K878" t="s">
        <v>26</v>
      </c>
      <c r="L878" t="s">
        <v>386</v>
      </c>
      <c r="M878" t="s">
        <v>387</v>
      </c>
      <c r="N878" t="s">
        <v>10</v>
      </c>
      <c r="O878" t="s">
        <v>0</v>
      </c>
      <c r="P878" t="s">
        <v>11</v>
      </c>
      <c r="Q878" s="5">
        <v>150</v>
      </c>
      <c r="R878" s="4">
        <v>55000</v>
      </c>
      <c r="S878" s="5">
        <v>1</v>
      </c>
      <c r="T878" s="4">
        <v>8250000</v>
      </c>
      <c r="U878" s="5">
        <v>150</v>
      </c>
      <c r="V878" s="4">
        <v>8250000</v>
      </c>
      <c r="W878" s="5">
        <v>150</v>
      </c>
      <c r="X878" s="4">
        <v>8250000</v>
      </c>
      <c r="Y878" s="4">
        <f t="shared" si="26"/>
        <v>0</v>
      </c>
      <c r="Z878" t="s">
        <v>0</v>
      </c>
      <c r="AA878" t="s">
        <v>2</v>
      </c>
      <c r="AB878" t="s">
        <v>103</v>
      </c>
      <c r="AC878">
        <f>_xlfn.XLOOKUP(AB878,'[1]GST Codes'!$A:$A,'[1]GST Codes'!$C:$C,0,0)</f>
        <v>18</v>
      </c>
      <c r="AD878">
        <f t="shared" si="27"/>
        <v>0</v>
      </c>
      <c r="AE878" t="s">
        <v>13</v>
      </c>
      <c r="AF878" t="s">
        <v>0</v>
      </c>
      <c r="AG878" t="s">
        <v>431</v>
      </c>
      <c r="AH878" t="s">
        <v>59</v>
      </c>
      <c r="AI878" t="s">
        <v>96</v>
      </c>
      <c r="AJ878" t="s">
        <v>17</v>
      </c>
      <c r="AK878" t="s">
        <v>18</v>
      </c>
      <c r="AL878" t="s">
        <v>19</v>
      </c>
      <c r="AM878" t="s">
        <v>428</v>
      </c>
      <c r="AN878" t="s">
        <v>0</v>
      </c>
      <c r="AO878" t="s">
        <v>0</v>
      </c>
      <c r="AP878" t="s">
        <v>0</v>
      </c>
      <c r="AQ878" s="5">
        <v>150</v>
      </c>
      <c r="AR878" t="s">
        <v>11</v>
      </c>
      <c r="AS878" t="s">
        <v>0</v>
      </c>
      <c r="AT878" t="s">
        <v>17</v>
      </c>
      <c r="AU878" s="4">
        <v>0</v>
      </c>
      <c r="AV878" s="4">
        <v>0</v>
      </c>
      <c r="AW878" s="4">
        <v>0</v>
      </c>
      <c r="AX878" s="4">
        <v>0</v>
      </c>
      <c r="AY878" s="5">
        <v>0</v>
      </c>
      <c r="AZ878" s="5">
        <v>0</v>
      </c>
      <c r="BA878" s="5">
        <v>0</v>
      </c>
      <c r="BB878" s="2"/>
      <c r="BC878" t="s">
        <v>0</v>
      </c>
      <c r="BD878" s="5">
        <v>1</v>
      </c>
      <c r="BE878" t="s">
        <v>0</v>
      </c>
      <c r="BF878" t="s">
        <v>432</v>
      </c>
      <c r="BG878" t="s">
        <v>17</v>
      </c>
      <c r="BH878" t="s">
        <v>0</v>
      </c>
      <c r="BI878" t="s">
        <v>11</v>
      </c>
      <c r="BJ878" t="s">
        <v>0</v>
      </c>
      <c r="BK878" t="s">
        <v>0</v>
      </c>
      <c r="BL878" s="5">
        <v>0</v>
      </c>
      <c r="BM878" t="s">
        <v>0</v>
      </c>
      <c r="BN878" t="s">
        <v>0</v>
      </c>
      <c r="BO878" t="s">
        <v>0</v>
      </c>
      <c r="BP878" t="s">
        <v>17</v>
      </c>
      <c r="BQ878" t="s">
        <v>0</v>
      </c>
      <c r="BR878" t="s">
        <v>17</v>
      </c>
      <c r="BS878" t="s">
        <v>17</v>
      </c>
      <c r="BT878" t="s">
        <v>0</v>
      </c>
      <c r="BU878" t="s">
        <v>0</v>
      </c>
      <c r="BV878" t="s">
        <v>0</v>
      </c>
      <c r="BW878" t="s">
        <v>0</v>
      </c>
      <c r="BX878" t="s">
        <v>0</v>
      </c>
      <c r="BY878" t="s">
        <v>0</v>
      </c>
      <c r="BZ878" t="s">
        <v>0</v>
      </c>
      <c r="CA878" t="s">
        <v>0</v>
      </c>
      <c r="CB878" t="s">
        <v>0</v>
      </c>
    </row>
    <row r="879" spans="1:80" x14ac:dyDescent="0.25">
      <c r="A879" t="s">
        <v>434</v>
      </c>
      <c r="B879" s="2">
        <v>46112</v>
      </c>
      <c r="C879" s="2">
        <v>46057</v>
      </c>
      <c r="D879" s="2">
        <v>46085</v>
      </c>
      <c r="E879" t="s">
        <v>2</v>
      </c>
      <c r="F879" t="s">
        <v>47</v>
      </c>
      <c r="G879" t="s">
        <v>0</v>
      </c>
      <c r="H879" t="s">
        <v>4</v>
      </c>
      <c r="I879" t="s">
        <v>435</v>
      </c>
      <c r="J879" t="s">
        <v>6</v>
      </c>
      <c r="K879" t="s">
        <v>7</v>
      </c>
      <c r="L879" t="s">
        <v>436</v>
      </c>
      <c r="M879" t="s">
        <v>437</v>
      </c>
      <c r="N879" t="s">
        <v>10</v>
      </c>
      <c r="O879" t="s">
        <v>0</v>
      </c>
      <c r="P879" t="s">
        <v>147</v>
      </c>
      <c r="Q879" s="5">
        <v>1</v>
      </c>
      <c r="R879" s="4">
        <v>18402</v>
      </c>
      <c r="S879" s="5">
        <v>1</v>
      </c>
      <c r="T879" s="4">
        <v>18402</v>
      </c>
      <c r="U879" s="5">
        <v>1</v>
      </c>
      <c r="V879" s="4">
        <v>18402</v>
      </c>
      <c r="W879" s="5">
        <v>1</v>
      </c>
      <c r="X879" s="4">
        <v>18402</v>
      </c>
      <c r="Y879" s="4">
        <f t="shared" si="26"/>
        <v>0</v>
      </c>
      <c r="Z879" t="s">
        <v>0</v>
      </c>
      <c r="AA879" t="s">
        <v>2</v>
      </c>
      <c r="AB879" t="s">
        <v>12</v>
      </c>
      <c r="AC879">
        <f>_xlfn.XLOOKUP(AB879,'[1]GST Codes'!$A:$A,'[1]GST Codes'!$C:$C,0,0)</f>
        <v>18</v>
      </c>
      <c r="AD879">
        <f t="shared" si="27"/>
        <v>0</v>
      </c>
      <c r="AE879" t="s">
        <v>13</v>
      </c>
      <c r="AF879" t="s">
        <v>0</v>
      </c>
      <c r="AG879" t="s">
        <v>14</v>
      </c>
      <c r="AH879" t="s">
        <v>15</v>
      </c>
      <c r="AI879" t="s">
        <v>438</v>
      </c>
      <c r="AJ879" t="s">
        <v>17</v>
      </c>
      <c r="AK879" t="s">
        <v>18</v>
      </c>
      <c r="AL879" t="s">
        <v>439</v>
      </c>
      <c r="AM879" t="s">
        <v>440</v>
      </c>
      <c r="AN879" t="s">
        <v>0</v>
      </c>
      <c r="AO879" t="s">
        <v>0</v>
      </c>
      <c r="AP879" t="s">
        <v>0</v>
      </c>
      <c r="AQ879" s="5">
        <v>1</v>
      </c>
      <c r="AR879" t="s">
        <v>147</v>
      </c>
      <c r="AS879" t="s">
        <v>0</v>
      </c>
      <c r="AT879" t="s">
        <v>17</v>
      </c>
      <c r="AU879" s="4">
        <v>0</v>
      </c>
      <c r="AV879" s="4">
        <v>0</v>
      </c>
      <c r="AW879" s="4">
        <v>0</v>
      </c>
      <c r="AX879" s="4">
        <v>0</v>
      </c>
      <c r="AY879" s="5">
        <v>0</v>
      </c>
      <c r="AZ879" s="5">
        <v>0</v>
      </c>
      <c r="BA879" s="5">
        <v>0</v>
      </c>
      <c r="BB879" s="2"/>
      <c r="BC879" t="s">
        <v>0</v>
      </c>
      <c r="BD879" s="5">
        <v>1</v>
      </c>
      <c r="BE879" t="s">
        <v>0</v>
      </c>
      <c r="BF879" t="s">
        <v>441</v>
      </c>
      <c r="BG879" t="s">
        <v>17</v>
      </c>
      <c r="BH879" t="s">
        <v>0</v>
      </c>
      <c r="BI879" t="s">
        <v>147</v>
      </c>
      <c r="BJ879" t="s">
        <v>0</v>
      </c>
      <c r="BK879" t="s">
        <v>0</v>
      </c>
      <c r="BL879" s="5">
        <v>0</v>
      </c>
      <c r="BM879" t="s">
        <v>0</v>
      </c>
      <c r="BN879" t="s">
        <v>0</v>
      </c>
      <c r="BO879" t="s">
        <v>0</v>
      </c>
      <c r="BP879" t="s">
        <v>17</v>
      </c>
      <c r="BQ879" t="s">
        <v>0</v>
      </c>
      <c r="BR879" t="s">
        <v>17</v>
      </c>
      <c r="BS879" t="s">
        <v>17</v>
      </c>
      <c r="BT879" t="s">
        <v>0</v>
      </c>
      <c r="BU879" t="s">
        <v>0</v>
      </c>
      <c r="BV879" t="s">
        <v>0</v>
      </c>
      <c r="BW879" t="s">
        <v>0</v>
      </c>
      <c r="BX879" t="s">
        <v>0</v>
      </c>
      <c r="BY879" t="s">
        <v>0</v>
      </c>
      <c r="BZ879" t="s">
        <v>0</v>
      </c>
      <c r="CA879" t="s">
        <v>0</v>
      </c>
      <c r="CB879" t="s">
        <v>0</v>
      </c>
    </row>
    <row r="880" spans="1:80" x14ac:dyDescent="0.25">
      <c r="A880" t="s">
        <v>434</v>
      </c>
      <c r="B880" s="2">
        <v>46112</v>
      </c>
      <c r="C880" s="2">
        <v>46057</v>
      </c>
      <c r="D880" s="2">
        <v>46085</v>
      </c>
      <c r="E880" t="s">
        <v>2</v>
      </c>
      <c r="F880" t="s">
        <v>47</v>
      </c>
      <c r="G880" t="s">
        <v>0</v>
      </c>
      <c r="H880" t="s">
        <v>4</v>
      </c>
      <c r="I880" t="s">
        <v>435</v>
      </c>
      <c r="J880" t="s">
        <v>6</v>
      </c>
      <c r="K880" t="s">
        <v>22</v>
      </c>
      <c r="L880" t="s">
        <v>442</v>
      </c>
      <c r="M880" t="s">
        <v>443</v>
      </c>
      <c r="N880" t="s">
        <v>10</v>
      </c>
      <c r="O880" t="s">
        <v>0</v>
      </c>
      <c r="P880" t="s">
        <v>147</v>
      </c>
      <c r="Q880" s="5">
        <v>2</v>
      </c>
      <c r="R880" s="4">
        <v>390</v>
      </c>
      <c r="S880" s="5">
        <v>1</v>
      </c>
      <c r="T880" s="4">
        <v>780</v>
      </c>
      <c r="U880" s="5">
        <v>2</v>
      </c>
      <c r="V880" s="4">
        <v>780</v>
      </c>
      <c r="W880" s="5">
        <v>2</v>
      </c>
      <c r="X880" s="4">
        <v>780</v>
      </c>
      <c r="Y880" s="4">
        <f t="shared" si="26"/>
        <v>0</v>
      </c>
      <c r="Z880" t="s">
        <v>0</v>
      </c>
      <c r="AA880" t="s">
        <v>2</v>
      </c>
      <c r="AB880" t="s">
        <v>12</v>
      </c>
      <c r="AC880">
        <f>_xlfn.XLOOKUP(AB880,'[1]GST Codes'!$A:$A,'[1]GST Codes'!$C:$C,0,0)</f>
        <v>18</v>
      </c>
      <c r="AD880">
        <f t="shared" si="27"/>
        <v>0</v>
      </c>
      <c r="AE880" t="s">
        <v>13</v>
      </c>
      <c r="AF880" t="s">
        <v>0</v>
      </c>
      <c r="AG880" t="s">
        <v>14</v>
      </c>
      <c r="AH880" t="s">
        <v>15</v>
      </c>
      <c r="AI880" t="s">
        <v>438</v>
      </c>
      <c r="AJ880" t="s">
        <v>17</v>
      </c>
      <c r="AK880" t="s">
        <v>18</v>
      </c>
      <c r="AL880" t="s">
        <v>439</v>
      </c>
      <c r="AM880" t="s">
        <v>440</v>
      </c>
      <c r="AN880" t="s">
        <v>0</v>
      </c>
      <c r="AO880" t="s">
        <v>0</v>
      </c>
      <c r="AP880" t="s">
        <v>0</v>
      </c>
      <c r="AQ880" s="5">
        <v>2</v>
      </c>
      <c r="AR880" t="s">
        <v>147</v>
      </c>
      <c r="AS880" t="s">
        <v>0</v>
      </c>
      <c r="AT880" t="s">
        <v>17</v>
      </c>
      <c r="AU880" s="4">
        <v>0</v>
      </c>
      <c r="AV880" s="4">
        <v>0</v>
      </c>
      <c r="AW880" s="4">
        <v>0</v>
      </c>
      <c r="AX880" s="4">
        <v>0</v>
      </c>
      <c r="AY880" s="5">
        <v>0</v>
      </c>
      <c r="AZ880" s="5">
        <v>0</v>
      </c>
      <c r="BA880" s="5">
        <v>0</v>
      </c>
      <c r="BB880" s="2"/>
      <c r="BC880" t="s">
        <v>0</v>
      </c>
      <c r="BD880" s="5">
        <v>1</v>
      </c>
      <c r="BE880" t="s">
        <v>0</v>
      </c>
      <c r="BF880" t="s">
        <v>444</v>
      </c>
      <c r="BG880" t="s">
        <v>17</v>
      </c>
      <c r="BH880" t="s">
        <v>0</v>
      </c>
      <c r="BI880" t="s">
        <v>147</v>
      </c>
      <c r="BJ880" t="s">
        <v>0</v>
      </c>
      <c r="BK880" t="s">
        <v>0</v>
      </c>
      <c r="BL880" s="5">
        <v>0</v>
      </c>
      <c r="BM880" t="s">
        <v>0</v>
      </c>
      <c r="BN880" t="s">
        <v>0</v>
      </c>
      <c r="BO880" t="s">
        <v>0</v>
      </c>
      <c r="BP880" t="s">
        <v>17</v>
      </c>
      <c r="BQ880" t="s">
        <v>0</v>
      </c>
      <c r="BR880" t="s">
        <v>17</v>
      </c>
      <c r="BS880" t="s">
        <v>17</v>
      </c>
      <c r="BT880" t="s">
        <v>0</v>
      </c>
      <c r="BU880" t="s">
        <v>0</v>
      </c>
      <c r="BV880" t="s">
        <v>0</v>
      </c>
      <c r="BW880" t="s">
        <v>0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</row>
    <row r="881" spans="1:80" ht="13.95" customHeight="1" x14ac:dyDescent="0.25">
      <c r="A881" t="s">
        <v>434</v>
      </c>
      <c r="B881" s="2">
        <v>46112</v>
      </c>
      <c r="C881" s="2">
        <v>46057</v>
      </c>
      <c r="D881" s="2">
        <v>46085</v>
      </c>
      <c r="E881" t="s">
        <v>2</v>
      </c>
      <c r="F881" t="s">
        <v>47</v>
      </c>
      <c r="G881" t="s">
        <v>0</v>
      </c>
      <c r="H881" t="s">
        <v>4</v>
      </c>
      <c r="I881" t="s">
        <v>435</v>
      </c>
      <c r="J881" t="s">
        <v>6</v>
      </c>
      <c r="K881" t="s">
        <v>26</v>
      </c>
      <c r="L881" t="s">
        <v>445</v>
      </c>
      <c r="M881" t="s">
        <v>446</v>
      </c>
      <c r="N881" t="s">
        <v>10</v>
      </c>
      <c r="O881" t="s">
        <v>0</v>
      </c>
      <c r="P881" t="s">
        <v>147</v>
      </c>
      <c r="Q881" s="5">
        <v>10</v>
      </c>
      <c r="R881" s="4">
        <v>211</v>
      </c>
      <c r="S881" s="5">
        <v>1</v>
      </c>
      <c r="T881" s="4">
        <v>2110</v>
      </c>
      <c r="U881" s="5">
        <v>0</v>
      </c>
      <c r="V881" s="4">
        <v>0</v>
      </c>
      <c r="W881" s="5">
        <v>0</v>
      </c>
      <c r="X881" s="4">
        <v>0</v>
      </c>
      <c r="Y881" s="4">
        <f t="shared" si="26"/>
        <v>2110</v>
      </c>
      <c r="Z881" s="6" t="s">
        <v>0</v>
      </c>
      <c r="AA881" t="s">
        <v>2</v>
      </c>
      <c r="AB881" t="s">
        <v>12</v>
      </c>
      <c r="AC881">
        <f>_xlfn.XLOOKUP(AB881,'[1]GST Codes'!$A:$A,'[1]GST Codes'!$C:$C,0,0)</f>
        <v>18</v>
      </c>
      <c r="AD881">
        <f t="shared" si="27"/>
        <v>2489.8000000000002</v>
      </c>
      <c r="AE881" t="s">
        <v>13</v>
      </c>
      <c r="AF881" t="s">
        <v>0</v>
      </c>
      <c r="AG881" t="s">
        <v>14</v>
      </c>
      <c r="AH881" t="s">
        <v>15</v>
      </c>
      <c r="AI881" t="s">
        <v>438</v>
      </c>
      <c r="AJ881" t="s">
        <v>17</v>
      </c>
      <c r="AK881" t="s">
        <v>18</v>
      </c>
      <c r="AL881" t="s">
        <v>439</v>
      </c>
      <c r="AM881" t="s">
        <v>440</v>
      </c>
      <c r="AN881" t="s">
        <v>0</v>
      </c>
      <c r="AO881" t="s">
        <v>0</v>
      </c>
      <c r="AP881" t="s">
        <v>0</v>
      </c>
      <c r="AQ881" s="5">
        <v>10</v>
      </c>
      <c r="AR881" t="s">
        <v>147</v>
      </c>
      <c r="AS881" t="s">
        <v>0</v>
      </c>
      <c r="AT881" t="s">
        <v>17</v>
      </c>
      <c r="AU881" s="4">
        <v>0</v>
      </c>
      <c r="AV881" s="4">
        <v>0</v>
      </c>
      <c r="AW881" s="4">
        <v>0</v>
      </c>
      <c r="AX881" s="4">
        <v>0</v>
      </c>
      <c r="AY881" s="5">
        <v>0</v>
      </c>
      <c r="AZ881" s="5">
        <v>0</v>
      </c>
      <c r="BA881" s="5">
        <v>0</v>
      </c>
      <c r="BB881" s="2"/>
      <c r="BC881" t="s">
        <v>0</v>
      </c>
      <c r="BD881" s="5">
        <v>1</v>
      </c>
      <c r="BE881" t="s">
        <v>0</v>
      </c>
      <c r="BF881" t="s">
        <v>447</v>
      </c>
      <c r="BG881" t="s">
        <v>17</v>
      </c>
      <c r="BH881" t="s">
        <v>0</v>
      </c>
      <c r="BI881" t="s">
        <v>147</v>
      </c>
      <c r="BJ881" t="s">
        <v>0</v>
      </c>
      <c r="BK881" t="s">
        <v>0</v>
      </c>
      <c r="BL881" s="5">
        <v>0</v>
      </c>
      <c r="BM881" t="s">
        <v>0</v>
      </c>
      <c r="BN881" t="s">
        <v>0</v>
      </c>
      <c r="BO881" t="s">
        <v>0</v>
      </c>
      <c r="BP881" t="s">
        <v>17</v>
      </c>
      <c r="BQ881" t="s">
        <v>0</v>
      </c>
      <c r="BR881" t="s">
        <v>17</v>
      </c>
      <c r="BS881" t="s">
        <v>17</v>
      </c>
      <c r="BT881" t="s">
        <v>0</v>
      </c>
      <c r="BU881" t="s">
        <v>0</v>
      </c>
      <c r="BV881" t="s">
        <v>0</v>
      </c>
      <c r="BW881" t="s">
        <v>0</v>
      </c>
      <c r="BX881" t="s">
        <v>0</v>
      </c>
      <c r="BY881" t="s">
        <v>0</v>
      </c>
      <c r="BZ881" t="s">
        <v>0</v>
      </c>
      <c r="CA881" t="s">
        <v>0</v>
      </c>
      <c r="CB881" t="s">
        <v>0</v>
      </c>
    </row>
    <row r="882" spans="1:80" ht="13.95" customHeight="1" x14ac:dyDescent="0.25">
      <c r="A882" t="s">
        <v>434</v>
      </c>
      <c r="B882" s="2">
        <v>46112</v>
      </c>
      <c r="C882" s="2">
        <v>46057</v>
      </c>
      <c r="D882" s="2">
        <v>46085</v>
      </c>
      <c r="E882" t="s">
        <v>2</v>
      </c>
      <c r="F882" t="s">
        <v>47</v>
      </c>
      <c r="G882" t="s">
        <v>0</v>
      </c>
      <c r="H882" t="s">
        <v>4</v>
      </c>
      <c r="I882" t="s">
        <v>435</v>
      </c>
      <c r="J882" t="s">
        <v>6</v>
      </c>
      <c r="K882" t="s">
        <v>30</v>
      </c>
      <c r="L882" t="s">
        <v>448</v>
      </c>
      <c r="M882" t="s">
        <v>449</v>
      </c>
      <c r="N882" t="s">
        <v>10</v>
      </c>
      <c r="O882" t="s">
        <v>0</v>
      </c>
      <c r="P882" t="s">
        <v>147</v>
      </c>
      <c r="Q882" s="5">
        <v>4</v>
      </c>
      <c r="R882" s="4">
        <v>1548</v>
      </c>
      <c r="S882" s="5">
        <v>1</v>
      </c>
      <c r="T882" s="4">
        <v>6192</v>
      </c>
      <c r="U882" s="5">
        <v>3</v>
      </c>
      <c r="V882" s="4">
        <v>4644</v>
      </c>
      <c r="W882" s="5">
        <v>3</v>
      </c>
      <c r="X882" s="4">
        <v>4644</v>
      </c>
      <c r="Y882" s="4">
        <f t="shared" si="26"/>
        <v>1548</v>
      </c>
      <c r="Z882" s="6" t="s">
        <v>0</v>
      </c>
      <c r="AA882" t="s">
        <v>2</v>
      </c>
      <c r="AB882" t="s">
        <v>12</v>
      </c>
      <c r="AC882">
        <f>_xlfn.XLOOKUP(AB882,'[1]GST Codes'!$A:$A,'[1]GST Codes'!$C:$C,0,0)</f>
        <v>18</v>
      </c>
      <c r="AD882">
        <f t="shared" si="27"/>
        <v>1826.6399999999999</v>
      </c>
      <c r="AE882" t="s">
        <v>13</v>
      </c>
      <c r="AF882" t="s">
        <v>0</v>
      </c>
      <c r="AG882" t="s">
        <v>14</v>
      </c>
      <c r="AH882" t="s">
        <v>15</v>
      </c>
      <c r="AI882" t="s">
        <v>438</v>
      </c>
      <c r="AJ882" t="s">
        <v>17</v>
      </c>
      <c r="AK882" t="s">
        <v>18</v>
      </c>
      <c r="AL882" t="s">
        <v>439</v>
      </c>
      <c r="AM882" t="s">
        <v>440</v>
      </c>
      <c r="AN882" t="s">
        <v>0</v>
      </c>
      <c r="AO882" t="s">
        <v>0</v>
      </c>
      <c r="AP882" t="s">
        <v>0</v>
      </c>
      <c r="AQ882" s="5">
        <v>4</v>
      </c>
      <c r="AR882" t="s">
        <v>147</v>
      </c>
      <c r="AS882" t="s">
        <v>0</v>
      </c>
      <c r="AT882" t="s">
        <v>17</v>
      </c>
      <c r="AU882" s="4">
        <v>0</v>
      </c>
      <c r="AV882" s="4">
        <v>0</v>
      </c>
      <c r="AW882" s="4">
        <v>0</v>
      </c>
      <c r="AX882" s="4">
        <v>0</v>
      </c>
      <c r="AY882" s="5">
        <v>0</v>
      </c>
      <c r="AZ882" s="5">
        <v>0</v>
      </c>
      <c r="BA882" s="5">
        <v>0</v>
      </c>
      <c r="BB882" s="2"/>
      <c r="BC882" t="s">
        <v>0</v>
      </c>
      <c r="BD882" s="5">
        <v>1</v>
      </c>
      <c r="BE882" t="s">
        <v>0</v>
      </c>
      <c r="BF882" t="s">
        <v>450</v>
      </c>
      <c r="BG882" t="s">
        <v>17</v>
      </c>
      <c r="BH882" t="s">
        <v>0</v>
      </c>
      <c r="BI882" t="s">
        <v>147</v>
      </c>
      <c r="BJ882" t="s">
        <v>0</v>
      </c>
      <c r="BK882" t="s">
        <v>0</v>
      </c>
      <c r="BL882" s="5">
        <v>0</v>
      </c>
      <c r="BM882" t="s">
        <v>0</v>
      </c>
      <c r="BN882" t="s">
        <v>0</v>
      </c>
      <c r="BO882" t="s">
        <v>0</v>
      </c>
      <c r="BP882" t="s">
        <v>17</v>
      </c>
      <c r="BQ882" t="s">
        <v>0</v>
      </c>
      <c r="BR882" t="s">
        <v>17</v>
      </c>
      <c r="BS882" t="s">
        <v>17</v>
      </c>
      <c r="BT882" t="s">
        <v>0</v>
      </c>
      <c r="BU882" t="s">
        <v>0</v>
      </c>
      <c r="BV882" t="s">
        <v>0</v>
      </c>
      <c r="BW882" t="s">
        <v>0</v>
      </c>
      <c r="BX882" t="s">
        <v>0</v>
      </c>
      <c r="BY882" t="s">
        <v>0</v>
      </c>
      <c r="BZ882" t="s">
        <v>0</v>
      </c>
      <c r="CA882" t="s">
        <v>0</v>
      </c>
      <c r="CB882" t="s">
        <v>0</v>
      </c>
    </row>
    <row r="883" spans="1:80" ht="13.95" customHeight="1" x14ac:dyDescent="0.25">
      <c r="A883" t="s">
        <v>434</v>
      </c>
      <c r="B883" s="2">
        <v>46112</v>
      </c>
      <c r="C883" s="2">
        <v>46057</v>
      </c>
      <c r="D883" s="2">
        <v>46085</v>
      </c>
      <c r="E883" t="s">
        <v>2</v>
      </c>
      <c r="F883" t="s">
        <v>47</v>
      </c>
      <c r="G883" t="s">
        <v>0</v>
      </c>
      <c r="H883" t="s">
        <v>4</v>
      </c>
      <c r="I883" t="s">
        <v>435</v>
      </c>
      <c r="J883" t="s">
        <v>6</v>
      </c>
      <c r="K883" t="s">
        <v>34</v>
      </c>
      <c r="L883" t="s">
        <v>442</v>
      </c>
      <c r="M883" t="s">
        <v>443</v>
      </c>
      <c r="N883" t="s">
        <v>10</v>
      </c>
      <c r="O883" t="s">
        <v>0</v>
      </c>
      <c r="P883" t="s">
        <v>147</v>
      </c>
      <c r="Q883" s="5">
        <v>4</v>
      </c>
      <c r="R883" s="4">
        <v>390</v>
      </c>
      <c r="S883" s="5">
        <v>1</v>
      </c>
      <c r="T883" s="4">
        <v>1560</v>
      </c>
      <c r="U883" s="5">
        <v>0</v>
      </c>
      <c r="V883" s="4">
        <v>0</v>
      </c>
      <c r="W883" s="5">
        <v>0</v>
      </c>
      <c r="X883" s="4">
        <v>0</v>
      </c>
      <c r="Y883" s="4">
        <f t="shared" si="26"/>
        <v>1560</v>
      </c>
      <c r="Z883" s="6" t="s">
        <v>0</v>
      </c>
      <c r="AA883" t="s">
        <v>2</v>
      </c>
      <c r="AB883" t="s">
        <v>12</v>
      </c>
      <c r="AC883">
        <f>_xlfn.XLOOKUP(AB883,'[1]GST Codes'!$A:$A,'[1]GST Codes'!$C:$C,0,0)</f>
        <v>18</v>
      </c>
      <c r="AD883">
        <f t="shared" si="27"/>
        <v>1840.8</v>
      </c>
      <c r="AE883" t="s">
        <v>13</v>
      </c>
      <c r="AF883" t="s">
        <v>0</v>
      </c>
      <c r="AG883" t="s">
        <v>14</v>
      </c>
      <c r="AH883" t="s">
        <v>15</v>
      </c>
      <c r="AI883" t="s">
        <v>438</v>
      </c>
      <c r="AJ883" t="s">
        <v>17</v>
      </c>
      <c r="AK883" t="s">
        <v>18</v>
      </c>
      <c r="AL883" t="s">
        <v>439</v>
      </c>
      <c r="AM883" t="s">
        <v>440</v>
      </c>
      <c r="AN883" t="s">
        <v>0</v>
      </c>
      <c r="AO883" t="s">
        <v>0</v>
      </c>
      <c r="AP883" t="s">
        <v>0</v>
      </c>
      <c r="AQ883" s="5">
        <v>4</v>
      </c>
      <c r="AR883" t="s">
        <v>147</v>
      </c>
      <c r="AS883" t="s">
        <v>0</v>
      </c>
      <c r="AT883" t="s">
        <v>17</v>
      </c>
      <c r="AU883" s="4">
        <v>0</v>
      </c>
      <c r="AV883" s="4">
        <v>0</v>
      </c>
      <c r="AW883" s="4">
        <v>0</v>
      </c>
      <c r="AX883" s="4">
        <v>0</v>
      </c>
      <c r="AY883" s="5">
        <v>0</v>
      </c>
      <c r="AZ883" s="5">
        <v>0</v>
      </c>
      <c r="BA883" s="5">
        <v>0</v>
      </c>
      <c r="BB883" s="2"/>
      <c r="BC883" t="s">
        <v>0</v>
      </c>
      <c r="BD883" s="5">
        <v>1</v>
      </c>
      <c r="BE883" t="s">
        <v>0</v>
      </c>
      <c r="BF883" t="s">
        <v>444</v>
      </c>
      <c r="BG883" t="s">
        <v>17</v>
      </c>
      <c r="BH883" t="s">
        <v>0</v>
      </c>
      <c r="BI883" t="s">
        <v>147</v>
      </c>
      <c r="BJ883" t="s">
        <v>0</v>
      </c>
      <c r="BK883" t="s">
        <v>0</v>
      </c>
      <c r="BL883" s="5">
        <v>0</v>
      </c>
      <c r="BM883" t="s">
        <v>0</v>
      </c>
      <c r="BN883" t="s">
        <v>0</v>
      </c>
      <c r="BO883" t="s">
        <v>0</v>
      </c>
      <c r="BP883" t="s">
        <v>17</v>
      </c>
      <c r="BQ883" t="s">
        <v>0</v>
      </c>
      <c r="BR883" t="s">
        <v>17</v>
      </c>
      <c r="BS883" t="s">
        <v>17</v>
      </c>
      <c r="BT883" t="s">
        <v>0</v>
      </c>
      <c r="BU883" t="s">
        <v>0</v>
      </c>
      <c r="BV883" t="s">
        <v>0</v>
      </c>
      <c r="BW883" t="s">
        <v>0</v>
      </c>
      <c r="BX883" t="s">
        <v>0</v>
      </c>
      <c r="BY883" t="s">
        <v>0</v>
      </c>
      <c r="BZ883" t="s">
        <v>0</v>
      </c>
      <c r="CA883" t="s">
        <v>0</v>
      </c>
      <c r="CB883" t="s">
        <v>0</v>
      </c>
    </row>
    <row r="884" spans="1:80" ht="13.95" customHeight="1" x14ac:dyDescent="0.25">
      <c r="A884" t="s">
        <v>434</v>
      </c>
      <c r="B884" s="2">
        <v>46112</v>
      </c>
      <c r="C884" s="2">
        <v>46057</v>
      </c>
      <c r="D884" s="2">
        <v>46085</v>
      </c>
      <c r="E884" t="s">
        <v>2</v>
      </c>
      <c r="F884" t="s">
        <v>47</v>
      </c>
      <c r="G884" t="s">
        <v>0</v>
      </c>
      <c r="H884" t="s">
        <v>4</v>
      </c>
      <c r="I884" t="s">
        <v>435</v>
      </c>
      <c r="J884" t="s">
        <v>6</v>
      </c>
      <c r="K884" t="s">
        <v>38</v>
      </c>
      <c r="L884" t="s">
        <v>451</v>
      </c>
      <c r="M884" t="s">
        <v>452</v>
      </c>
      <c r="N884" t="s">
        <v>10</v>
      </c>
      <c r="O884" t="s">
        <v>0</v>
      </c>
      <c r="P884" t="s">
        <v>147</v>
      </c>
      <c r="Q884" s="5">
        <v>36</v>
      </c>
      <c r="R884" s="4">
        <v>179</v>
      </c>
      <c r="S884" s="5">
        <v>1</v>
      </c>
      <c r="T884" s="4">
        <v>6444</v>
      </c>
      <c r="U884" s="5">
        <v>0</v>
      </c>
      <c r="V884" s="4">
        <v>0</v>
      </c>
      <c r="W884" s="5">
        <v>0</v>
      </c>
      <c r="X884" s="4">
        <v>0</v>
      </c>
      <c r="Y884" s="4">
        <f t="shared" si="26"/>
        <v>6444</v>
      </c>
      <c r="Z884" s="6" t="s">
        <v>0</v>
      </c>
      <c r="AA884" t="s">
        <v>2</v>
      </c>
      <c r="AB884" t="s">
        <v>12</v>
      </c>
      <c r="AC884">
        <f>_xlfn.XLOOKUP(AB884,'[1]GST Codes'!$A:$A,'[1]GST Codes'!$C:$C,0,0)</f>
        <v>18</v>
      </c>
      <c r="AD884">
        <f t="shared" si="27"/>
        <v>7603.92</v>
      </c>
      <c r="AE884" t="s">
        <v>13</v>
      </c>
      <c r="AF884" t="s">
        <v>0</v>
      </c>
      <c r="AG884" t="s">
        <v>14</v>
      </c>
      <c r="AH884" t="s">
        <v>15</v>
      </c>
      <c r="AI884" t="s">
        <v>438</v>
      </c>
      <c r="AJ884" t="s">
        <v>17</v>
      </c>
      <c r="AK884" t="s">
        <v>18</v>
      </c>
      <c r="AL884" t="s">
        <v>439</v>
      </c>
      <c r="AM884" t="s">
        <v>440</v>
      </c>
      <c r="AN884" t="s">
        <v>0</v>
      </c>
      <c r="AO884" t="s">
        <v>0</v>
      </c>
      <c r="AP884" t="s">
        <v>0</v>
      </c>
      <c r="AQ884" s="5">
        <v>36</v>
      </c>
      <c r="AR884" t="s">
        <v>147</v>
      </c>
      <c r="AS884" t="s">
        <v>0</v>
      </c>
      <c r="AT884" t="s">
        <v>17</v>
      </c>
      <c r="AU884" s="4">
        <v>0</v>
      </c>
      <c r="AV884" s="4">
        <v>0</v>
      </c>
      <c r="AW884" s="4">
        <v>0</v>
      </c>
      <c r="AX884" s="4">
        <v>0</v>
      </c>
      <c r="AY884" s="5">
        <v>0</v>
      </c>
      <c r="AZ884" s="5">
        <v>0</v>
      </c>
      <c r="BA884" s="5">
        <v>0</v>
      </c>
      <c r="BB884" s="2"/>
      <c r="BC884" t="s">
        <v>0</v>
      </c>
      <c r="BD884" s="5">
        <v>1</v>
      </c>
      <c r="BE884" t="s">
        <v>0</v>
      </c>
      <c r="BF884" t="s">
        <v>453</v>
      </c>
      <c r="BG884" t="s">
        <v>17</v>
      </c>
      <c r="BH884" t="s">
        <v>0</v>
      </c>
      <c r="BI884" t="s">
        <v>147</v>
      </c>
      <c r="BJ884" t="s">
        <v>0</v>
      </c>
      <c r="BK884" t="s">
        <v>0</v>
      </c>
      <c r="BL884" s="5">
        <v>0</v>
      </c>
      <c r="BM884" t="s">
        <v>0</v>
      </c>
      <c r="BN884" t="s">
        <v>0</v>
      </c>
      <c r="BO884" t="s">
        <v>0</v>
      </c>
      <c r="BP884" t="s">
        <v>17</v>
      </c>
      <c r="BQ884" t="s">
        <v>0</v>
      </c>
      <c r="BR884" t="s">
        <v>17</v>
      </c>
      <c r="BS884" t="s">
        <v>17</v>
      </c>
      <c r="BT884" t="s">
        <v>0</v>
      </c>
      <c r="BU884" t="s">
        <v>0</v>
      </c>
      <c r="BV884" t="s">
        <v>0</v>
      </c>
      <c r="BW884" t="s">
        <v>0</v>
      </c>
      <c r="BX884" t="s">
        <v>0</v>
      </c>
      <c r="BY884" t="s">
        <v>0</v>
      </c>
      <c r="BZ884" t="s">
        <v>0</v>
      </c>
      <c r="CA884" t="s">
        <v>0</v>
      </c>
      <c r="CB884" t="s">
        <v>0</v>
      </c>
    </row>
    <row r="885" spans="1:80" x14ac:dyDescent="0.25">
      <c r="A885" t="s">
        <v>434</v>
      </c>
      <c r="B885" s="2">
        <v>46112</v>
      </c>
      <c r="C885" s="2">
        <v>46057</v>
      </c>
      <c r="D885" s="2">
        <v>46085</v>
      </c>
      <c r="E885" t="s">
        <v>2</v>
      </c>
      <c r="F885" t="s">
        <v>47</v>
      </c>
      <c r="G885" t="s">
        <v>0</v>
      </c>
      <c r="H885" t="s">
        <v>4</v>
      </c>
      <c r="I885" t="s">
        <v>435</v>
      </c>
      <c r="J885" t="s">
        <v>6</v>
      </c>
      <c r="K885" t="s">
        <v>42</v>
      </c>
      <c r="L885" t="s">
        <v>448</v>
      </c>
      <c r="M885" t="s">
        <v>449</v>
      </c>
      <c r="N885" t="s">
        <v>10</v>
      </c>
      <c r="O885" t="s">
        <v>0</v>
      </c>
      <c r="P885" t="s">
        <v>147</v>
      </c>
      <c r="Q885" s="5">
        <v>4</v>
      </c>
      <c r="R885" s="4">
        <v>1528</v>
      </c>
      <c r="S885" s="5">
        <v>1</v>
      </c>
      <c r="T885" s="4">
        <v>6112</v>
      </c>
      <c r="U885" s="5">
        <v>4</v>
      </c>
      <c r="V885" s="4">
        <v>6112</v>
      </c>
      <c r="W885" s="5">
        <v>4</v>
      </c>
      <c r="X885" s="4">
        <v>6112</v>
      </c>
      <c r="Y885" s="4">
        <f t="shared" si="26"/>
        <v>0</v>
      </c>
      <c r="Z885" t="s">
        <v>0</v>
      </c>
      <c r="AA885" t="s">
        <v>2</v>
      </c>
      <c r="AB885" t="s">
        <v>12</v>
      </c>
      <c r="AC885">
        <f>_xlfn.XLOOKUP(AB885,'[1]GST Codes'!$A:$A,'[1]GST Codes'!$C:$C,0,0)</f>
        <v>18</v>
      </c>
      <c r="AD885">
        <f t="shared" si="27"/>
        <v>0</v>
      </c>
      <c r="AE885" t="s">
        <v>13</v>
      </c>
      <c r="AF885" t="s">
        <v>0</v>
      </c>
      <c r="AG885" t="s">
        <v>14</v>
      </c>
      <c r="AH885" t="s">
        <v>15</v>
      </c>
      <c r="AI885" t="s">
        <v>438</v>
      </c>
      <c r="AJ885" t="s">
        <v>17</v>
      </c>
      <c r="AK885" t="s">
        <v>18</v>
      </c>
      <c r="AL885" t="s">
        <v>439</v>
      </c>
      <c r="AM885" t="s">
        <v>440</v>
      </c>
      <c r="AN885" t="s">
        <v>0</v>
      </c>
      <c r="AO885" t="s">
        <v>0</v>
      </c>
      <c r="AP885" t="s">
        <v>0</v>
      </c>
      <c r="AQ885" s="5">
        <v>4</v>
      </c>
      <c r="AR885" t="s">
        <v>147</v>
      </c>
      <c r="AS885" t="s">
        <v>0</v>
      </c>
      <c r="AT885" t="s">
        <v>17</v>
      </c>
      <c r="AU885" s="4">
        <v>0</v>
      </c>
      <c r="AV885" s="4">
        <v>0</v>
      </c>
      <c r="AW885" s="4">
        <v>0</v>
      </c>
      <c r="AX885" s="4">
        <v>0</v>
      </c>
      <c r="AY885" s="5">
        <v>0</v>
      </c>
      <c r="AZ885" s="5">
        <v>0</v>
      </c>
      <c r="BA885" s="5">
        <v>0</v>
      </c>
      <c r="BB885" s="2"/>
      <c r="BC885" t="s">
        <v>0</v>
      </c>
      <c r="BD885" s="5">
        <v>1</v>
      </c>
      <c r="BE885" t="s">
        <v>0</v>
      </c>
      <c r="BF885" t="s">
        <v>450</v>
      </c>
      <c r="BG885" t="s">
        <v>17</v>
      </c>
      <c r="BH885" t="s">
        <v>0</v>
      </c>
      <c r="BI885" t="s">
        <v>147</v>
      </c>
      <c r="BJ885" t="s">
        <v>0</v>
      </c>
      <c r="BK885" t="s">
        <v>0</v>
      </c>
      <c r="BL885" s="5">
        <v>0</v>
      </c>
      <c r="BM885" t="s">
        <v>0</v>
      </c>
      <c r="BN885" t="s">
        <v>0</v>
      </c>
      <c r="BO885" t="s">
        <v>0</v>
      </c>
      <c r="BP885" t="s">
        <v>17</v>
      </c>
      <c r="BQ885" t="s">
        <v>0</v>
      </c>
      <c r="BR885" t="s">
        <v>17</v>
      </c>
      <c r="BS885" t="s">
        <v>17</v>
      </c>
      <c r="BT885" t="s">
        <v>0</v>
      </c>
      <c r="BU885" t="s">
        <v>0</v>
      </c>
      <c r="BV885" t="s">
        <v>0</v>
      </c>
      <c r="BW885" t="s">
        <v>0</v>
      </c>
      <c r="BX885" t="s">
        <v>0</v>
      </c>
      <c r="BY885" t="s">
        <v>0</v>
      </c>
      <c r="BZ885" t="s">
        <v>0</v>
      </c>
      <c r="CA885" t="s">
        <v>0</v>
      </c>
      <c r="CB885" t="s">
        <v>0</v>
      </c>
    </row>
    <row r="886" spans="1:80" ht="13.95" customHeight="1" x14ac:dyDescent="0.25">
      <c r="A886" t="s">
        <v>434</v>
      </c>
      <c r="B886" s="2">
        <v>46112</v>
      </c>
      <c r="C886" s="2">
        <v>46057</v>
      </c>
      <c r="D886" s="2">
        <v>46085</v>
      </c>
      <c r="E886" t="s">
        <v>2</v>
      </c>
      <c r="F886" t="s">
        <v>47</v>
      </c>
      <c r="G886" t="s">
        <v>0</v>
      </c>
      <c r="H886" t="s">
        <v>4</v>
      </c>
      <c r="I886" t="s">
        <v>435</v>
      </c>
      <c r="J886" t="s">
        <v>6</v>
      </c>
      <c r="K886" t="s">
        <v>86</v>
      </c>
      <c r="L886" t="s">
        <v>454</v>
      </c>
      <c r="M886" t="s">
        <v>455</v>
      </c>
      <c r="N886" t="s">
        <v>10</v>
      </c>
      <c r="O886" t="s">
        <v>0</v>
      </c>
      <c r="P886" t="s">
        <v>147</v>
      </c>
      <c r="Q886" s="5">
        <v>36</v>
      </c>
      <c r="R886" s="4">
        <v>179</v>
      </c>
      <c r="S886" s="5">
        <v>1</v>
      </c>
      <c r="T886" s="4">
        <v>6444</v>
      </c>
      <c r="U886" s="5">
        <v>0</v>
      </c>
      <c r="V886" s="4">
        <v>0</v>
      </c>
      <c r="W886" s="5">
        <v>0</v>
      </c>
      <c r="X886" s="4">
        <v>0</v>
      </c>
      <c r="Y886" s="4">
        <f t="shared" si="26"/>
        <v>6444</v>
      </c>
      <c r="Z886" s="6" t="s">
        <v>0</v>
      </c>
      <c r="AA886" t="s">
        <v>2</v>
      </c>
      <c r="AB886" t="s">
        <v>12</v>
      </c>
      <c r="AC886">
        <f>_xlfn.XLOOKUP(AB886,'[1]GST Codes'!$A:$A,'[1]GST Codes'!$C:$C,0,0)</f>
        <v>18</v>
      </c>
      <c r="AD886">
        <f t="shared" si="27"/>
        <v>7603.92</v>
      </c>
      <c r="AE886" t="s">
        <v>13</v>
      </c>
      <c r="AF886" t="s">
        <v>0</v>
      </c>
      <c r="AG886" t="s">
        <v>14</v>
      </c>
      <c r="AH886" t="s">
        <v>15</v>
      </c>
      <c r="AI886" t="s">
        <v>438</v>
      </c>
      <c r="AJ886" t="s">
        <v>17</v>
      </c>
      <c r="AK886" t="s">
        <v>18</v>
      </c>
      <c r="AL886" t="s">
        <v>439</v>
      </c>
      <c r="AM886" t="s">
        <v>440</v>
      </c>
      <c r="AN886" t="s">
        <v>0</v>
      </c>
      <c r="AO886" t="s">
        <v>0</v>
      </c>
      <c r="AP886" t="s">
        <v>0</v>
      </c>
      <c r="AQ886" s="5">
        <v>36</v>
      </c>
      <c r="AR886" t="s">
        <v>147</v>
      </c>
      <c r="AS886" t="s">
        <v>0</v>
      </c>
      <c r="AT886" t="s">
        <v>17</v>
      </c>
      <c r="AU886" s="4">
        <v>0</v>
      </c>
      <c r="AV886" s="4">
        <v>0</v>
      </c>
      <c r="AW886" s="4">
        <v>0</v>
      </c>
      <c r="AX886" s="4">
        <v>0</v>
      </c>
      <c r="AY886" s="5">
        <v>0</v>
      </c>
      <c r="AZ886" s="5">
        <v>0</v>
      </c>
      <c r="BA886" s="5">
        <v>0</v>
      </c>
      <c r="BB886" s="2"/>
      <c r="BC886" t="s">
        <v>0</v>
      </c>
      <c r="BD886" s="5">
        <v>1</v>
      </c>
      <c r="BE886" t="s">
        <v>0</v>
      </c>
      <c r="BF886" t="s">
        <v>456</v>
      </c>
      <c r="BG886" t="s">
        <v>17</v>
      </c>
      <c r="BH886" t="s">
        <v>0</v>
      </c>
      <c r="BI886" t="s">
        <v>147</v>
      </c>
      <c r="BJ886" t="s">
        <v>0</v>
      </c>
      <c r="BK886" t="s">
        <v>0</v>
      </c>
      <c r="BL886" s="5">
        <v>0</v>
      </c>
      <c r="BM886" t="s">
        <v>0</v>
      </c>
      <c r="BN886" t="s">
        <v>0</v>
      </c>
      <c r="BO886" t="s">
        <v>0</v>
      </c>
      <c r="BP886" t="s">
        <v>17</v>
      </c>
      <c r="BQ886" t="s">
        <v>0</v>
      </c>
      <c r="BR886" t="s">
        <v>17</v>
      </c>
      <c r="BS886" t="s">
        <v>17</v>
      </c>
      <c r="BT886" t="s">
        <v>0</v>
      </c>
      <c r="BU886" t="s">
        <v>0</v>
      </c>
      <c r="BV886" t="s">
        <v>0</v>
      </c>
      <c r="BW886" t="s">
        <v>0</v>
      </c>
      <c r="BX886" t="s">
        <v>0</v>
      </c>
      <c r="BY886" t="s">
        <v>0</v>
      </c>
      <c r="BZ886" t="s">
        <v>0</v>
      </c>
      <c r="CA886" t="s">
        <v>0</v>
      </c>
      <c r="CB886" t="s">
        <v>0</v>
      </c>
    </row>
    <row r="887" spans="1:80" x14ac:dyDescent="0.25">
      <c r="A887" t="s">
        <v>434</v>
      </c>
      <c r="B887" s="2">
        <v>46112</v>
      </c>
      <c r="C887" s="2">
        <v>46057</v>
      </c>
      <c r="D887" s="2">
        <v>46085</v>
      </c>
      <c r="E887" t="s">
        <v>2</v>
      </c>
      <c r="F887" t="s">
        <v>47</v>
      </c>
      <c r="G887" t="s">
        <v>0</v>
      </c>
      <c r="H887" t="s">
        <v>4</v>
      </c>
      <c r="I887" t="s">
        <v>435</v>
      </c>
      <c r="J887" t="s">
        <v>6</v>
      </c>
      <c r="K887" t="s">
        <v>87</v>
      </c>
      <c r="L887" t="s">
        <v>442</v>
      </c>
      <c r="M887" t="s">
        <v>443</v>
      </c>
      <c r="N887" t="s">
        <v>10</v>
      </c>
      <c r="O887" t="s">
        <v>0</v>
      </c>
      <c r="P887" t="s">
        <v>147</v>
      </c>
      <c r="Q887" s="5">
        <v>15</v>
      </c>
      <c r="R887" s="4">
        <v>390</v>
      </c>
      <c r="S887" s="5">
        <v>1</v>
      </c>
      <c r="T887" s="4">
        <v>5850</v>
      </c>
      <c r="U887" s="5">
        <v>15</v>
      </c>
      <c r="V887" s="4">
        <v>5850</v>
      </c>
      <c r="W887" s="5">
        <v>15</v>
      </c>
      <c r="X887" s="4">
        <v>5850</v>
      </c>
      <c r="Y887" s="4">
        <f t="shared" si="26"/>
        <v>0</v>
      </c>
      <c r="Z887" t="s">
        <v>0</v>
      </c>
      <c r="AA887" t="s">
        <v>2</v>
      </c>
      <c r="AB887" t="s">
        <v>12</v>
      </c>
      <c r="AC887">
        <f>_xlfn.XLOOKUP(AB887,'[1]GST Codes'!$A:$A,'[1]GST Codes'!$C:$C,0,0)</f>
        <v>18</v>
      </c>
      <c r="AD887">
        <f t="shared" si="27"/>
        <v>0</v>
      </c>
      <c r="AE887" t="s">
        <v>13</v>
      </c>
      <c r="AF887" t="s">
        <v>0</v>
      </c>
      <c r="AG887" t="s">
        <v>14</v>
      </c>
      <c r="AH887" t="s">
        <v>15</v>
      </c>
      <c r="AI887" t="s">
        <v>438</v>
      </c>
      <c r="AJ887" t="s">
        <v>17</v>
      </c>
      <c r="AK887" t="s">
        <v>18</v>
      </c>
      <c r="AL887" t="s">
        <v>439</v>
      </c>
      <c r="AM887" t="s">
        <v>440</v>
      </c>
      <c r="AN887" t="s">
        <v>0</v>
      </c>
      <c r="AO887" t="s">
        <v>0</v>
      </c>
      <c r="AP887" t="s">
        <v>0</v>
      </c>
      <c r="AQ887" s="5">
        <v>15</v>
      </c>
      <c r="AR887" t="s">
        <v>147</v>
      </c>
      <c r="AS887" t="s">
        <v>0</v>
      </c>
      <c r="AT887" t="s">
        <v>17</v>
      </c>
      <c r="AU887" s="4">
        <v>0</v>
      </c>
      <c r="AV887" s="4">
        <v>0</v>
      </c>
      <c r="AW887" s="4">
        <v>0</v>
      </c>
      <c r="AX887" s="4">
        <v>0</v>
      </c>
      <c r="AY887" s="5">
        <v>0</v>
      </c>
      <c r="AZ887" s="5">
        <v>0</v>
      </c>
      <c r="BA887" s="5">
        <v>0</v>
      </c>
      <c r="BB887" s="2"/>
      <c r="BC887" t="s">
        <v>0</v>
      </c>
      <c r="BD887" s="5">
        <v>1</v>
      </c>
      <c r="BE887" t="s">
        <v>0</v>
      </c>
      <c r="BF887" t="s">
        <v>444</v>
      </c>
      <c r="BG887" t="s">
        <v>17</v>
      </c>
      <c r="BH887" t="s">
        <v>0</v>
      </c>
      <c r="BI887" t="s">
        <v>147</v>
      </c>
      <c r="BJ887" t="s">
        <v>0</v>
      </c>
      <c r="BK887" t="s">
        <v>0</v>
      </c>
      <c r="BL887" s="5">
        <v>0</v>
      </c>
      <c r="BM887" t="s">
        <v>0</v>
      </c>
      <c r="BN887" t="s">
        <v>0</v>
      </c>
      <c r="BO887" t="s">
        <v>0</v>
      </c>
      <c r="BP887" t="s">
        <v>17</v>
      </c>
      <c r="BQ887" t="s">
        <v>0</v>
      </c>
      <c r="BR887" t="s">
        <v>17</v>
      </c>
      <c r="BS887" t="s">
        <v>17</v>
      </c>
      <c r="BT887" t="s">
        <v>0</v>
      </c>
      <c r="BU887" t="s">
        <v>0</v>
      </c>
      <c r="BV887" t="s">
        <v>0</v>
      </c>
      <c r="BW887" t="s">
        <v>0</v>
      </c>
      <c r="BX887" t="s">
        <v>0</v>
      </c>
      <c r="BY887" t="s">
        <v>0</v>
      </c>
      <c r="BZ887" t="s">
        <v>0</v>
      </c>
      <c r="CA887" t="s">
        <v>0</v>
      </c>
      <c r="CB887" t="s">
        <v>0</v>
      </c>
    </row>
    <row r="888" spans="1:80" ht="13.95" customHeight="1" x14ac:dyDescent="0.25">
      <c r="A888" t="s">
        <v>457</v>
      </c>
      <c r="B888" s="2">
        <v>45875</v>
      </c>
      <c r="C888" s="2">
        <v>45874</v>
      </c>
      <c r="D888" s="2">
        <v>45905</v>
      </c>
      <c r="E888" t="s">
        <v>2</v>
      </c>
      <c r="F888" t="s">
        <v>3</v>
      </c>
      <c r="G888" t="s">
        <v>0</v>
      </c>
      <c r="H888" t="s">
        <v>4</v>
      </c>
      <c r="I888" t="s">
        <v>458</v>
      </c>
      <c r="J888" t="s">
        <v>6</v>
      </c>
      <c r="K888" t="s">
        <v>7</v>
      </c>
      <c r="L888" t="s">
        <v>35</v>
      </c>
      <c r="M888" t="s">
        <v>36</v>
      </c>
      <c r="N888" t="s">
        <v>10</v>
      </c>
      <c r="O888" t="s">
        <v>0</v>
      </c>
      <c r="P888" t="s">
        <v>11</v>
      </c>
      <c r="Q888" s="3">
        <v>0.1</v>
      </c>
      <c r="R888" s="4">
        <v>0.1</v>
      </c>
      <c r="S888" s="5">
        <v>1</v>
      </c>
      <c r="T888" s="4">
        <v>0.01</v>
      </c>
      <c r="U888" s="3">
        <v>0.1</v>
      </c>
      <c r="V888" s="4">
        <v>0.01</v>
      </c>
      <c r="W888" s="3">
        <v>0.1</v>
      </c>
      <c r="X888" s="4">
        <v>0.01</v>
      </c>
      <c r="Y888" s="4">
        <f t="shared" si="26"/>
        <v>0</v>
      </c>
      <c r="Z888" s="6" t="s">
        <v>0</v>
      </c>
      <c r="AA888" t="s">
        <v>2</v>
      </c>
      <c r="AB888" t="s">
        <v>103</v>
      </c>
      <c r="AC888">
        <f>_xlfn.XLOOKUP(AB888,'[1]GST Codes'!$A:$A,'[1]GST Codes'!$C:$C,0,0)</f>
        <v>18</v>
      </c>
      <c r="AD888">
        <f t="shared" si="27"/>
        <v>0</v>
      </c>
      <c r="AE888" t="s">
        <v>13</v>
      </c>
      <c r="AF888" t="s">
        <v>0</v>
      </c>
      <c r="AG888" t="s">
        <v>14</v>
      </c>
      <c r="AH888" t="s">
        <v>15</v>
      </c>
      <c r="AI888" t="s">
        <v>16</v>
      </c>
      <c r="AJ888" t="s">
        <v>17</v>
      </c>
      <c r="AK888" t="s">
        <v>18</v>
      </c>
      <c r="AL888" t="s">
        <v>19</v>
      </c>
      <c r="AM888" t="s">
        <v>459</v>
      </c>
      <c r="AN888" t="s">
        <v>0</v>
      </c>
      <c r="AO888" t="s">
        <v>0</v>
      </c>
      <c r="AP888" t="s">
        <v>0</v>
      </c>
      <c r="AQ888" s="3">
        <v>0.1</v>
      </c>
      <c r="AR888" t="s">
        <v>11</v>
      </c>
      <c r="AS888" t="s">
        <v>0</v>
      </c>
      <c r="AT888" t="s">
        <v>17</v>
      </c>
      <c r="AU888" s="4">
        <v>0</v>
      </c>
      <c r="AV888" s="4">
        <v>0</v>
      </c>
      <c r="AW888" s="4">
        <v>0</v>
      </c>
      <c r="AX888" s="4">
        <v>0</v>
      </c>
      <c r="AY888" s="5">
        <v>0</v>
      </c>
      <c r="AZ888" s="5">
        <v>0</v>
      </c>
      <c r="BA888" s="5">
        <v>0</v>
      </c>
      <c r="BB888" s="2"/>
      <c r="BC888" t="s">
        <v>0</v>
      </c>
      <c r="BD888" s="5">
        <v>1</v>
      </c>
      <c r="BE888" t="s">
        <v>0</v>
      </c>
      <c r="BF888" t="s">
        <v>460</v>
      </c>
      <c r="BG888" t="s">
        <v>17</v>
      </c>
      <c r="BH888" t="s">
        <v>0</v>
      </c>
      <c r="BI888" t="s">
        <v>11</v>
      </c>
      <c r="BJ888" t="s">
        <v>0</v>
      </c>
      <c r="BK888" t="s">
        <v>0</v>
      </c>
      <c r="BL888" s="5">
        <v>0</v>
      </c>
      <c r="BM888" t="s">
        <v>0</v>
      </c>
      <c r="BN888" t="s">
        <v>0</v>
      </c>
      <c r="BO888" t="s">
        <v>0</v>
      </c>
      <c r="BP888" t="s">
        <v>17</v>
      </c>
      <c r="BQ888" t="s">
        <v>0</v>
      </c>
      <c r="BR888" t="s">
        <v>17</v>
      </c>
      <c r="BS888" t="s">
        <v>17</v>
      </c>
      <c r="BT888" t="s">
        <v>0</v>
      </c>
      <c r="BU888" t="s">
        <v>0</v>
      </c>
      <c r="BV888" t="s">
        <v>0</v>
      </c>
      <c r="BW888" t="s">
        <v>0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</row>
    <row r="889" spans="1:80" x14ac:dyDescent="0.25">
      <c r="A889" t="s">
        <v>457</v>
      </c>
      <c r="B889" s="2">
        <v>45875</v>
      </c>
      <c r="C889" s="2">
        <v>45874</v>
      </c>
      <c r="D889" s="2">
        <v>45905</v>
      </c>
      <c r="E889" t="s">
        <v>2</v>
      </c>
      <c r="F889" t="s">
        <v>3</v>
      </c>
      <c r="G889" t="s">
        <v>0</v>
      </c>
      <c r="H889" t="s">
        <v>4</v>
      </c>
      <c r="I889" t="s">
        <v>458</v>
      </c>
      <c r="J889" t="s">
        <v>6</v>
      </c>
      <c r="K889" t="s">
        <v>22</v>
      </c>
      <c r="L889" t="s">
        <v>329</v>
      </c>
      <c r="M889" t="s">
        <v>339</v>
      </c>
      <c r="N889" t="s">
        <v>10</v>
      </c>
      <c r="O889" t="s">
        <v>0</v>
      </c>
      <c r="P889" t="s">
        <v>11</v>
      </c>
      <c r="Q889" s="3">
        <v>0.1</v>
      </c>
      <c r="R889" s="4">
        <v>0.1</v>
      </c>
      <c r="S889" s="5">
        <v>1</v>
      </c>
      <c r="T889" s="4">
        <v>0.01</v>
      </c>
      <c r="U889" s="3">
        <v>0.1</v>
      </c>
      <c r="V889" s="4">
        <v>0.01</v>
      </c>
      <c r="W889" s="3">
        <v>0.1</v>
      </c>
      <c r="X889" s="4">
        <v>0.01</v>
      </c>
      <c r="Y889" s="4">
        <f t="shared" si="26"/>
        <v>0</v>
      </c>
      <c r="Z889" t="s">
        <v>0</v>
      </c>
      <c r="AA889" t="s">
        <v>2</v>
      </c>
      <c r="AB889" t="s">
        <v>103</v>
      </c>
      <c r="AC889">
        <f>_xlfn.XLOOKUP(AB889,'[1]GST Codes'!$A:$A,'[1]GST Codes'!$C:$C,0,0)</f>
        <v>18</v>
      </c>
      <c r="AD889">
        <f t="shared" si="27"/>
        <v>0</v>
      </c>
      <c r="AE889" t="s">
        <v>13</v>
      </c>
      <c r="AF889" t="s">
        <v>0</v>
      </c>
      <c r="AG889" t="s">
        <v>14</v>
      </c>
      <c r="AH889" t="s">
        <v>15</v>
      </c>
      <c r="AI889" t="s">
        <v>16</v>
      </c>
      <c r="AJ889" t="s">
        <v>17</v>
      </c>
      <c r="AK889" t="s">
        <v>18</v>
      </c>
      <c r="AL889" t="s">
        <v>19</v>
      </c>
      <c r="AM889" t="s">
        <v>459</v>
      </c>
      <c r="AN889" t="s">
        <v>0</v>
      </c>
      <c r="AO889" t="s">
        <v>0</v>
      </c>
      <c r="AP889" t="s">
        <v>0</v>
      </c>
      <c r="AQ889" s="3">
        <v>0.1</v>
      </c>
      <c r="AR889" t="s">
        <v>11</v>
      </c>
      <c r="AS889" t="s">
        <v>0</v>
      </c>
      <c r="AT889" t="s">
        <v>17</v>
      </c>
      <c r="AU889" s="4">
        <v>0</v>
      </c>
      <c r="AV889" s="4">
        <v>0</v>
      </c>
      <c r="AW889" s="4">
        <v>0</v>
      </c>
      <c r="AX889" s="4">
        <v>0</v>
      </c>
      <c r="AY889" s="5">
        <v>0</v>
      </c>
      <c r="AZ889" s="5">
        <v>0</v>
      </c>
      <c r="BA889" s="5">
        <v>0</v>
      </c>
      <c r="BB889" s="2"/>
      <c r="BC889" t="s">
        <v>0</v>
      </c>
      <c r="BD889" s="5">
        <v>1</v>
      </c>
      <c r="BE889" t="s">
        <v>0</v>
      </c>
      <c r="BF889" t="s">
        <v>461</v>
      </c>
      <c r="BG889" t="s">
        <v>17</v>
      </c>
      <c r="BH889" t="s">
        <v>0</v>
      </c>
      <c r="BI889" t="s">
        <v>11</v>
      </c>
      <c r="BJ889" t="s">
        <v>0</v>
      </c>
      <c r="BK889" t="s">
        <v>0</v>
      </c>
      <c r="BL889" s="5">
        <v>0</v>
      </c>
      <c r="BM889" t="s">
        <v>0</v>
      </c>
      <c r="BN889" t="s">
        <v>0</v>
      </c>
      <c r="BO889" t="s">
        <v>0</v>
      </c>
      <c r="BP889" t="s">
        <v>17</v>
      </c>
      <c r="BQ889" t="s">
        <v>0</v>
      </c>
      <c r="BR889" t="s">
        <v>17</v>
      </c>
      <c r="BS889" t="s">
        <v>17</v>
      </c>
      <c r="BT889" t="s">
        <v>0</v>
      </c>
      <c r="BU889" t="s">
        <v>0</v>
      </c>
      <c r="BV889" t="s">
        <v>0</v>
      </c>
      <c r="BW889" t="s">
        <v>0</v>
      </c>
      <c r="BX889" t="s">
        <v>0</v>
      </c>
      <c r="BY889" t="s">
        <v>0</v>
      </c>
      <c r="BZ889" t="s">
        <v>0</v>
      </c>
      <c r="CA889" t="s">
        <v>0</v>
      </c>
      <c r="CB889" t="s">
        <v>0</v>
      </c>
    </row>
    <row r="890" spans="1:80" ht="13.95" customHeight="1" x14ac:dyDescent="0.25">
      <c r="A890" t="s">
        <v>462</v>
      </c>
      <c r="B890" s="2">
        <v>45882</v>
      </c>
      <c r="C890" s="2"/>
      <c r="D890" s="2"/>
      <c r="E890" t="s">
        <v>2</v>
      </c>
      <c r="F890" t="s">
        <v>3</v>
      </c>
      <c r="G890" t="s">
        <v>0</v>
      </c>
      <c r="H890" t="s">
        <v>4</v>
      </c>
      <c r="I890" t="s">
        <v>458</v>
      </c>
      <c r="J890" t="s">
        <v>6</v>
      </c>
      <c r="K890" t="s">
        <v>7</v>
      </c>
      <c r="L890" t="s">
        <v>329</v>
      </c>
      <c r="M890" t="s">
        <v>339</v>
      </c>
      <c r="N890" t="s">
        <v>10</v>
      </c>
      <c r="O890" t="s">
        <v>0</v>
      </c>
      <c r="P890" t="s">
        <v>11</v>
      </c>
      <c r="Q890" s="5">
        <v>30</v>
      </c>
      <c r="R890" s="4">
        <v>47900</v>
      </c>
      <c r="S890" s="5">
        <v>1</v>
      </c>
      <c r="T890" s="4">
        <v>1437000</v>
      </c>
      <c r="U890" s="5">
        <v>0</v>
      </c>
      <c r="V890" s="4">
        <v>0</v>
      </c>
      <c r="W890" s="5">
        <v>0</v>
      </c>
      <c r="X890" s="4">
        <v>0</v>
      </c>
      <c r="Y890" s="4">
        <f t="shared" si="26"/>
        <v>1437000</v>
      </c>
      <c r="Z890" s="6" t="s">
        <v>0</v>
      </c>
      <c r="AA890" t="s">
        <v>2</v>
      </c>
      <c r="AB890" t="s">
        <v>103</v>
      </c>
      <c r="AC890">
        <f>_xlfn.XLOOKUP(AB890,'[1]GST Codes'!$A:$A,'[1]GST Codes'!$C:$C,0,0)</f>
        <v>18</v>
      </c>
      <c r="AD890">
        <f t="shared" si="27"/>
        <v>1695660</v>
      </c>
      <c r="AE890" t="s">
        <v>13</v>
      </c>
      <c r="AF890" t="s">
        <v>0</v>
      </c>
      <c r="AG890" t="s">
        <v>14</v>
      </c>
      <c r="AH890" t="s">
        <v>15</v>
      </c>
      <c r="AI890" t="s">
        <v>16</v>
      </c>
      <c r="AJ890" t="s">
        <v>17</v>
      </c>
      <c r="AK890" t="s">
        <v>18</v>
      </c>
      <c r="AL890" t="s">
        <v>19</v>
      </c>
      <c r="AM890" t="s">
        <v>459</v>
      </c>
      <c r="AN890" t="s">
        <v>0</v>
      </c>
      <c r="AO890" t="s">
        <v>0</v>
      </c>
      <c r="AP890" t="s">
        <v>0</v>
      </c>
      <c r="AQ890" s="5">
        <v>30</v>
      </c>
      <c r="AR890" t="s">
        <v>11</v>
      </c>
      <c r="AS890" t="s">
        <v>0</v>
      </c>
      <c r="AT890" t="s">
        <v>17</v>
      </c>
      <c r="AU890" s="4">
        <v>0</v>
      </c>
      <c r="AV890" s="4">
        <v>0</v>
      </c>
      <c r="AW890" s="4">
        <v>0</v>
      </c>
      <c r="AX890" s="4">
        <v>0</v>
      </c>
      <c r="AY890" s="5">
        <v>0</v>
      </c>
      <c r="AZ890" s="5">
        <v>0</v>
      </c>
      <c r="BA890" s="5">
        <v>0</v>
      </c>
      <c r="BB890" s="2"/>
      <c r="BC890" t="s">
        <v>0</v>
      </c>
      <c r="BD890" s="5">
        <v>1</v>
      </c>
      <c r="BE890" t="s">
        <v>0</v>
      </c>
      <c r="BF890" t="s">
        <v>461</v>
      </c>
      <c r="BG890" t="s">
        <v>17</v>
      </c>
      <c r="BH890" t="s">
        <v>0</v>
      </c>
      <c r="BI890" t="s">
        <v>11</v>
      </c>
      <c r="BJ890" t="s">
        <v>0</v>
      </c>
      <c r="BK890" t="s">
        <v>0</v>
      </c>
      <c r="BL890" s="5">
        <v>0</v>
      </c>
      <c r="BM890" t="s">
        <v>0</v>
      </c>
      <c r="BN890" t="s">
        <v>0</v>
      </c>
      <c r="BO890" t="s">
        <v>0</v>
      </c>
      <c r="BP890" t="s">
        <v>17</v>
      </c>
      <c r="BQ890" t="s">
        <v>0</v>
      </c>
      <c r="BR890" t="s">
        <v>17</v>
      </c>
      <c r="BS890" t="s">
        <v>17</v>
      </c>
      <c r="BT890" t="s">
        <v>0</v>
      </c>
      <c r="BU890" t="s">
        <v>0</v>
      </c>
      <c r="BV890" t="s">
        <v>0</v>
      </c>
      <c r="BW890" t="s">
        <v>0</v>
      </c>
      <c r="BX890" t="s">
        <v>0</v>
      </c>
      <c r="BY890" t="s">
        <v>0</v>
      </c>
      <c r="BZ890" t="s">
        <v>0</v>
      </c>
      <c r="CA890" t="s">
        <v>0</v>
      </c>
      <c r="CB890" t="s">
        <v>0</v>
      </c>
    </row>
    <row r="891" spans="1:80" ht="13.95" customHeight="1" x14ac:dyDescent="0.25">
      <c r="A891" t="s">
        <v>463</v>
      </c>
      <c r="B891" s="2">
        <v>45918</v>
      </c>
      <c r="C891" s="2">
        <v>45918</v>
      </c>
      <c r="D891" s="2">
        <v>45948</v>
      </c>
      <c r="E891" t="s">
        <v>2</v>
      </c>
      <c r="F891" t="s">
        <v>3</v>
      </c>
      <c r="G891" t="s">
        <v>0</v>
      </c>
      <c r="H891" t="s">
        <v>4</v>
      </c>
      <c r="I891" t="s">
        <v>458</v>
      </c>
      <c r="J891" t="s">
        <v>6</v>
      </c>
      <c r="K891" t="s">
        <v>7</v>
      </c>
      <c r="L891" t="s">
        <v>35</v>
      </c>
      <c r="M891" t="s">
        <v>36</v>
      </c>
      <c r="N891" t="s">
        <v>10</v>
      </c>
      <c r="O891" t="s">
        <v>0</v>
      </c>
      <c r="P891" t="s">
        <v>11</v>
      </c>
      <c r="Q891" s="3">
        <v>15.75</v>
      </c>
      <c r="R891" s="4">
        <v>47260</v>
      </c>
      <c r="S891" s="5">
        <v>1</v>
      </c>
      <c r="T891" s="4">
        <v>744345</v>
      </c>
      <c r="U891" s="5">
        <v>0</v>
      </c>
      <c r="V891" s="4">
        <v>0</v>
      </c>
      <c r="W891" s="5">
        <v>0</v>
      </c>
      <c r="X891" s="4">
        <v>0</v>
      </c>
      <c r="Y891" s="4">
        <f t="shared" si="26"/>
        <v>744345</v>
      </c>
      <c r="Z891" s="6" t="s">
        <v>0</v>
      </c>
      <c r="AA891" t="s">
        <v>2</v>
      </c>
      <c r="AB891" t="s">
        <v>103</v>
      </c>
      <c r="AC891">
        <f>_xlfn.XLOOKUP(AB891,'[1]GST Codes'!$A:$A,'[1]GST Codes'!$C:$C,0,0)</f>
        <v>18</v>
      </c>
      <c r="AD891">
        <f t="shared" si="27"/>
        <v>878327.1</v>
      </c>
      <c r="AE891" t="s">
        <v>13</v>
      </c>
      <c r="AF891" t="s">
        <v>0</v>
      </c>
      <c r="AG891" t="s">
        <v>14</v>
      </c>
      <c r="AH891" t="s">
        <v>15</v>
      </c>
      <c r="AI891" t="s">
        <v>85</v>
      </c>
      <c r="AJ891" t="s">
        <v>17</v>
      </c>
      <c r="AK891" t="s">
        <v>18</v>
      </c>
      <c r="AL891" t="s">
        <v>19</v>
      </c>
      <c r="AM891" t="s">
        <v>459</v>
      </c>
      <c r="AN891" t="s">
        <v>0</v>
      </c>
      <c r="AO891" t="s">
        <v>0</v>
      </c>
      <c r="AP891" t="s">
        <v>0</v>
      </c>
      <c r="AQ891" s="3">
        <v>15.75</v>
      </c>
      <c r="AR891" t="s">
        <v>11</v>
      </c>
      <c r="AS891" t="s">
        <v>0</v>
      </c>
      <c r="AT891" t="s">
        <v>17</v>
      </c>
      <c r="AU891" s="4">
        <v>0</v>
      </c>
      <c r="AV891" s="4">
        <v>0</v>
      </c>
      <c r="AW891" s="4">
        <v>0</v>
      </c>
      <c r="AX891" s="4">
        <v>0</v>
      </c>
      <c r="AY891" s="5">
        <v>0</v>
      </c>
      <c r="AZ891" s="5">
        <v>0</v>
      </c>
      <c r="BA891" s="5">
        <v>0</v>
      </c>
      <c r="BB891" s="2"/>
      <c r="BC891" t="s">
        <v>0</v>
      </c>
      <c r="BD891" s="5">
        <v>1</v>
      </c>
      <c r="BE891" t="s">
        <v>0</v>
      </c>
      <c r="BF891" t="s">
        <v>460</v>
      </c>
      <c r="BG891" t="s">
        <v>17</v>
      </c>
      <c r="BH891" t="s">
        <v>0</v>
      </c>
      <c r="BI891" t="s">
        <v>11</v>
      </c>
      <c r="BJ891" t="s">
        <v>0</v>
      </c>
      <c r="BK891" t="s">
        <v>0</v>
      </c>
      <c r="BL891" s="5">
        <v>0</v>
      </c>
      <c r="BM891" t="s">
        <v>0</v>
      </c>
      <c r="BN891" t="s">
        <v>0</v>
      </c>
      <c r="BO891" t="s">
        <v>0</v>
      </c>
      <c r="BP891" t="s">
        <v>17</v>
      </c>
      <c r="BQ891" t="s">
        <v>0</v>
      </c>
      <c r="BR891" t="s">
        <v>17</v>
      </c>
      <c r="BS891" t="s">
        <v>17</v>
      </c>
      <c r="BT891" t="s">
        <v>0</v>
      </c>
      <c r="BU891" t="s">
        <v>0</v>
      </c>
      <c r="BV891" t="s">
        <v>0</v>
      </c>
      <c r="BW891" t="s">
        <v>0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</row>
    <row r="892" spans="1:80" ht="13.95" customHeight="1" x14ac:dyDescent="0.25">
      <c r="A892" t="s">
        <v>463</v>
      </c>
      <c r="B892" s="2">
        <v>45918</v>
      </c>
      <c r="C892" s="2">
        <v>45918</v>
      </c>
      <c r="D892" s="2">
        <v>45948</v>
      </c>
      <c r="E892" t="s">
        <v>2</v>
      </c>
      <c r="F892" t="s">
        <v>3</v>
      </c>
      <c r="G892" t="s">
        <v>0</v>
      </c>
      <c r="H892" t="s">
        <v>4</v>
      </c>
      <c r="I892" t="s">
        <v>458</v>
      </c>
      <c r="J892" t="s">
        <v>6</v>
      </c>
      <c r="K892" t="s">
        <v>22</v>
      </c>
      <c r="L892" t="s">
        <v>74</v>
      </c>
      <c r="M892" t="s">
        <v>75</v>
      </c>
      <c r="N892" t="s">
        <v>10</v>
      </c>
      <c r="O892" t="s">
        <v>0</v>
      </c>
      <c r="P892" t="s">
        <v>11</v>
      </c>
      <c r="Q892" s="3">
        <v>25.6</v>
      </c>
      <c r="R892" s="4">
        <v>46260</v>
      </c>
      <c r="S892" s="5">
        <v>1</v>
      </c>
      <c r="T892" s="4">
        <v>1184256</v>
      </c>
      <c r="U892" s="5">
        <v>0</v>
      </c>
      <c r="V892" s="4">
        <v>0</v>
      </c>
      <c r="W892" s="5">
        <v>0</v>
      </c>
      <c r="X892" s="4">
        <v>0</v>
      </c>
      <c r="Y892" s="4">
        <f t="shared" si="26"/>
        <v>1184256</v>
      </c>
      <c r="Z892" s="6" t="s">
        <v>0</v>
      </c>
      <c r="AA892" t="s">
        <v>2</v>
      </c>
      <c r="AB892" t="s">
        <v>103</v>
      </c>
      <c r="AC892">
        <f>_xlfn.XLOOKUP(AB892,'[1]GST Codes'!$A:$A,'[1]GST Codes'!$C:$C,0,0)</f>
        <v>18</v>
      </c>
      <c r="AD892">
        <f t="shared" si="27"/>
        <v>1397422.0800000001</v>
      </c>
      <c r="AE892" t="s">
        <v>13</v>
      </c>
      <c r="AF892" t="s">
        <v>0</v>
      </c>
      <c r="AG892" t="s">
        <v>14</v>
      </c>
      <c r="AH892" t="s">
        <v>15</v>
      </c>
      <c r="AI892" t="s">
        <v>85</v>
      </c>
      <c r="AJ892" t="s">
        <v>17</v>
      </c>
      <c r="AK892" t="s">
        <v>18</v>
      </c>
      <c r="AL892" t="s">
        <v>19</v>
      </c>
      <c r="AM892" t="s">
        <v>459</v>
      </c>
      <c r="AN892" t="s">
        <v>0</v>
      </c>
      <c r="AO892" t="s">
        <v>0</v>
      </c>
      <c r="AP892" t="s">
        <v>0</v>
      </c>
      <c r="AQ892" s="3">
        <v>25.6</v>
      </c>
      <c r="AR892" t="s">
        <v>11</v>
      </c>
      <c r="AS892" t="s">
        <v>0</v>
      </c>
      <c r="AT892" t="s">
        <v>17</v>
      </c>
      <c r="AU892" s="4">
        <v>0</v>
      </c>
      <c r="AV892" s="4">
        <v>0</v>
      </c>
      <c r="AW892" s="4">
        <v>0</v>
      </c>
      <c r="AX892" s="4">
        <v>0</v>
      </c>
      <c r="AY892" s="5">
        <v>0</v>
      </c>
      <c r="AZ892" s="5">
        <v>0</v>
      </c>
      <c r="BA892" s="5">
        <v>0</v>
      </c>
      <c r="BB892" s="2"/>
      <c r="BC892" t="s">
        <v>0</v>
      </c>
      <c r="BD892" s="5">
        <v>1</v>
      </c>
      <c r="BE892" t="s">
        <v>0</v>
      </c>
      <c r="BF892" t="s">
        <v>464</v>
      </c>
      <c r="BG892" t="s">
        <v>17</v>
      </c>
      <c r="BH892" t="s">
        <v>0</v>
      </c>
      <c r="BI892" t="s">
        <v>11</v>
      </c>
      <c r="BJ892" t="s">
        <v>0</v>
      </c>
      <c r="BK892" t="s">
        <v>0</v>
      </c>
      <c r="BL892" s="5">
        <v>0</v>
      </c>
      <c r="BM892" t="s">
        <v>0</v>
      </c>
      <c r="BN892" t="s">
        <v>0</v>
      </c>
      <c r="BO892" t="s">
        <v>0</v>
      </c>
      <c r="BP892" t="s">
        <v>17</v>
      </c>
      <c r="BQ892" t="s">
        <v>0</v>
      </c>
      <c r="BR892" t="s">
        <v>17</v>
      </c>
      <c r="BS892" t="s">
        <v>17</v>
      </c>
      <c r="BT892" t="s">
        <v>0</v>
      </c>
      <c r="BU892" t="s">
        <v>0</v>
      </c>
      <c r="BV892" t="s">
        <v>0</v>
      </c>
      <c r="BW892" t="s">
        <v>0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</row>
    <row r="893" spans="1:80" ht="13.95" customHeight="1" x14ac:dyDescent="0.25">
      <c r="A893" t="s">
        <v>463</v>
      </c>
      <c r="B893" s="2">
        <v>45918</v>
      </c>
      <c r="C893" s="2">
        <v>45918</v>
      </c>
      <c r="D893" s="2">
        <v>45948</v>
      </c>
      <c r="E893" t="s">
        <v>2</v>
      </c>
      <c r="F893" t="s">
        <v>3</v>
      </c>
      <c r="G893" t="s">
        <v>0</v>
      </c>
      <c r="H893" t="s">
        <v>4</v>
      </c>
      <c r="I893" t="s">
        <v>458</v>
      </c>
      <c r="J893" t="s">
        <v>6</v>
      </c>
      <c r="K893" t="s">
        <v>26</v>
      </c>
      <c r="L893" t="s">
        <v>74</v>
      </c>
      <c r="M893" t="s">
        <v>75</v>
      </c>
      <c r="N893" t="s">
        <v>10</v>
      </c>
      <c r="O893" t="s">
        <v>0</v>
      </c>
      <c r="P893" t="s">
        <v>11</v>
      </c>
      <c r="Q893" s="3">
        <v>25.74</v>
      </c>
      <c r="R893" s="4">
        <v>46260</v>
      </c>
      <c r="S893" s="5">
        <v>1</v>
      </c>
      <c r="T893" s="4">
        <v>1190732.3999999999</v>
      </c>
      <c r="U893" s="5">
        <v>0</v>
      </c>
      <c r="V893" s="4">
        <v>0</v>
      </c>
      <c r="W893" s="5">
        <v>0</v>
      </c>
      <c r="X893" s="4">
        <v>0</v>
      </c>
      <c r="Y893" s="4">
        <f t="shared" si="26"/>
        <v>1190732.3999999999</v>
      </c>
      <c r="Z893" s="6" t="s">
        <v>0</v>
      </c>
      <c r="AA893" t="s">
        <v>2</v>
      </c>
      <c r="AB893" t="s">
        <v>103</v>
      </c>
      <c r="AC893">
        <f>_xlfn.XLOOKUP(AB893,'[1]GST Codes'!$A:$A,'[1]GST Codes'!$C:$C,0,0)</f>
        <v>18</v>
      </c>
      <c r="AD893">
        <f t="shared" si="27"/>
        <v>1405064.2319999998</v>
      </c>
      <c r="AE893" t="s">
        <v>13</v>
      </c>
      <c r="AF893" t="s">
        <v>0</v>
      </c>
      <c r="AG893" t="s">
        <v>14</v>
      </c>
      <c r="AH893" t="s">
        <v>15</v>
      </c>
      <c r="AI893" t="s">
        <v>85</v>
      </c>
      <c r="AJ893" t="s">
        <v>17</v>
      </c>
      <c r="AK893" t="s">
        <v>18</v>
      </c>
      <c r="AL893" t="s">
        <v>19</v>
      </c>
      <c r="AM893" t="s">
        <v>459</v>
      </c>
      <c r="AN893" t="s">
        <v>0</v>
      </c>
      <c r="AO893" t="s">
        <v>0</v>
      </c>
      <c r="AP893" t="s">
        <v>0</v>
      </c>
      <c r="AQ893" s="3">
        <v>25.74</v>
      </c>
      <c r="AR893" t="s">
        <v>11</v>
      </c>
      <c r="AS893" t="s">
        <v>0</v>
      </c>
      <c r="AT893" t="s">
        <v>17</v>
      </c>
      <c r="AU893" s="4">
        <v>0</v>
      </c>
      <c r="AV893" s="4">
        <v>0</v>
      </c>
      <c r="AW893" s="4">
        <v>0</v>
      </c>
      <c r="AX893" s="4">
        <v>0</v>
      </c>
      <c r="AY893" s="5">
        <v>0</v>
      </c>
      <c r="AZ893" s="5">
        <v>0</v>
      </c>
      <c r="BA893" s="5">
        <v>0</v>
      </c>
      <c r="BB893" s="2"/>
      <c r="BC893" t="s">
        <v>0</v>
      </c>
      <c r="BD893" s="5">
        <v>1</v>
      </c>
      <c r="BE893" t="s">
        <v>0</v>
      </c>
      <c r="BF893" t="s">
        <v>464</v>
      </c>
      <c r="BG893" t="s">
        <v>17</v>
      </c>
      <c r="BH893" t="s">
        <v>0</v>
      </c>
      <c r="BI893" t="s">
        <v>11</v>
      </c>
      <c r="BJ893" t="s">
        <v>0</v>
      </c>
      <c r="BK893" t="s">
        <v>0</v>
      </c>
      <c r="BL893" s="5">
        <v>0</v>
      </c>
      <c r="BM893" t="s">
        <v>0</v>
      </c>
      <c r="BN893" t="s">
        <v>0</v>
      </c>
      <c r="BO893" t="s">
        <v>0</v>
      </c>
      <c r="BP893" t="s">
        <v>17</v>
      </c>
      <c r="BQ893" t="s">
        <v>0</v>
      </c>
      <c r="BR893" t="s">
        <v>17</v>
      </c>
      <c r="BS893" t="s">
        <v>17</v>
      </c>
      <c r="BT893" t="s">
        <v>0</v>
      </c>
      <c r="BU893" t="s">
        <v>0</v>
      </c>
      <c r="BV893" t="s">
        <v>0</v>
      </c>
      <c r="BW893" t="s">
        <v>0</v>
      </c>
      <c r="BX893" t="s">
        <v>0</v>
      </c>
      <c r="BY893" t="s">
        <v>0</v>
      </c>
      <c r="BZ893" t="s">
        <v>0</v>
      </c>
      <c r="CA893" t="s">
        <v>0</v>
      </c>
      <c r="CB893" t="s">
        <v>0</v>
      </c>
    </row>
    <row r="894" spans="1:80" ht="13.95" customHeight="1" x14ac:dyDescent="0.25">
      <c r="A894" t="s">
        <v>463</v>
      </c>
      <c r="B894" s="2">
        <v>45918</v>
      </c>
      <c r="C894" s="2">
        <v>45918</v>
      </c>
      <c r="D894" s="2">
        <v>45948</v>
      </c>
      <c r="E894" t="s">
        <v>2</v>
      </c>
      <c r="F894" t="s">
        <v>3</v>
      </c>
      <c r="G894" t="s">
        <v>0</v>
      </c>
      <c r="H894" t="s">
        <v>4</v>
      </c>
      <c r="I894" t="s">
        <v>458</v>
      </c>
      <c r="J894" t="s">
        <v>6</v>
      </c>
      <c r="K894" t="s">
        <v>30</v>
      </c>
      <c r="L894" t="s">
        <v>74</v>
      </c>
      <c r="M894" t="s">
        <v>75</v>
      </c>
      <c r="N894" t="s">
        <v>10</v>
      </c>
      <c r="O894" t="s">
        <v>0</v>
      </c>
      <c r="P894" t="s">
        <v>11</v>
      </c>
      <c r="Q894" s="3">
        <v>26.1</v>
      </c>
      <c r="R894" s="4">
        <v>46260</v>
      </c>
      <c r="S894" s="5">
        <v>1</v>
      </c>
      <c r="T894" s="4">
        <v>1207386</v>
      </c>
      <c r="U894" s="5">
        <v>0</v>
      </c>
      <c r="V894" s="4">
        <v>0</v>
      </c>
      <c r="W894" s="5">
        <v>0</v>
      </c>
      <c r="X894" s="4">
        <v>0</v>
      </c>
      <c r="Y894" s="4">
        <f t="shared" si="26"/>
        <v>1207386</v>
      </c>
      <c r="Z894" s="6" t="s">
        <v>0</v>
      </c>
      <c r="AA894" t="s">
        <v>2</v>
      </c>
      <c r="AB894" t="s">
        <v>103</v>
      </c>
      <c r="AC894">
        <f>_xlfn.XLOOKUP(AB894,'[1]GST Codes'!$A:$A,'[1]GST Codes'!$C:$C,0,0)</f>
        <v>18</v>
      </c>
      <c r="AD894">
        <f t="shared" si="27"/>
        <v>1424715.48</v>
      </c>
      <c r="AE894" t="s">
        <v>13</v>
      </c>
      <c r="AF894" t="s">
        <v>0</v>
      </c>
      <c r="AG894" t="s">
        <v>14</v>
      </c>
      <c r="AH894" t="s">
        <v>15</v>
      </c>
      <c r="AI894" t="s">
        <v>85</v>
      </c>
      <c r="AJ894" t="s">
        <v>17</v>
      </c>
      <c r="AK894" t="s">
        <v>18</v>
      </c>
      <c r="AL894" t="s">
        <v>19</v>
      </c>
      <c r="AM894" t="s">
        <v>459</v>
      </c>
      <c r="AN894" t="s">
        <v>0</v>
      </c>
      <c r="AO894" t="s">
        <v>0</v>
      </c>
      <c r="AP894" t="s">
        <v>0</v>
      </c>
      <c r="AQ894" s="3">
        <v>26.1</v>
      </c>
      <c r="AR894" t="s">
        <v>11</v>
      </c>
      <c r="AS894" t="s">
        <v>0</v>
      </c>
      <c r="AT894" t="s">
        <v>17</v>
      </c>
      <c r="AU894" s="4">
        <v>0</v>
      </c>
      <c r="AV894" s="4">
        <v>0</v>
      </c>
      <c r="AW894" s="4">
        <v>0</v>
      </c>
      <c r="AX894" s="4">
        <v>0</v>
      </c>
      <c r="AY894" s="5">
        <v>0</v>
      </c>
      <c r="AZ894" s="5">
        <v>0</v>
      </c>
      <c r="BA894" s="5">
        <v>0</v>
      </c>
      <c r="BB894" s="2"/>
      <c r="BC894" t="s">
        <v>0</v>
      </c>
      <c r="BD894" s="5">
        <v>1</v>
      </c>
      <c r="BE894" t="s">
        <v>0</v>
      </c>
      <c r="BF894" t="s">
        <v>464</v>
      </c>
      <c r="BG894" t="s">
        <v>17</v>
      </c>
      <c r="BH894" t="s">
        <v>0</v>
      </c>
      <c r="BI894" t="s">
        <v>11</v>
      </c>
      <c r="BJ894" t="s">
        <v>0</v>
      </c>
      <c r="BK894" t="s">
        <v>0</v>
      </c>
      <c r="BL894" s="5">
        <v>0</v>
      </c>
      <c r="BM894" t="s">
        <v>0</v>
      </c>
      <c r="BN894" t="s">
        <v>0</v>
      </c>
      <c r="BO894" t="s">
        <v>0</v>
      </c>
      <c r="BP894" t="s">
        <v>17</v>
      </c>
      <c r="BQ894" t="s">
        <v>0</v>
      </c>
      <c r="BR894" t="s">
        <v>17</v>
      </c>
      <c r="BS894" t="s">
        <v>17</v>
      </c>
      <c r="BT894" t="s">
        <v>0</v>
      </c>
      <c r="BU894" t="s">
        <v>0</v>
      </c>
      <c r="BV894" t="s">
        <v>0</v>
      </c>
      <c r="BW894" t="s">
        <v>0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</row>
    <row r="895" spans="1:80" ht="13.95" customHeight="1" x14ac:dyDescent="0.25">
      <c r="A895" t="s">
        <v>463</v>
      </c>
      <c r="B895" s="2">
        <v>45918</v>
      </c>
      <c r="C895" s="2">
        <v>45918</v>
      </c>
      <c r="D895" s="2">
        <v>45948</v>
      </c>
      <c r="E895" t="s">
        <v>2</v>
      </c>
      <c r="F895" t="s">
        <v>3</v>
      </c>
      <c r="G895" t="s">
        <v>0</v>
      </c>
      <c r="H895" t="s">
        <v>4</v>
      </c>
      <c r="I895" t="s">
        <v>458</v>
      </c>
      <c r="J895" t="s">
        <v>6</v>
      </c>
      <c r="K895" t="s">
        <v>34</v>
      </c>
      <c r="L895" t="s">
        <v>74</v>
      </c>
      <c r="M895" t="s">
        <v>75</v>
      </c>
      <c r="N895" t="s">
        <v>10</v>
      </c>
      <c r="O895" t="s">
        <v>0</v>
      </c>
      <c r="P895" t="s">
        <v>11</v>
      </c>
      <c r="Q895" s="5">
        <v>27</v>
      </c>
      <c r="R895" s="4">
        <v>46260</v>
      </c>
      <c r="S895" s="5">
        <v>1</v>
      </c>
      <c r="T895" s="4">
        <v>1249020</v>
      </c>
      <c r="U895" s="5">
        <v>0</v>
      </c>
      <c r="V895" s="4">
        <v>0</v>
      </c>
      <c r="W895" s="5">
        <v>0</v>
      </c>
      <c r="X895" s="4">
        <v>0</v>
      </c>
      <c r="Y895" s="4">
        <f t="shared" si="26"/>
        <v>1249020</v>
      </c>
      <c r="Z895" s="6" t="s">
        <v>0</v>
      </c>
      <c r="AA895" t="s">
        <v>2</v>
      </c>
      <c r="AB895" t="s">
        <v>103</v>
      </c>
      <c r="AC895">
        <f>_xlfn.XLOOKUP(AB895,'[1]GST Codes'!$A:$A,'[1]GST Codes'!$C:$C,0,0)</f>
        <v>18</v>
      </c>
      <c r="AD895">
        <f t="shared" si="27"/>
        <v>1473843.6</v>
      </c>
      <c r="AE895" t="s">
        <v>13</v>
      </c>
      <c r="AF895" t="s">
        <v>0</v>
      </c>
      <c r="AG895" t="s">
        <v>14</v>
      </c>
      <c r="AH895" t="s">
        <v>15</v>
      </c>
      <c r="AI895" t="s">
        <v>85</v>
      </c>
      <c r="AJ895" t="s">
        <v>17</v>
      </c>
      <c r="AK895" t="s">
        <v>18</v>
      </c>
      <c r="AL895" t="s">
        <v>19</v>
      </c>
      <c r="AM895" t="s">
        <v>459</v>
      </c>
      <c r="AN895" t="s">
        <v>0</v>
      </c>
      <c r="AO895" t="s">
        <v>0</v>
      </c>
      <c r="AP895" t="s">
        <v>0</v>
      </c>
      <c r="AQ895" s="5">
        <v>27</v>
      </c>
      <c r="AR895" t="s">
        <v>11</v>
      </c>
      <c r="AS895" t="s">
        <v>0</v>
      </c>
      <c r="AT895" t="s">
        <v>17</v>
      </c>
      <c r="AU895" s="4">
        <v>0</v>
      </c>
      <c r="AV895" s="4">
        <v>0</v>
      </c>
      <c r="AW895" s="4">
        <v>0</v>
      </c>
      <c r="AX895" s="4">
        <v>0</v>
      </c>
      <c r="AY895" s="5">
        <v>0</v>
      </c>
      <c r="AZ895" s="5">
        <v>0</v>
      </c>
      <c r="BA895" s="5">
        <v>0</v>
      </c>
      <c r="BB895" s="2"/>
      <c r="BC895" t="s">
        <v>0</v>
      </c>
      <c r="BD895" s="5">
        <v>1</v>
      </c>
      <c r="BE895" t="s">
        <v>0</v>
      </c>
      <c r="BF895" t="s">
        <v>464</v>
      </c>
      <c r="BG895" t="s">
        <v>17</v>
      </c>
      <c r="BH895" t="s">
        <v>0</v>
      </c>
      <c r="BI895" t="s">
        <v>11</v>
      </c>
      <c r="BJ895" t="s">
        <v>0</v>
      </c>
      <c r="BK895" t="s">
        <v>0</v>
      </c>
      <c r="BL895" s="5">
        <v>0</v>
      </c>
      <c r="BM895" t="s">
        <v>0</v>
      </c>
      <c r="BN895" t="s">
        <v>0</v>
      </c>
      <c r="BO895" t="s">
        <v>0</v>
      </c>
      <c r="BP895" t="s">
        <v>17</v>
      </c>
      <c r="BQ895" t="s">
        <v>0</v>
      </c>
      <c r="BR895" t="s">
        <v>17</v>
      </c>
      <c r="BS895" t="s">
        <v>17</v>
      </c>
      <c r="BT895" t="s">
        <v>0</v>
      </c>
      <c r="BU895" t="s">
        <v>0</v>
      </c>
      <c r="BV895" t="s">
        <v>0</v>
      </c>
      <c r="BW895" t="s">
        <v>0</v>
      </c>
      <c r="BX895" t="s">
        <v>0</v>
      </c>
      <c r="BY895" t="s">
        <v>0</v>
      </c>
      <c r="BZ895" t="s">
        <v>0</v>
      </c>
      <c r="CA895" t="s">
        <v>0</v>
      </c>
      <c r="CB895" t="s">
        <v>0</v>
      </c>
    </row>
    <row r="896" spans="1:80" ht="13.95" customHeight="1" x14ac:dyDescent="0.25">
      <c r="A896" t="s">
        <v>463</v>
      </c>
      <c r="B896" s="2">
        <v>45918</v>
      </c>
      <c r="C896" s="2">
        <v>45918</v>
      </c>
      <c r="D896" s="2">
        <v>45948</v>
      </c>
      <c r="E896" t="s">
        <v>2</v>
      </c>
      <c r="F896" t="s">
        <v>3</v>
      </c>
      <c r="G896" t="s">
        <v>0</v>
      </c>
      <c r="H896" t="s">
        <v>4</v>
      </c>
      <c r="I896" t="s">
        <v>458</v>
      </c>
      <c r="J896" t="s">
        <v>6</v>
      </c>
      <c r="K896" t="s">
        <v>38</v>
      </c>
      <c r="L896" t="s">
        <v>74</v>
      </c>
      <c r="M896" t="s">
        <v>75</v>
      </c>
      <c r="N896" t="s">
        <v>10</v>
      </c>
      <c r="O896" t="s">
        <v>0</v>
      </c>
      <c r="P896" t="s">
        <v>11</v>
      </c>
      <c r="Q896" s="3">
        <v>25.06</v>
      </c>
      <c r="R896" s="4">
        <v>46260</v>
      </c>
      <c r="S896" s="5">
        <v>1</v>
      </c>
      <c r="T896" s="4">
        <v>1159275.6000000001</v>
      </c>
      <c r="U896" s="5">
        <v>0</v>
      </c>
      <c r="V896" s="4">
        <v>0</v>
      </c>
      <c r="W896" s="5">
        <v>0</v>
      </c>
      <c r="X896" s="4">
        <v>0</v>
      </c>
      <c r="Y896" s="4">
        <f t="shared" si="26"/>
        <v>1159275.6000000001</v>
      </c>
      <c r="Z896" s="6" t="s">
        <v>0</v>
      </c>
      <c r="AA896" t="s">
        <v>2</v>
      </c>
      <c r="AB896" t="s">
        <v>103</v>
      </c>
      <c r="AC896">
        <f>_xlfn.XLOOKUP(AB896,'[1]GST Codes'!$A:$A,'[1]GST Codes'!$C:$C,0,0)</f>
        <v>18</v>
      </c>
      <c r="AD896">
        <f t="shared" si="27"/>
        <v>1367945.2080000001</v>
      </c>
      <c r="AE896" t="s">
        <v>13</v>
      </c>
      <c r="AF896" t="s">
        <v>0</v>
      </c>
      <c r="AG896" t="s">
        <v>14</v>
      </c>
      <c r="AH896" t="s">
        <v>15</v>
      </c>
      <c r="AI896" t="s">
        <v>85</v>
      </c>
      <c r="AJ896" t="s">
        <v>17</v>
      </c>
      <c r="AK896" t="s">
        <v>18</v>
      </c>
      <c r="AL896" t="s">
        <v>19</v>
      </c>
      <c r="AM896" t="s">
        <v>459</v>
      </c>
      <c r="AN896" t="s">
        <v>0</v>
      </c>
      <c r="AO896" t="s">
        <v>0</v>
      </c>
      <c r="AP896" t="s">
        <v>0</v>
      </c>
      <c r="AQ896" s="3">
        <v>25.06</v>
      </c>
      <c r="AR896" t="s">
        <v>11</v>
      </c>
      <c r="AS896" t="s">
        <v>0</v>
      </c>
      <c r="AT896" t="s">
        <v>17</v>
      </c>
      <c r="AU896" s="4">
        <v>0</v>
      </c>
      <c r="AV896" s="4">
        <v>0</v>
      </c>
      <c r="AW896" s="4">
        <v>0</v>
      </c>
      <c r="AX896" s="4">
        <v>0</v>
      </c>
      <c r="AY896" s="5">
        <v>0</v>
      </c>
      <c r="AZ896" s="5">
        <v>0</v>
      </c>
      <c r="BA896" s="5">
        <v>0</v>
      </c>
      <c r="BB896" s="2"/>
      <c r="BC896" t="s">
        <v>0</v>
      </c>
      <c r="BD896" s="5">
        <v>1</v>
      </c>
      <c r="BE896" t="s">
        <v>0</v>
      </c>
      <c r="BF896" t="s">
        <v>464</v>
      </c>
      <c r="BG896" t="s">
        <v>17</v>
      </c>
      <c r="BH896" t="s">
        <v>0</v>
      </c>
      <c r="BI896" t="s">
        <v>11</v>
      </c>
      <c r="BJ896" t="s">
        <v>0</v>
      </c>
      <c r="BK896" t="s">
        <v>0</v>
      </c>
      <c r="BL896" s="5">
        <v>0</v>
      </c>
      <c r="BM896" t="s">
        <v>0</v>
      </c>
      <c r="BN896" t="s">
        <v>0</v>
      </c>
      <c r="BO896" t="s">
        <v>0</v>
      </c>
      <c r="BP896" t="s">
        <v>17</v>
      </c>
      <c r="BQ896" t="s">
        <v>0</v>
      </c>
      <c r="BR896" t="s">
        <v>17</v>
      </c>
      <c r="BS896" t="s">
        <v>17</v>
      </c>
      <c r="BT896" t="s">
        <v>0</v>
      </c>
      <c r="BU896" t="s">
        <v>0</v>
      </c>
      <c r="BV896" t="s">
        <v>0</v>
      </c>
      <c r="BW896" t="s">
        <v>0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</row>
    <row r="897" spans="1:80" ht="13.95" customHeight="1" x14ac:dyDescent="0.25">
      <c r="A897" t="s">
        <v>463</v>
      </c>
      <c r="B897" s="2">
        <v>45918</v>
      </c>
      <c r="C897" s="2">
        <v>45918</v>
      </c>
      <c r="D897" s="2">
        <v>45948</v>
      </c>
      <c r="E897" t="s">
        <v>2</v>
      </c>
      <c r="F897" t="s">
        <v>3</v>
      </c>
      <c r="G897" t="s">
        <v>0</v>
      </c>
      <c r="H897" t="s">
        <v>4</v>
      </c>
      <c r="I897" t="s">
        <v>458</v>
      </c>
      <c r="J897" t="s">
        <v>6</v>
      </c>
      <c r="K897" t="s">
        <v>42</v>
      </c>
      <c r="L897" t="s">
        <v>74</v>
      </c>
      <c r="M897" t="s">
        <v>75</v>
      </c>
      <c r="N897" t="s">
        <v>10</v>
      </c>
      <c r="O897" t="s">
        <v>0</v>
      </c>
      <c r="P897" t="s">
        <v>11</v>
      </c>
      <c r="Q897" s="5">
        <v>27</v>
      </c>
      <c r="R897" s="4">
        <v>46260</v>
      </c>
      <c r="S897" s="5">
        <v>1</v>
      </c>
      <c r="T897" s="4">
        <v>1249020</v>
      </c>
      <c r="U897" s="5">
        <v>0</v>
      </c>
      <c r="V897" s="4">
        <v>0</v>
      </c>
      <c r="W897" s="5">
        <v>0</v>
      </c>
      <c r="X897" s="4">
        <v>0</v>
      </c>
      <c r="Y897" s="4">
        <f t="shared" si="26"/>
        <v>1249020</v>
      </c>
      <c r="Z897" s="6" t="s">
        <v>0</v>
      </c>
      <c r="AA897" t="s">
        <v>2</v>
      </c>
      <c r="AB897" t="s">
        <v>103</v>
      </c>
      <c r="AC897">
        <f>_xlfn.XLOOKUP(AB897,'[1]GST Codes'!$A:$A,'[1]GST Codes'!$C:$C,0,0)</f>
        <v>18</v>
      </c>
      <c r="AD897">
        <f t="shared" si="27"/>
        <v>1473843.6</v>
      </c>
      <c r="AE897" t="s">
        <v>13</v>
      </c>
      <c r="AF897" t="s">
        <v>0</v>
      </c>
      <c r="AG897" t="s">
        <v>14</v>
      </c>
      <c r="AH897" t="s">
        <v>15</v>
      </c>
      <c r="AI897" t="s">
        <v>85</v>
      </c>
      <c r="AJ897" t="s">
        <v>17</v>
      </c>
      <c r="AK897" t="s">
        <v>18</v>
      </c>
      <c r="AL897" t="s">
        <v>19</v>
      </c>
      <c r="AM897" t="s">
        <v>459</v>
      </c>
      <c r="AN897" t="s">
        <v>0</v>
      </c>
      <c r="AO897" t="s">
        <v>0</v>
      </c>
      <c r="AP897" t="s">
        <v>0</v>
      </c>
      <c r="AQ897" s="5">
        <v>27</v>
      </c>
      <c r="AR897" t="s">
        <v>11</v>
      </c>
      <c r="AS897" t="s">
        <v>0</v>
      </c>
      <c r="AT897" t="s">
        <v>17</v>
      </c>
      <c r="AU897" s="4">
        <v>0</v>
      </c>
      <c r="AV897" s="4">
        <v>0</v>
      </c>
      <c r="AW897" s="4">
        <v>0</v>
      </c>
      <c r="AX897" s="4">
        <v>0</v>
      </c>
      <c r="AY897" s="5">
        <v>0</v>
      </c>
      <c r="AZ897" s="5">
        <v>0</v>
      </c>
      <c r="BA897" s="5">
        <v>0</v>
      </c>
      <c r="BB897" s="2"/>
      <c r="BC897" t="s">
        <v>0</v>
      </c>
      <c r="BD897" s="5">
        <v>1</v>
      </c>
      <c r="BE897" t="s">
        <v>0</v>
      </c>
      <c r="BF897" t="s">
        <v>464</v>
      </c>
      <c r="BG897" t="s">
        <v>17</v>
      </c>
      <c r="BH897" t="s">
        <v>0</v>
      </c>
      <c r="BI897" t="s">
        <v>11</v>
      </c>
      <c r="BJ897" t="s">
        <v>0</v>
      </c>
      <c r="BK897" t="s">
        <v>0</v>
      </c>
      <c r="BL897" s="5">
        <v>0</v>
      </c>
      <c r="BM897" t="s">
        <v>0</v>
      </c>
      <c r="BN897" t="s">
        <v>0</v>
      </c>
      <c r="BO897" t="s">
        <v>0</v>
      </c>
      <c r="BP897" t="s">
        <v>17</v>
      </c>
      <c r="BQ897" t="s">
        <v>0</v>
      </c>
      <c r="BR897" t="s">
        <v>17</v>
      </c>
      <c r="BS897" t="s">
        <v>17</v>
      </c>
      <c r="BT897" t="s">
        <v>0</v>
      </c>
      <c r="BU897" t="s">
        <v>0</v>
      </c>
      <c r="BV897" t="s">
        <v>0</v>
      </c>
      <c r="BW897" t="s">
        <v>0</v>
      </c>
      <c r="BX897" t="s">
        <v>0</v>
      </c>
      <c r="BY897" t="s">
        <v>0</v>
      </c>
      <c r="BZ897" t="s">
        <v>0</v>
      </c>
      <c r="CA897" t="s">
        <v>0</v>
      </c>
      <c r="CB897" t="s">
        <v>0</v>
      </c>
    </row>
    <row r="898" spans="1:80" ht="13.95" customHeight="1" x14ac:dyDescent="0.25">
      <c r="A898" t="s">
        <v>463</v>
      </c>
      <c r="B898" s="2">
        <v>45918</v>
      </c>
      <c r="C898" s="2">
        <v>45918</v>
      </c>
      <c r="D898" s="2">
        <v>45948</v>
      </c>
      <c r="E898" t="s">
        <v>2</v>
      </c>
      <c r="F898" t="s">
        <v>3</v>
      </c>
      <c r="G898" t="s">
        <v>0</v>
      </c>
      <c r="H898" t="s">
        <v>4</v>
      </c>
      <c r="I898" t="s">
        <v>458</v>
      </c>
      <c r="J898" t="s">
        <v>6</v>
      </c>
      <c r="K898" t="s">
        <v>86</v>
      </c>
      <c r="L898" t="s">
        <v>39</v>
      </c>
      <c r="M898" t="s">
        <v>40</v>
      </c>
      <c r="N898" t="s">
        <v>10</v>
      </c>
      <c r="O898" t="s">
        <v>0</v>
      </c>
      <c r="P898" t="s">
        <v>11</v>
      </c>
      <c r="Q898" s="5">
        <v>20</v>
      </c>
      <c r="R898" s="4">
        <v>46260</v>
      </c>
      <c r="S898" s="5">
        <v>1</v>
      </c>
      <c r="T898" s="4">
        <v>925200</v>
      </c>
      <c r="U898" s="5">
        <v>0</v>
      </c>
      <c r="V898" s="4">
        <v>0</v>
      </c>
      <c r="W898" s="5">
        <v>0</v>
      </c>
      <c r="X898" s="4">
        <v>0</v>
      </c>
      <c r="Y898" s="4">
        <f t="shared" si="26"/>
        <v>925200</v>
      </c>
      <c r="Z898" s="6" t="s">
        <v>0</v>
      </c>
      <c r="AA898" t="s">
        <v>2</v>
      </c>
      <c r="AB898" t="s">
        <v>103</v>
      </c>
      <c r="AC898">
        <f>_xlfn.XLOOKUP(AB898,'[1]GST Codes'!$A:$A,'[1]GST Codes'!$C:$C,0,0)</f>
        <v>18</v>
      </c>
      <c r="AD898">
        <f t="shared" si="27"/>
        <v>1091736</v>
      </c>
      <c r="AE898" t="s">
        <v>13</v>
      </c>
      <c r="AF898" t="s">
        <v>0</v>
      </c>
      <c r="AG898" t="s">
        <v>14</v>
      </c>
      <c r="AH898" t="s">
        <v>15</v>
      </c>
      <c r="AI898" t="s">
        <v>85</v>
      </c>
      <c r="AJ898" t="s">
        <v>17</v>
      </c>
      <c r="AK898" t="s">
        <v>18</v>
      </c>
      <c r="AL898" t="s">
        <v>19</v>
      </c>
      <c r="AM898" t="s">
        <v>459</v>
      </c>
      <c r="AN898" t="s">
        <v>0</v>
      </c>
      <c r="AO898" t="s">
        <v>0</v>
      </c>
      <c r="AP898" t="s">
        <v>0</v>
      </c>
      <c r="AQ898" s="5">
        <v>20</v>
      </c>
      <c r="AR898" t="s">
        <v>11</v>
      </c>
      <c r="AS898" t="s">
        <v>0</v>
      </c>
      <c r="AT898" t="s">
        <v>17</v>
      </c>
      <c r="AU898" s="4">
        <v>0</v>
      </c>
      <c r="AV898" s="4">
        <v>0</v>
      </c>
      <c r="AW898" s="4">
        <v>0</v>
      </c>
      <c r="AX898" s="4">
        <v>0</v>
      </c>
      <c r="AY898" s="5">
        <v>0</v>
      </c>
      <c r="AZ898" s="5">
        <v>0</v>
      </c>
      <c r="BA898" s="5">
        <v>0</v>
      </c>
      <c r="BB898" s="2"/>
      <c r="BC898" t="s">
        <v>0</v>
      </c>
      <c r="BD898" s="5">
        <v>1</v>
      </c>
      <c r="BE898" t="s">
        <v>0</v>
      </c>
      <c r="BF898" t="s">
        <v>465</v>
      </c>
      <c r="BG898" t="s">
        <v>17</v>
      </c>
      <c r="BH898" t="s">
        <v>0</v>
      </c>
      <c r="BI898" t="s">
        <v>11</v>
      </c>
      <c r="BJ898" t="s">
        <v>0</v>
      </c>
      <c r="BK898" t="s">
        <v>0</v>
      </c>
      <c r="BL898" s="5">
        <v>0</v>
      </c>
      <c r="BM898" t="s">
        <v>0</v>
      </c>
      <c r="BN898" t="s">
        <v>0</v>
      </c>
      <c r="BO898" t="s">
        <v>0</v>
      </c>
      <c r="BP898" t="s">
        <v>17</v>
      </c>
      <c r="BQ898" t="s">
        <v>0</v>
      </c>
      <c r="BR898" t="s">
        <v>17</v>
      </c>
      <c r="BS898" t="s">
        <v>17</v>
      </c>
      <c r="BT898" t="s">
        <v>0</v>
      </c>
      <c r="BU898" t="s">
        <v>0</v>
      </c>
      <c r="BV898" t="s">
        <v>0</v>
      </c>
      <c r="BW898" t="s">
        <v>0</v>
      </c>
      <c r="BX898" t="s">
        <v>0</v>
      </c>
      <c r="BY898" t="s">
        <v>0</v>
      </c>
      <c r="BZ898" t="s">
        <v>0</v>
      </c>
      <c r="CA898" t="s">
        <v>0</v>
      </c>
      <c r="CB898" t="s">
        <v>0</v>
      </c>
    </row>
    <row r="899" spans="1:80" ht="13.95" customHeight="1" x14ac:dyDescent="0.25">
      <c r="A899" t="s">
        <v>463</v>
      </c>
      <c r="B899" s="2">
        <v>45918</v>
      </c>
      <c r="C899" s="2">
        <v>45918</v>
      </c>
      <c r="D899" s="2">
        <v>45948</v>
      </c>
      <c r="E899" t="s">
        <v>2</v>
      </c>
      <c r="F899" t="s">
        <v>3</v>
      </c>
      <c r="G899" t="s">
        <v>0</v>
      </c>
      <c r="H899" t="s">
        <v>4</v>
      </c>
      <c r="I899" t="s">
        <v>458</v>
      </c>
      <c r="J899" t="s">
        <v>6</v>
      </c>
      <c r="K899" t="s">
        <v>87</v>
      </c>
      <c r="L899" t="s">
        <v>39</v>
      </c>
      <c r="M899" t="s">
        <v>40</v>
      </c>
      <c r="N899" t="s">
        <v>10</v>
      </c>
      <c r="O899" t="s">
        <v>0</v>
      </c>
      <c r="P899" t="s">
        <v>11</v>
      </c>
      <c r="Q899" s="5">
        <v>20</v>
      </c>
      <c r="R899" s="4">
        <v>46260</v>
      </c>
      <c r="S899" s="5">
        <v>1</v>
      </c>
      <c r="T899" s="4">
        <v>925200</v>
      </c>
      <c r="U899" s="5">
        <v>0</v>
      </c>
      <c r="V899" s="4">
        <v>0</v>
      </c>
      <c r="W899" s="5">
        <v>0</v>
      </c>
      <c r="X899" s="4">
        <v>0</v>
      </c>
      <c r="Y899" s="4">
        <f t="shared" ref="Y899:Y962" si="28">T899-V899</f>
        <v>925200</v>
      </c>
      <c r="Z899" s="6" t="s">
        <v>0</v>
      </c>
      <c r="AA899" t="s">
        <v>2</v>
      </c>
      <c r="AB899" t="s">
        <v>103</v>
      </c>
      <c r="AC899">
        <f>_xlfn.XLOOKUP(AB899,'[1]GST Codes'!$A:$A,'[1]GST Codes'!$C:$C,0,0)</f>
        <v>18</v>
      </c>
      <c r="AD899">
        <f t="shared" ref="AD899:AD962" si="29">Y899+(Y899*AC899/100)</f>
        <v>1091736</v>
      </c>
      <c r="AE899" t="s">
        <v>13</v>
      </c>
      <c r="AF899" t="s">
        <v>0</v>
      </c>
      <c r="AG899" t="s">
        <v>14</v>
      </c>
      <c r="AH899" t="s">
        <v>15</v>
      </c>
      <c r="AI899" t="s">
        <v>85</v>
      </c>
      <c r="AJ899" t="s">
        <v>17</v>
      </c>
      <c r="AK899" t="s">
        <v>18</v>
      </c>
      <c r="AL899" t="s">
        <v>19</v>
      </c>
      <c r="AM899" t="s">
        <v>459</v>
      </c>
      <c r="AN899" t="s">
        <v>0</v>
      </c>
      <c r="AO899" t="s">
        <v>0</v>
      </c>
      <c r="AP899" t="s">
        <v>0</v>
      </c>
      <c r="AQ899" s="5">
        <v>20</v>
      </c>
      <c r="AR899" t="s">
        <v>11</v>
      </c>
      <c r="AS899" t="s">
        <v>0</v>
      </c>
      <c r="AT899" t="s">
        <v>17</v>
      </c>
      <c r="AU899" s="4">
        <v>0</v>
      </c>
      <c r="AV899" s="4">
        <v>0</v>
      </c>
      <c r="AW899" s="4">
        <v>0</v>
      </c>
      <c r="AX899" s="4">
        <v>0</v>
      </c>
      <c r="AY899" s="5">
        <v>0</v>
      </c>
      <c r="AZ899" s="5">
        <v>0</v>
      </c>
      <c r="BA899" s="5">
        <v>0</v>
      </c>
      <c r="BB899" s="2"/>
      <c r="BC899" t="s">
        <v>0</v>
      </c>
      <c r="BD899" s="5">
        <v>1</v>
      </c>
      <c r="BE899" t="s">
        <v>0</v>
      </c>
      <c r="BF899" t="s">
        <v>465</v>
      </c>
      <c r="BG899" t="s">
        <v>17</v>
      </c>
      <c r="BH899" t="s">
        <v>0</v>
      </c>
      <c r="BI899" t="s">
        <v>11</v>
      </c>
      <c r="BJ899" t="s">
        <v>0</v>
      </c>
      <c r="BK899" t="s">
        <v>0</v>
      </c>
      <c r="BL899" s="5">
        <v>0</v>
      </c>
      <c r="BM899" t="s">
        <v>0</v>
      </c>
      <c r="BN899" t="s">
        <v>0</v>
      </c>
      <c r="BO899" t="s">
        <v>0</v>
      </c>
      <c r="BP899" t="s">
        <v>17</v>
      </c>
      <c r="BQ899" t="s">
        <v>0</v>
      </c>
      <c r="BR899" t="s">
        <v>17</v>
      </c>
      <c r="BS899" t="s">
        <v>17</v>
      </c>
      <c r="BT899" t="s">
        <v>0</v>
      </c>
      <c r="BU899" t="s">
        <v>0</v>
      </c>
      <c r="BV899" t="s">
        <v>0</v>
      </c>
      <c r="BW899" t="s">
        <v>0</v>
      </c>
      <c r="BX899" t="s">
        <v>0</v>
      </c>
      <c r="BY899" t="s">
        <v>0</v>
      </c>
      <c r="BZ899" t="s">
        <v>0</v>
      </c>
      <c r="CA899" t="s">
        <v>0</v>
      </c>
      <c r="CB899" t="s">
        <v>0</v>
      </c>
    </row>
    <row r="900" spans="1:80" ht="13.95" customHeight="1" x14ac:dyDescent="0.25">
      <c r="A900" t="s">
        <v>463</v>
      </c>
      <c r="B900" s="2">
        <v>45918</v>
      </c>
      <c r="C900" s="2">
        <v>45918</v>
      </c>
      <c r="D900" s="2">
        <v>45948</v>
      </c>
      <c r="E900" t="s">
        <v>2</v>
      </c>
      <c r="F900" t="s">
        <v>3</v>
      </c>
      <c r="G900" t="s">
        <v>0</v>
      </c>
      <c r="H900" t="s">
        <v>4</v>
      </c>
      <c r="I900" t="s">
        <v>458</v>
      </c>
      <c r="J900" t="s">
        <v>6</v>
      </c>
      <c r="K900" t="s">
        <v>88</v>
      </c>
      <c r="L900" t="s">
        <v>39</v>
      </c>
      <c r="M900" t="s">
        <v>40</v>
      </c>
      <c r="N900" t="s">
        <v>10</v>
      </c>
      <c r="O900" t="s">
        <v>0</v>
      </c>
      <c r="P900" t="s">
        <v>11</v>
      </c>
      <c r="Q900" s="5">
        <v>20</v>
      </c>
      <c r="R900" s="4">
        <v>46260</v>
      </c>
      <c r="S900" s="5">
        <v>1</v>
      </c>
      <c r="T900" s="4">
        <v>925200</v>
      </c>
      <c r="U900" s="5">
        <v>0</v>
      </c>
      <c r="V900" s="4">
        <v>0</v>
      </c>
      <c r="W900" s="5">
        <v>0</v>
      </c>
      <c r="X900" s="4">
        <v>0</v>
      </c>
      <c r="Y900" s="4">
        <f t="shared" si="28"/>
        <v>925200</v>
      </c>
      <c r="Z900" s="6" t="s">
        <v>0</v>
      </c>
      <c r="AA900" t="s">
        <v>2</v>
      </c>
      <c r="AB900" t="s">
        <v>103</v>
      </c>
      <c r="AC900">
        <f>_xlfn.XLOOKUP(AB900,'[1]GST Codes'!$A:$A,'[1]GST Codes'!$C:$C,0,0)</f>
        <v>18</v>
      </c>
      <c r="AD900">
        <f t="shared" si="29"/>
        <v>1091736</v>
      </c>
      <c r="AE900" t="s">
        <v>13</v>
      </c>
      <c r="AF900" t="s">
        <v>0</v>
      </c>
      <c r="AG900" t="s">
        <v>14</v>
      </c>
      <c r="AH900" t="s">
        <v>15</v>
      </c>
      <c r="AI900" t="s">
        <v>85</v>
      </c>
      <c r="AJ900" t="s">
        <v>17</v>
      </c>
      <c r="AK900" t="s">
        <v>18</v>
      </c>
      <c r="AL900" t="s">
        <v>19</v>
      </c>
      <c r="AM900" t="s">
        <v>459</v>
      </c>
      <c r="AN900" t="s">
        <v>0</v>
      </c>
      <c r="AO900" t="s">
        <v>0</v>
      </c>
      <c r="AP900" t="s">
        <v>0</v>
      </c>
      <c r="AQ900" s="5">
        <v>20</v>
      </c>
      <c r="AR900" t="s">
        <v>11</v>
      </c>
      <c r="AS900" t="s">
        <v>0</v>
      </c>
      <c r="AT900" t="s">
        <v>17</v>
      </c>
      <c r="AU900" s="4">
        <v>0</v>
      </c>
      <c r="AV900" s="4">
        <v>0</v>
      </c>
      <c r="AW900" s="4">
        <v>0</v>
      </c>
      <c r="AX900" s="4">
        <v>0</v>
      </c>
      <c r="AY900" s="5">
        <v>0</v>
      </c>
      <c r="AZ900" s="5">
        <v>0</v>
      </c>
      <c r="BA900" s="5">
        <v>0</v>
      </c>
      <c r="BB900" s="2"/>
      <c r="BC900" t="s">
        <v>0</v>
      </c>
      <c r="BD900" s="5">
        <v>1</v>
      </c>
      <c r="BE900" t="s">
        <v>0</v>
      </c>
      <c r="BF900" t="s">
        <v>465</v>
      </c>
      <c r="BG900" t="s">
        <v>17</v>
      </c>
      <c r="BH900" t="s">
        <v>0</v>
      </c>
      <c r="BI900" t="s">
        <v>11</v>
      </c>
      <c r="BJ900" t="s">
        <v>0</v>
      </c>
      <c r="BK900" t="s">
        <v>0</v>
      </c>
      <c r="BL900" s="5">
        <v>0</v>
      </c>
      <c r="BM900" t="s">
        <v>0</v>
      </c>
      <c r="BN900" t="s">
        <v>0</v>
      </c>
      <c r="BO900" t="s">
        <v>0</v>
      </c>
      <c r="BP900" t="s">
        <v>17</v>
      </c>
      <c r="BQ900" t="s">
        <v>0</v>
      </c>
      <c r="BR900" t="s">
        <v>17</v>
      </c>
      <c r="BS900" t="s">
        <v>17</v>
      </c>
      <c r="BT900" t="s">
        <v>0</v>
      </c>
      <c r="BU900" t="s">
        <v>0</v>
      </c>
      <c r="BV900" t="s">
        <v>0</v>
      </c>
      <c r="BW900" t="s">
        <v>0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</row>
    <row r="901" spans="1:80" ht="13.95" customHeight="1" x14ac:dyDescent="0.25">
      <c r="A901" t="s">
        <v>463</v>
      </c>
      <c r="B901" s="2">
        <v>45918</v>
      </c>
      <c r="C901" s="2">
        <v>45918</v>
      </c>
      <c r="D901" s="2">
        <v>45948</v>
      </c>
      <c r="E901" t="s">
        <v>2</v>
      </c>
      <c r="F901" t="s">
        <v>3</v>
      </c>
      <c r="G901" t="s">
        <v>0</v>
      </c>
      <c r="H901" t="s">
        <v>4</v>
      </c>
      <c r="I901" t="s">
        <v>458</v>
      </c>
      <c r="J901" t="s">
        <v>6</v>
      </c>
      <c r="K901" t="s">
        <v>89</v>
      </c>
      <c r="L901" t="s">
        <v>39</v>
      </c>
      <c r="M901" t="s">
        <v>40</v>
      </c>
      <c r="N901" t="s">
        <v>10</v>
      </c>
      <c r="O901" t="s">
        <v>0</v>
      </c>
      <c r="P901" t="s">
        <v>11</v>
      </c>
      <c r="Q901" s="5">
        <v>20</v>
      </c>
      <c r="R901" s="4">
        <v>46260</v>
      </c>
      <c r="S901" s="5">
        <v>1</v>
      </c>
      <c r="T901" s="4">
        <v>925200</v>
      </c>
      <c r="U901" s="5">
        <v>0</v>
      </c>
      <c r="V901" s="4">
        <v>0</v>
      </c>
      <c r="W901" s="5">
        <v>0</v>
      </c>
      <c r="X901" s="4">
        <v>0</v>
      </c>
      <c r="Y901" s="4">
        <f t="shared" si="28"/>
        <v>925200</v>
      </c>
      <c r="Z901" s="6" t="s">
        <v>0</v>
      </c>
      <c r="AA901" t="s">
        <v>2</v>
      </c>
      <c r="AB901" t="s">
        <v>103</v>
      </c>
      <c r="AC901">
        <f>_xlfn.XLOOKUP(AB901,'[1]GST Codes'!$A:$A,'[1]GST Codes'!$C:$C,0,0)</f>
        <v>18</v>
      </c>
      <c r="AD901">
        <f t="shared" si="29"/>
        <v>1091736</v>
      </c>
      <c r="AE901" t="s">
        <v>13</v>
      </c>
      <c r="AF901" t="s">
        <v>0</v>
      </c>
      <c r="AG901" t="s">
        <v>14</v>
      </c>
      <c r="AH901" t="s">
        <v>15</v>
      </c>
      <c r="AI901" t="s">
        <v>85</v>
      </c>
      <c r="AJ901" t="s">
        <v>17</v>
      </c>
      <c r="AK901" t="s">
        <v>18</v>
      </c>
      <c r="AL901" t="s">
        <v>19</v>
      </c>
      <c r="AM901" t="s">
        <v>459</v>
      </c>
      <c r="AN901" t="s">
        <v>0</v>
      </c>
      <c r="AO901" t="s">
        <v>0</v>
      </c>
      <c r="AP901" t="s">
        <v>0</v>
      </c>
      <c r="AQ901" s="5">
        <v>20</v>
      </c>
      <c r="AR901" t="s">
        <v>11</v>
      </c>
      <c r="AS901" t="s">
        <v>0</v>
      </c>
      <c r="AT901" t="s">
        <v>17</v>
      </c>
      <c r="AU901" s="4">
        <v>0</v>
      </c>
      <c r="AV901" s="4">
        <v>0</v>
      </c>
      <c r="AW901" s="4">
        <v>0</v>
      </c>
      <c r="AX901" s="4">
        <v>0</v>
      </c>
      <c r="AY901" s="5">
        <v>0</v>
      </c>
      <c r="AZ901" s="5">
        <v>0</v>
      </c>
      <c r="BA901" s="5">
        <v>0</v>
      </c>
      <c r="BB901" s="2"/>
      <c r="BC901" t="s">
        <v>0</v>
      </c>
      <c r="BD901" s="5">
        <v>1</v>
      </c>
      <c r="BE901" t="s">
        <v>0</v>
      </c>
      <c r="BF901" t="s">
        <v>465</v>
      </c>
      <c r="BG901" t="s">
        <v>17</v>
      </c>
      <c r="BH901" t="s">
        <v>0</v>
      </c>
      <c r="BI901" t="s">
        <v>11</v>
      </c>
      <c r="BJ901" t="s">
        <v>0</v>
      </c>
      <c r="BK901" t="s">
        <v>0</v>
      </c>
      <c r="BL901" s="5">
        <v>0</v>
      </c>
      <c r="BM901" t="s">
        <v>0</v>
      </c>
      <c r="BN901" t="s">
        <v>0</v>
      </c>
      <c r="BO901" t="s">
        <v>0</v>
      </c>
      <c r="BP901" t="s">
        <v>17</v>
      </c>
      <c r="BQ901" t="s">
        <v>0</v>
      </c>
      <c r="BR901" t="s">
        <v>17</v>
      </c>
      <c r="BS901" t="s">
        <v>17</v>
      </c>
      <c r="BT901" t="s">
        <v>0</v>
      </c>
      <c r="BU901" t="s">
        <v>0</v>
      </c>
      <c r="BV901" t="s">
        <v>0</v>
      </c>
      <c r="BW901" t="s">
        <v>0</v>
      </c>
      <c r="BX901" t="s">
        <v>0</v>
      </c>
      <c r="BY901" t="s">
        <v>0</v>
      </c>
      <c r="BZ901" t="s">
        <v>0</v>
      </c>
      <c r="CA901" t="s">
        <v>0</v>
      </c>
      <c r="CB901" t="s">
        <v>0</v>
      </c>
    </row>
    <row r="902" spans="1:80" ht="13.95" customHeight="1" x14ac:dyDescent="0.25">
      <c r="A902" t="s">
        <v>463</v>
      </c>
      <c r="B902" s="2">
        <v>45918</v>
      </c>
      <c r="C902" s="2">
        <v>45918</v>
      </c>
      <c r="D902" s="2">
        <v>45948</v>
      </c>
      <c r="E902" t="s">
        <v>2</v>
      </c>
      <c r="F902" t="s">
        <v>3</v>
      </c>
      <c r="G902" t="s">
        <v>0</v>
      </c>
      <c r="H902" t="s">
        <v>4</v>
      </c>
      <c r="I902" t="s">
        <v>458</v>
      </c>
      <c r="J902" t="s">
        <v>6</v>
      </c>
      <c r="K902" t="s">
        <v>90</v>
      </c>
      <c r="L902" t="s">
        <v>39</v>
      </c>
      <c r="M902" t="s">
        <v>40</v>
      </c>
      <c r="N902" t="s">
        <v>10</v>
      </c>
      <c r="O902" t="s">
        <v>0</v>
      </c>
      <c r="P902" t="s">
        <v>11</v>
      </c>
      <c r="Q902" s="5">
        <v>20</v>
      </c>
      <c r="R902" s="4">
        <v>46260</v>
      </c>
      <c r="S902" s="5">
        <v>1</v>
      </c>
      <c r="T902" s="4">
        <v>925200</v>
      </c>
      <c r="U902" s="5">
        <v>0</v>
      </c>
      <c r="V902" s="4">
        <v>0</v>
      </c>
      <c r="W902" s="5">
        <v>0</v>
      </c>
      <c r="X902" s="4">
        <v>0</v>
      </c>
      <c r="Y902" s="4">
        <f t="shared" si="28"/>
        <v>925200</v>
      </c>
      <c r="Z902" s="6" t="s">
        <v>0</v>
      </c>
      <c r="AA902" t="s">
        <v>2</v>
      </c>
      <c r="AB902" t="s">
        <v>103</v>
      </c>
      <c r="AC902">
        <f>_xlfn.XLOOKUP(AB902,'[1]GST Codes'!$A:$A,'[1]GST Codes'!$C:$C,0,0)</f>
        <v>18</v>
      </c>
      <c r="AD902">
        <f t="shared" si="29"/>
        <v>1091736</v>
      </c>
      <c r="AE902" t="s">
        <v>13</v>
      </c>
      <c r="AF902" t="s">
        <v>0</v>
      </c>
      <c r="AG902" t="s">
        <v>14</v>
      </c>
      <c r="AH902" t="s">
        <v>15</v>
      </c>
      <c r="AI902" t="s">
        <v>85</v>
      </c>
      <c r="AJ902" t="s">
        <v>17</v>
      </c>
      <c r="AK902" t="s">
        <v>18</v>
      </c>
      <c r="AL902" t="s">
        <v>19</v>
      </c>
      <c r="AM902" t="s">
        <v>459</v>
      </c>
      <c r="AN902" t="s">
        <v>0</v>
      </c>
      <c r="AO902" t="s">
        <v>0</v>
      </c>
      <c r="AP902" t="s">
        <v>0</v>
      </c>
      <c r="AQ902" s="5">
        <v>20</v>
      </c>
      <c r="AR902" t="s">
        <v>11</v>
      </c>
      <c r="AS902" t="s">
        <v>0</v>
      </c>
      <c r="AT902" t="s">
        <v>17</v>
      </c>
      <c r="AU902" s="4">
        <v>0</v>
      </c>
      <c r="AV902" s="4">
        <v>0</v>
      </c>
      <c r="AW902" s="4">
        <v>0</v>
      </c>
      <c r="AX902" s="4">
        <v>0</v>
      </c>
      <c r="AY902" s="5">
        <v>0</v>
      </c>
      <c r="AZ902" s="5">
        <v>0</v>
      </c>
      <c r="BA902" s="5">
        <v>0</v>
      </c>
      <c r="BB902" s="2"/>
      <c r="BC902" t="s">
        <v>0</v>
      </c>
      <c r="BD902" s="5">
        <v>1</v>
      </c>
      <c r="BE902" t="s">
        <v>0</v>
      </c>
      <c r="BF902" t="s">
        <v>465</v>
      </c>
      <c r="BG902" t="s">
        <v>17</v>
      </c>
      <c r="BH902" t="s">
        <v>0</v>
      </c>
      <c r="BI902" t="s">
        <v>11</v>
      </c>
      <c r="BJ902" t="s">
        <v>0</v>
      </c>
      <c r="BK902" t="s">
        <v>0</v>
      </c>
      <c r="BL902" s="5">
        <v>0</v>
      </c>
      <c r="BM902" t="s">
        <v>0</v>
      </c>
      <c r="BN902" t="s">
        <v>0</v>
      </c>
      <c r="BO902" t="s">
        <v>0</v>
      </c>
      <c r="BP902" t="s">
        <v>17</v>
      </c>
      <c r="BQ902" t="s">
        <v>0</v>
      </c>
      <c r="BR902" t="s">
        <v>17</v>
      </c>
      <c r="BS902" t="s">
        <v>17</v>
      </c>
      <c r="BT902" t="s">
        <v>0</v>
      </c>
      <c r="BU902" t="s">
        <v>0</v>
      </c>
      <c r="BV902" t="s">
        <v>0</v>
      </c>
      <c r="BW902" t="s">
        <v>0</v>
      </c>
      <c r="BX902" t="s">
        <v>0</v>
      </c>
      <c r="BY902" t="s">
        <v>0</v>
      </c>
      <c r="BZ902" t="s">
        <v>0</v>
      </c>
      <c r="CA902" t="s">
        <v>0</v>
      </c>
      <c r="CB902" t="s">
        <v>0</v>
      </c>
    </row>
    <row r="903" spans="1:80" ht="13.95" customHeight="1" x14ac:dyDescent="0.25">
      <c r="A903" t="s">
        <v>463</v>
      </c>
      <c r="B903" s="2">
        <v>45918</v>
      </c>
      <c r="C903" s="2">
        <v>45918</v>
      </c>
      <c r="D903" s="2">
        <v>45948</v>
      </c>
      <c r="E903" t="s">
        <v>2</v>
      </c>
      <c r="F903" t="s">
        <v>3</v>
      </c>
      <c r="G903" t="s">
        <v>0</v>
      </c>
      <c r="H903" t="s">
        <v>4</v>
      </c>
      <c r="I903" t="s">
        <v>458</v>
      </c>
      <c r="J903" t="s">
        <v>6</v>
      </c>
      <c r="K903" t="s">
        <v>177</v>
      </c>
      <c r="L903" t="s">
        <v>39</v>
      </c>
      <c r="M903" t="s">
        <v>40</v>
      </c>
      <c r="N903" t="s">
        <v>10</v>
      </c>
      <c r="O903" t="s">
        <v>0</v>
      </c>
      <c r="P903" t="s">
        <v>11</v>
      </c>
      <c r="Q903" s="3">
        <v>19.600000000000001</v>
      </c>
      <c r="R903" s="4">
        <v>46260</v>
      </c>
      <c r="S903" s="5">
        <v>1</v>
      </c>
      <c r="T903" s="4">
        <v>906696</v>
      </c>
      <c r="U903" s="5">
        <v>0</v>
      </c>
      <c r="V903" s="4">
        <v>0</v>
      </c>
      <c r="W903" s="5">
        <v>0</v>
      </c>
      <c r="X903" s="4">
        <v>0</v>
      </c>
      <c r="Y903" s="4">
        <f t="shared" si="28"/>
        <v>906696</v>
      </c>
      <c r="Z903" s="6" t="s">
        <v>0</v>
      </c>
      <c r="AA903" t="s">
        <v>2</v>
      </c>
      <c r="AB903" t="s">
        <v>103</v>
      </c>
      <c r="AC903">
        <f>_xlfn.XLOOKUP(AB903,'[1]GST Codes'!$A:$A,'[1]GST Codes'!$C:$C,0,0)</f>
        <v>18</v>
      </c>
      <c r="AD903">
        <f t="shared" si="29"/>
        <v>1069901.28</v>
      </c>
      <c r="AE903" t="s">
        <v>13</v>
      </c>
      <c r="AF903" t="s">
        <v>0</v>
      </c>
      <c r="AG903" t="s">
        <v>14</v>
      </c>
      <c r="AH903" t="s">
        <v>15</v>
      </c>
      <c r="AI903" t="s">
        <v>85</v>
      </c>
      <c r="AJ903" t="s">
        <v>17</v>
      </c>
      <c r="AK903" t="s">
        <v>18</v>
      </c>
      <c r="AL903" t="s">
        <v>19</v>
      </c>
      <c r="AM903" t="s">
        <v>459</v>
      </c>
      <c r="AN903" t="s">
        <v>0</v>
      </c>
      <c r="AO903" t="s">
        <v>0</v>
      </c>
      <c r="AP903" t="s">
        <v>0</v>
      </c>
      <c r="AQ903" s="3">
        <v>19.600000000000001</v>
      </c>
      <c r="AR903" t="s">
        <v>11</v>
      </c>
      <c r="AS903" t="s">
        <v>0</v>
      </c>
      <c r="AT903" t="s">
        <v>17</v>
      </c>
      <c r="AU903" s="4">
        <v>0</v>
      </c>
      <c r="AV903" s="4">
        <v>0</v>
      </c>
      <c r="AW903" s="4">
        <v>0</v>
      </c>
      <c r="AX903" s="4">
        <v>0</v>
      </c>
      <c r="AY903" s="5">
        <v>0</v>
      </c>
      <c r="AZ903" s="5">
        <v>0</v>
      </c>
      <c r="BA903" s="5">
        <v>0</v>
      </c>
      <c r="BB903" s="2"/>
      <c r="BC903" t="s">
        <v>0</v>
      </c>
      <c r="BD903" s="5">
        <v>1</v>
      </c>
      <c r="BE903" t="s">
        <v>0</v>
      </c>
      <c r="BF903" t="s">
        <v>465</v>
      </c>
      <c r="BG903" t="s">
        <v>17</v>
      </c>
      <c r="BH903" t="s">
        <v>0</v>
      </c>
      <c r="BI903" t="s">
        <v>11</v>
      </c>
      <c r="BJ903" t="s">
        <v>0</v>
      </c>
      <c r="BK903" t="s">
        <v>0</v>
      </c>
      <c r="BL903" s="5">
        <v>0</v>
      </c>
      <c r="BM903" t="s">
        <v>0</v>
      </c>
      <c r="BN903" t="s">
        <v>0</v>
      </c>
      <c r="BO903" t="s">
        <v>0</v>
      </c>
      <c r="BP903" t="s">
        <v>17</v>
      </c>
      <c r="BQ903" t="s">
        <v>0</v>
      </c>
      <c r="BR903" t="s">
        <v>17</v>
      </c>
      <c r="BS903" t="s">
        <v>17</v>
      </c>
      <c r="BT903" t="s">
        <v>0</v>
      </c>
      <c r="BU903" t="s">
        <v>0</v>
      </c>
      <c r="BV903" t="s">
        <v>0</v>
      </c>
      <c r="BW903" t="s">
        <v>0</v>
      </c>
      <c r="BX903" t="s">
        <v>0</v>
      </c>
      <c r="BY903" t="s">
        <v>0</v>
      </c>
      <c r="BZ903" t="s">
        <v>0</v>
      </c>
      <c r="CA903" t="s">
        <v>0</v>
      </c>
      <c r="CB903" t="s">
        <v>0</v>
      </c>
    </row>
    <row r="904" spans="1:80" ht="13.95" customHeight="1" x14ac:dyDescent="0.25">
      <c r="A904" t="s">
        <v>463</v>
      </c>
      <c r="B904" s="2">
        <v>45918</v>
      </c>
      <c r="C904" s="2">
        <v>45918</v>
      </c>
      <c r="D904" s="2">
        <v>45948</v>
      </c>
      <c r="E904" t="s">
        <v>2</v>
      </c>
      <c r="F904" t="s">
        <v>3</v>
      </c>
      <c r="G904" t="s">
        <v>0</v>
      </c>
      <c r="H904" t="s">
        <v>4</v>
      </c>
      <c r="I904" t="s">
        <v>458</v>
      </c>
      <c r="J904" t="s">
        <v>6</v>
      </c>
      <c r="K904" t="s">
        <v>181</v>
      </c>
      <c r="L904" t="s">
        <v>43</v>
      </c>
      <c r="M904" t="s">
        <v>44</v>
      </c>
      <c r="N904" t="s">
        <v>10</v>
      </c>
      <c r="O904" t="s">
        <v>0</v>
      </c>
      <c r="P904" t="s">
        <v>11</v>
      </c>
      <c r="Q904" s="3">
        <v>24.8</v>
      </c>
      <c r="R904" s="4">
        <v>46260</v>
      </c>
      <c r="S904" s="5">
        <v>1</v>
      </c>
      <c r="T904" s="4">
        <v>1147248</v>
      </c>
      <c r="U904" s="5">
        <v>0</v>
      </c>
      <c r="V904" s="4">
        <v>0</v>
      </c>
      <c r="W904" s="5">
        <v>0</v>
      </c>
      <c r="X904" s="4">
        <v>0</v>
      </c>
      <c r="Y904" s="4">
        <f t="shared" si="28"/>
        <v>1147248</v>
      </c>
      <c r="Z904" s="6" t="s">
        <v>0</v>
      </c>
      <c r="AA904" t="s">
        <v>2</v>
      </c>
      <c r="AB904" t="s">
        <v>103</v>
      </c>
      <c r="AC904">
        <f>_xlfn.XLOOKUP(AB904,'[1]GST Codes'!$A:$A,'[1]GST Codes'!$C:$C,0,0)</f>
        <v>18</v>
      </c>
      <c r="AD904">
        <f t="shared" si="29"/>
        <v>1353752.6400000001</v>
      </c>
      <c r="AE904" t="s">
        <v>13</v>
      </c>
      <c r="AF904" t="s">
        <v>0</v>
      </c>
      <c r="AG904" t="s">
        <v>14</v>
      </c>
      <c r="AH904" t="s">
        <v>15</v>
      </c>
      <c r="AI904" t="s">
        <v>85</v>
      </c>
      <c r="AJ904" t="s">
        <v>17</v>
      </c>
      <c r="AK904" t="s">
        <v>18</v>
      </c>
      <c r="AL904" t="s">
        <v>19</v>
      </c>
      <c r="AM904" t="s">
        <v>459</v>
      </c>
      <c r="AN904" t="s">
        <v>0</v>
      </c>
      <c r="AO904" t="s">
        <v>0</v>
      </c>
      <c r="AP904" t="s">
        <v>0</v>
      </c>
      <c r="AQ904" s="3">
        <v>24.8</v>
      </c>
      <c r="AR904" t="s">
        <v>11</v>
      </c>
      <c r="AS904" t="s">
        <v>0</v>
      </c>
      <c r="AT904" t="s">
        <v>17</v>
      </c>
      <c r="AU904" s="4">
        <v>0</v>
      </c>
      <c r="AV904" s="4">
        <v>0</v>
      </c>
      <c r="AW904" s="4">
        <v>0</v>
      </c>
      <c r="AX904" s="4">
        <v>0</v>
      </c>
      <c r="AY904" s="5">
        <v>0</v>
      </c>
      <c r="AZ904" s="5">
        <v>0</v>
      </c>
      <c r="BA904" s="5">
        <v>0</v>
      </c>
      <c r="BB904" s="2"/>
      <c r="BC904" t="s">
        <v>0</v>
      </c>
      <c r="BD904" s="5">
        <v>1</v>
      </c>
      <c r="BE904" t="s">
        <v>0</v>
      </c>
      <c r="BF904" t="s">
        <v>466</v>
      </c>
      <c r="BG904" t="s">
        <v>17</v>
      </c>
      <c r="BH904" t="s">
        <v>0</v>
      </c>
      <c r="BI904" t="s">
        <v>11</v>
      </c>
      <c r="BJ904" t="s">
        <v>0</v>
      </c>
      <c r="BK904" t="s">
        <v>0</v>
      </c>
      <c r="BL904" s="5">
        <v>0</v>
      </c>
      <c r="BM904" t="s">
        <v>0</v>
      </c>
      <c r="BN904" t="s">
        <v>0</v>
      </c>
      <c r="BO904" t="s">
        <v>0</v>
      </c>
      <c r="BP904" t="s">
        <v>17</v>
      </c>
      <c r="BQ904" t="s">
        <v>0</v>
      </c>
      <c r="BR904" t="s">
        <v>17</v>
      </c>
      <c r="BS904" t="s">
        <v>17</v>
      </c>
      <c r="BT904" t="s">
        <v>0</v>
      </c>
      <c r="BU904" t="s">
        <v>0</v>
      </c>
      <c r="BV904" t="s">
        <v>0</v>
      </c>
      <c r="BW904" t="s">
        <v>0</v>
      </c>
      <c r="BX904" t="s">
        <v>0</v>
      </c>
      <c r="BY904" t="s">
        <v>0</v>
      </c>
      <c r="BZ904" t="s">
        <v>0</v>
      </c>
      <c r="CA904" t="s">
        <v>0</v>
      </c>
      <c r="CB904" t="s">
        <v>0</v>
      </c>
    </row>
    <row r="905" spans="1:80" ht="13.95" customHeight="1" x14ac:dyDescent="0.25">
      <c r="A905" t="s">
        <v>463</v>
      </c>
      <c r="B905" s="2">
        <v>45918</v>
      </c>
      <c r="C905" s="2">
        <v>45918</v>
      </c>
      <c r="D905" s="2">
        <v>45948</v>
      </c>
      <c r="E905" t="s">
        <v>2</v>
      </c>
      <c r="F905" t="s">
        <v>3</v>
      </c>
      <c r="G905" t="s">
        <v>0</v>
      </c>
      <c r="H905" t="s">
        <v>4</v>
      </c>
      <c r="I905" t="s">
        <v>458</v>
      </c>
      <c r="J905" t="s">
        <v>6</v>
      </c>
      <c r="K905" t="s">
        <v>185</v>
      </c>
      <c r="L905" t="s">
        <v>43</v>
      </c>
      <c r="M905" t="s">
        <v>44</v>
      </c>
      <c r="N905" t="s">
        <v>10</v>
      </c>
      <c r="O905" t="s">
        <v>0</v>
      </c>
      <c r="P905" t="s">
        <v>11</v>
      </c>
      <c r="Q905" s="3">
        <v>24.59</v>
      </c>
      <c r="R905" s="4">
        <v>46260</v>
      </c>
      <c r="S905" s="5">
        <v>1</v>
      </c>
      <c r="T905" s="4">
        <v>1137533.3999999999</v>
      </c>
      <c r="U905" s="5">
        <v>0</v>
      </c>
      <c r="V905" s="4">
        <v>0</v>
      </c>
      <c r="W905" s="5">
        <v>0</v>
      </c>
      <c r="X905" s="4">
        <v>0</v>
      </c>
      <c r="Y905" s="4">
        <f t="shared" si="28"/>
        <v>1137533.3999999999</v>
      </c>
      <c r="Z905" s="6" t="s">
        <v>0</v>
      </c>
      <c r="AA905" t="s">
        <v>2</v>
      </c>
      <c r="AB905" t="s">
        <v>103</v>
      </c>
      <c r="AC905">
        <f>_xlfn.XLOOKUP(AB905,'[1]GST Codes'!$A:$A,'[1]GST Codes'!$C:$C,0,0)</f>
        <v>18</v>
      </c>
      <c r="AD905">
        <f t="shared" si="29"/>
        <v>1342289.412</v>
      </c>
      <c r="AE905" t="s">
        <v>13</v>
      </c>
      <c r="AF905" t="s">
        <v>0</v>
      </c>
      <c r="AG905" t="s">
        <v>14</v>
      </c>
      <c r="AH905" t="s">
        <v>15</v>
      </c>
      <c r="AI905" t="s">
        <v>85</v>
      </c>
      <c r="AJ905" t="s">
        <v>17</v>
      </c>
      <c r="AK905" t="s">
        <v>18</v>
      </c>
      <c r="AL905" t="s">
        <v>19</v>
      </c>
      <c r="AM905" t="s">
        <v>459</v>
      </c>
      <c r="AN905" t="s">
        <v>0</v>
      </c>
      <c r="AO905" t="s">
        <v>0</v>
      </c>
      <c r="AP905" t="s">
        <v>0</v>
      </c>
      <c r="AQ905" s="3">
        <v>24.59</v>
      </c>
      <c r="AR905" t="s">
        <v>11</v>
      </c>
      <c r="AS905" t="s">
        <v>0</v>
      </c>
      <c r="AT905" t="s">
        <v>17</v>
      </c>
      <c r="AU905" s="4">
        <v>0</v>
      </c>
      <c r="AV905" s="4">
        <v>0</v>
      </c>
      <c r="AW905" s="4">
        <v>0</v>
      </c>
      <c r="AX905" s="4">
        <v>0</v>
      </c>
      <c r="AY905" s="5">
        <v>0</v>
      </c>
      <c r="AZ905" s="5">
        <v>0</v>
      </c>
      <c r="BA905" s="5">
        <v>0</v>
      </c>
      <c r="BB905" s="2"/>
      <c r="BC905" t="s">
        <v>0</v>
      </c>
      <c r="BD905" s="5">
        <v>1</v>
      </c>
      <c r="BE905" t="s">
        <v>0</v>
      </c>
      <c r="BF905" t="s">
        <v>466</v>
      </c>
      <c r="BG905" t="s">
        <v>17</v>
      </c>
      <c r="BH905" t="s">
        <v>0</v>
      </c>
      <c r="BI905" t="s">
        <v>11</v>
      </c>
      <c r="BJ905" t="s">
        <v>0</v>
      </c>
      <c r="BK905" t="s">
        <v>0</v>
      </c>
      <c r="BL905" s="5">
        <v>0</v>
      </c>
      <c r="BM905" t="s">
        <v>0</v>
      </c>
      <c r="BN905" t="s">
        <v>0</v>
      </c>
      <c r="BO905" t="s">
        <v>0</v>
      </c>
      <c r="BP905" t="s">
        <v>17</v>
      </c>
      <c r="BQ905" t="s">
        <v>0</v>
      </c>
      <c r="BR905" t="s">
        <v>17</v>
      </c>
      <c r="BS905" t="s">
        <v>17</v>
      </c>
      <c r="BT905" t="s">
        <v>0</v>
      </c>
      <c r="BU905" t="s">
        <v>0</v>
      </c>
      <c r="BV905" t="s">
        <v>0</v>
      </c>
      <c r="BW905" t="s">
        <v>0</v>
      </c>
      <c r="BX905" t="s">
        <v>0</v>
      </c>
      <c r="BY905" t="s">
        <v>0</v>
      </c>
      <c r="BZ905" t="s">
        <v>0</v>
      </c>
      <c r="CA905" t="s">
        <v>0</v>
      </c>
      <c r="CB905" t="s">
        <v>0</v>
      </c>
    </row>
    <row r="906" spans="1:80" ht="13.95" customHeight="1" x14ac:dyDescent="0.25">
      <c r="A906" t="s">
        <v>463</v>
      </c>
      <c r="B906" s="2">
        <v>45918</v>
      </c>
      <c r="C906" s="2">
        <v>45918</v>
      </c>
      <c r="D906" s="2">
        <v>45948</v>
      </c>
      <c r="E906" t="s">
        <v>2</v>
      </c>
      <c r="F906" t="s">
        <v>3</v>
      </c>
      <c r="G906" t="s">
        <v>0</v>
      </c>
      <c r="H906" t="s">
        <v>4</v>
      </c>
      <c r="I906" t="s">
        <v>458</v>
      </c>
      <c r="J906" t="s">
        <v>6</v>
      </c>
      <c r="K906" t="s">
        <v>189</v>
      </c>
      <c r="L906" t="s">
        <v>43</v>
      </c>
      <c r="M906" t="s">
        <v>44</v>
      </c>
      <c r="N906" t="s">
        <v>10</v>
      </c>
      <c r="O906" t="s">
        <v>0</v>
      </c>
      <c r="P906" t="s">
        <v>11</v>
      </c>
      <c r="Q906" s="3">
        <v>24.7</v>
      </c>
      <c r="R906" s="4">
        <v>46260</v>
      </c>
      <c r="S906" s="5">
        <v>1</v>
      </c>
      <c r="T906" s="4">
        <v>1142622</v>
      </c>
      <c r="U906" s="5">
        <v>0</v>
      </c>
      <c r="V906" s="4">
        <v>0</v>
      </c>
      <c r="W906" s="5">
        <v>0</v>
      </c>
      <c r="X906" s="4">
        <v>0</v>
      </c>
      <c r="Y906" s="4">
        <f t="shared" si="28"/>
        <v>1142622</v>
      </c>
      <c r="Z906" s="6" t="s">
        <v>0</v>
      </c>
      <c r="AA906" t="s">
        <v>2</v>
      </c>
      <c r="AB906" t="s">
        <v>103</v>
      </c>
      <c r="AC906">
        <f>_xlfn.XLOOKUP(AB906,'[1]GST Codes'!$A:$A,'[1]GST Codes'!$C:$C,0,0)</f>
        <v>18</v>
      </c>
      <c r="AD906">
        <f t="shared" si="29"/>
        <v>1348293.96</v>
      </c>
      <c r="AE906" t="s">
        <v>13</v>
      </c>
      <c r="AF906" t="s">
        <v>0</v>
      </c>
      <c r="AG906" t="s">
        <v>14</v>
      </c>
      <c r="AH906" t="s">
        <v>15</v>
      </c>
      <c r="AI906" t="s">
        <v>85</v>
      </c>
      <c r="AJ906" t="s">
        <v>17</v>
      </c>
      <c r="AK906" t="s">
        <v>18</v>
      </c>
      <c r="AL906" t="s">
        <v>19</v>
      </c>
      <c r="AM906" t="s">
        <v>459</v>
      </c>
      <c r="AN906" t="s">
        <v>0</v>
      </c>
      <c r="AO906" t="s">
        <v>0</v>
      </c>
      <c r="AP906" t="s">
        <v>0</v>
      </c>
      <c r="AQ906" s="3">
        <v>24.7</v>
      </c>
      <c r="AR906" t="s">
        <v>11</v>
      </c>
      <c r="AS906" t="s">
        <v>0</v>
      </c>
      <c r="AT906" t="s">
        <v>17</v>
      </c>
      <c r="AU906" s="4">
        <v>0</v>
      </c>
      <c r="AV906" s="4">
        <v>0</v>
      </c>
      <c r="AW906" s="4">
        <v>0</v>
      </c>
      <c r="AX906" s="4">
        <v>0</v>
      </c>
      <c r="AY906" s="5">
        <v>0</v>
      </c>
      <c r="AZ906" s="5">
        <v>0</v>
      </c>
      <c r="BA906" s="5">
        <v>0</v>
      </c>
      <c r="BB906" s="2"/>
      <c r="BC906" t="s">
        <v>0</v>
      </c>
      <c r="BD906" s="5">
        <v>1</v>
      </c>
      <c r="BE906" t="s">
        <v>0</v>
      </c>
      <c r="BF906" t="s">
        <v>466</v>
      </c>
      <c r="BG906" t="s">
        <v>17</v>
      </c>
      <c r="BH906" t="s">
        <v>0</v>
      </c>
      <c r="BI906" t="s">
        <v>11</v>
      </c>
      <c r="BJ906" t="s">
        <v>0</v>
      </c>
      <c r="BK906" t="s">
        <v>0</v>
      </c>
      <c r="BL906" s="5">
        <v>0</v>
      </c>
      <c r="BM906" t="s">
        <v>0</v>
      </c>
      <c r="BN906" t="s">
        <v>0</v>
      </c>
      <c r="BO906" t="s">
        <v>0</v>
      </c>
      <c r="BP906" t="s">
        <v>17</v>
      </c>
      <c r="BQ906" t="s">
        <v>0</v>
      </c>
      <c r="BR906" t="s">
        <v>17</v>
      </c>
      <c r="BS906" t="s">
        <v>17</v>
      </c>
      <c r="BT906" t="s">
        <v>0</v>
      </c>
      <c r="BU906" t="s">
        <v>0</v>
      </c>
      <c r="BV906" t="s">
        <v>0</v>
      </c>
      <c r="BW906" t="s">
        <v>0</v>
      </c>
      <c r="BX906" t="s">
        <v>0</v>
      </c>
      <c r="BY906" t="s">
        <v>0</v>
      </c>
      <c r="BZ906" t="s">
        <v>0</v>
      </c>
      <c r="CA906" t="s">
        <v>0</v>
      </c>
      <c r="CB906" t="s">
        <v>0</v>
      </c>
    </row>
    <row r="907" spans="1:80" ht="13.95" customHeight="1" x14ac:dyDescent="0.25">
      <c r="A907" t="s">
        <v>463</v>
      </c>
      <c r="B907" s="2">
        <v>45918</v>
      </c>
      <c r="C907" s="2">
        <v>45918</v>
      </c>
      <c r="D907" s="2">
        <v>45948</v>
      </c>
      <c r="E907" t="s">
        <v>2</v>
      </c>
      <c r="F907" t="s">
        <v>3</v>
      </c>
      <c r="G907" t="s">
        <v>0</v>
      </c>
      <c r="H907" t="s">
        <v>4</v>
      </c>
      <c r="I907" t="s">
        <v>458</v>
      </c>
      <c r="J907" t="s">
        <v>6</v>
      </c>
      <c r="K907" t="s">
        <v>193</v>
      </c>
      <c r="L907" t="s">
        <v>43</v>
      </c>
      <c r="M907" t="s">
        <v>44</v>
      </c>
      <c r="N907" t="s">
        <v>10</v>
      </c>
      <c r="O907" t="s">
        <v>0</v>
      </c>
      <c r="P907" t="s">
        <v>11</v>
      </c>
      <c r="Q907" s="5">
        <v>25</v>
      </c>
      <c r="R907" s="4">
        <v>46260</v>
      </c>
      <c r="S907" s="5">
        <v>1</v>
      </c>
      <c r="T907" s="4">
        <v>1156500</v>
      </c>
      <c r="U907" s="5">
        <v>0</v>
      </c>
      <c r="V907" s="4">
        <v>0</v>
      </c>
      <c r="W907" s="5">
        <v>0</v>
      </c>
      <c r="X907" s="4">
        <v>0</v>
      </c>
      <c r="Y907" s="4">
        <f t="shared" si="28"/>
        <v>1156500</v>
      </c>
      <c r="Z907" s="6" t="s">
        <v>0</v>
      </c>
      <c r="AA907" t="s">
        <v>2</v>
      </c>
      <c r="AB907" t="s">
        <v>103</v>
      </c>
      <c r="AC907">
        <f>_xlfn.XLOOKUP(AB907,'[1]GST Codes'!$A:$A,'[1]GST Codes'!$C:$C,0,0)</f>
        <v>18</v>
      </c>
      <c r="AD907">
        <f t="shared" si="29"/>
        <v>1364670</v>
      </c>
      <c r="AE907" t="s">
        <v>13</v>
      </c>
      <c r="AF907" t="s">
        <v>0</v>
      </c>
      <c r="AG907" t="s">
        <v>14</v>
      </c>
      <c r="AH907" t="s">
        <v>15</v>
      </c>
      <c r="AI907" t="s">
        <v>85</v>
      </c>
      <c r="AJ907" t="s">
        <v>17</v>
      </c>
      <c r="AK907" t="s">
        <v>18</v>
      </c>
      <c r="AL907" t="s">
        <v>19</v>
      </c>
      <c r="AM907" t="s">
        <v>459</v>
      </c>
      <c r="AN907" t="s">
        <v>0</v>
      </c>
      <c r="AO907" t="s">
        <v>0</v>
      </c>
      <c r="AP907" t="s">
        <v>0</v>
      </c>
      <c r="AQ907" s="5">
        <v>25</v>
      </c>
      <c r="AR907" t="s">
        <v>11</v>
      </c>
      <c r="AS907" t="s">
        <v>0</v>
      </c>
      <c r="AT907" t="s">
        <v>17</v>
      </c>
      <c r="AU907" s="4">
        <v>0</v>
      </c>
      <c r="AV907" s="4">
        <v>0</v>
      </c>
      <c r="AW907" s="4">
        <v>0</v>
      </c>
      <c r="AX907" s="4">
        <v>0</v>
      </c>
      <c r="AY907" s="5">
        <v>0</v>
      </c>
      <c r="AZ907" s="5">
        <v>0</v>
      </c>
      <c r="BA907" s="5">
        <v>0</v>
      </c>
      <c r="BB907" s="2"/>
      <c r="BC907" t="s">
        <v>0</v>
      </c>
      <c r="BD907" s="5">
        <v>1</v>
      </c>
      <c r="BE907" t="s">
        <v>0</v>
      </c>
      <c r="BF907" t="s">
        <v>466</v>
      </c>
      <c r="BG907" t="s">
        <v>17</v>
      </c>
      <c r="BH907" t="s">
        <v>0</v>
      </c>
      <c r="BI907" t="s">
        <v>11</v>
      </c>
      <c r="BJ907" t="s">
        <v>0</v>
      </c>
      <c r="BK907" t="s">
        <v>0</v>
      </c>
      <c r="BL907" s="5">
        <v>0</v>
      </c>
      <c r="BM907" t="s">
        <v>0</v>
      </c>
      <c r="BN907" t="s">
        <v>0</v>
      </c>
      <c r="BO907" t="s">
        <v>0</v>
      </c>
      <c r="BP907" t="s">
        <v>17</v>
      </c>
      <c r="BQ907" t="s">
        <v>0</v>
      </c>
      <c r="BR907" t="s">
        <v>17</v>
      </c>
      <c r="BS907" t="s">
        <v>17</v>
      </c>
      <c r="BT907" t="s">
        <v>0</v>
      </c>
      <c r="BU907" t="s">
        <v>0</v>
      </c>
      <c r="BV907" t="s">
        <v>0</v>
      </c>
      <c r="BW907" t="s">
        <v>0</v>
      </c>
      <c r="BX907" t="s">
        <v>0</v>
      </c>
      <c r="BY907" t="s">
        <v>0</v>
      </c>
      <c r="BZ907" t="s">
        <v>0</v>
      </c>
      <c r="CA907" t="s">
        <v>0</v>
      </c>
      <c r="CB907" t="s">
        <v>0</v>
      </c>
    </row>
    <row r="908" spans="1:80" ht="13.95" customHeight="1" x14ac:dyDescent="0.25">
      <c r="A908" t="s">
        <v>463</v>
      </c>
      <c r="B908" s="2">
        <v>45918</v>
      </c>
      <c r="C908" s="2">
        <v>45918</v>
      </c>
      <c r="D908" s="2">
        <v>45948</v>
      </c>
      <c r="E908" t="s">
        <v>2</v>
      </c>
      <c r="F908" t="s">
        <v>3</v>
      </c>
      <c r="G908" t="s">
        <v>0</v>
      </c>
      <c r="H908" t="s">
        <v>4</v>
      </c>
      <c r="I908" t="s">
        <v>458</v>
      </c>
      <c r="J908" t="s">
        <v>6</v>
      </c>
      <c r="K908" t="s">
        <v>197</v>
      </c>
      <c r="L908" t="s">
        <v>43</v>
      </c>
      <c r="M908" t="s">
        <v>44</v>
      </c>
      <c r="N908" t="s">
        <v>10</v>
      </c>
      <c r="O908" t="s">
        <v>0</v>
      </c>
      <c r="P908" t="s">
        <v>11</v>
      </c>
      <c r="Q908" s="3">
        <v>23.75</v>
      </c>
      <c r="R908" s="4">
        <v>46260</v>
      </c>
      <c r="S908" s="5">
        <v>1</v>
      </c>
      <c r="T908" s="4">
        <v>1098675</v>
      </c>
      <c r="U908" s="5">
        <v>0</v>
      </c>
      <c r="V908" s="4">
        <v>0</v>
      </c>
      <c r="W908" s="5">
        <v>0</v>
      </c>
      <c r="X908" s="4">
        <v>0</v>
      </c>
      <c r="Y908" s="4">
        <f t="shared" si="28"/>
        <v>1098675</v>
      </c>
      <c r="Z908" s="6" t="s">
        <v>0</v>
      </c>
      <c r="AA908" t="s">
        <v>2</v>
      </c>
      <c r="AB908" t="s">
        <v>103</v>
      </c>
      <c r="AC908">
        <f>_xlfn.XLOOKUP(AB908,'[1]GST Codes'!$A:$A,'[1]GST Codes'!$C:$C,0,0)</f>
        <v>18</v>
      </c>
      <c r="AD908">
        <f t="shared" si="29"/>
        <v>1296436.5</v>
      </c>
      <c r="AE908" t="s">
        <v>13</v>
      </c>
      <c r="AF908" t="s">
        <v>0</v>
      </c>
      <c r="AG908" t="s">
        <v>14</v>
      </c>
      <c r="AH908" t="s">
        <v>15</v>
      </c>
      <c r="AI908" t="s">
        <v>85</v>
      </c>
      <c r="AJ908" t="s">
        <v>17</v>
      </c>
      <c r="AK908" t="s">
        <v>18</v>
      </c>
      <c r="AL908" t="s">
        <v>19</v>
      </c>
      <c r="AM908" t="s">
        <v>459</v>
      </c>
      <c r="AN908" t="s">
        <v>0</v>
      </c>
      <c r="AO908" t="s">
        <v>0</v>
      </c>
      <c r="AP908" t="s">
        <v>0</v>
      </c>
      <c r="AQ908" s="3">
        <v>23.75</v>
      </c>
      <c r="AR908" t="s">
        <v>11</v>
      </c>
      <c r="AS908" t="s">
        <v>0</v>
      </c>
      <c r="AT908" t="s">
        <v>17</v>
      </c>
      <c r="AU908" s="4">
        <v>0</v>
      </c>
      <c r="AV908" s="4">
        <v>0</v>
      </c>
      <c r="AW908" s="4">
        <v>0</v>
      </c>
      <c r="AX908" s="4">
        <v>0</v>
      </c>
      <c r="AY908" s="5">
        <v>0</v>
      </c>
      <c r="AZ908" s="5">
        <v>0</v>
      </c>
      <c r="BA908" s="5">
        <v>0</v>
      </c>
      <c r="BB908" s="2"/>
      <c r="BC908" t="s">
        <v>0</v>
      </c>
      <c r="BD908" s="5">
        <v>1</v>
      </c>
      <c r="BE908" t="s">
        <v>0</v>
      </c>
      <c r="BF908" t="s">
        <v>466</v>
      </c>
      <c r="BG908" t="s">
        <v>17</v>
      </c>
      <c r="BH908" t="s">
        <v>0</v>
      </c>
      <c r="BI908" t="s">
        <v>11</v>
      </c>
      <c r="BJ908" t="s">
        <v>0</v>
      </c>
      <c r="BK908" t="s">
        <v>0</v>
      </c>
      <c r="BL908" s="5">
        <v>0</v>
      </c>
      <c r="BM908" t="s">
        <v>0</v>
      </c>
      <c r="BN908" t="s">
        <v>0</v>
      </c>
      <c r="BO908" t="s">
        <v>0</v>
      </c>
      <c r="BP908" t="s">
        <v>17</v>
      </c>
      <c r="BQ908" t="s">
        <v>0</v>
      </c>
      <c r="BR908" t="s">
        <v>17</v>
      </c>
      <c r="BS908" t="s">
        <v>17</v>
      </c>
      <c r="BT908" t="s">
        <v>0</v>
      </c>
      <c r="BU908" t="s">
        <v>0</v>
      </c>
      <c r="BV908" t="s">
        <v>0</v>
      </c>
      <c r="BW908" t="s">
        <v>0</v>
      </c>
      <c r="BX908" t="s">
        <v>0</v>
      </c>
      <c r="BY908" t="s">
        <v>0</v>
      </c>
      <c r="BZ908" t="s">
        <v>0</v>
      </c>
      <c r="CA908" t="s">
        <v>0</v>
      </c>
      <c r="CB908" t="s">
        <v>0</v>
      </c>
    </row>
    <row r="909" spans="1:80" ht="13.95" customHeight="1" x14ac:dyDescent="0.25">
      <c r="A909" t="s">
        <v>463</v>
      </c>
      <c r="B909" s="2">
        <v>45918</v>
      </c>
      <c r="C909" s="2">
        <v>45918</v>
      </c>
      <c r="D909" s="2">
        <v>45948</v>
      </c>
      <c r="E909" t="s">
        <v>2</v>
      </c>
      <c r="F909" t="s">
        <v>3</v>
      </c>
      <c r="G909" t="s">
        <v>0</v>
      </c>
      <c r="H909" t="s">
        <v>4</v>
      </c>
      <c r="I909" t="s">
        <v>458</v>
      </c>
      <c r="J909" t="s">
        <v>6</v>
      </c>
      <c r="K909" t="s">
        <v>201</v>
      </c>
      <c r="L909" t="s">
        <v>43</v>
      </c>
      <c r="M909" t="s">
        <v>44</v>
      </c>
      <c r="N909" t="s">
        <v>10</v>
      </c>
      <c r="O909" t="s">
        <v>0</v>
      </c>
      <c r="P909" t="s">
        <v>11</v>
      </c>
      <c r="Q909" s="5">
        <v>25</v>
      </c>
      <c r="R909" s="4">
        <v>46260</v>
      </c>
      <c r="S909" s="5">
        <v>1</v>
      </c>
      <c r="T909" s="4">
        <v>1156500</v>
      </c>
      <c r="U909" s="5">
        <v>0</v>
      </c>
      <c r="V909" s="4">
        <v>0</v>
      </c>
      <c r="W909" s="5">
        <v>0</v>
      </c>
      <c r="X909" s="4">
        <v>0</v>
      </c>
      <c r="Y909" s="4">
        <f t="shared" si="28"/>
        <v>1156500</v>
      </c>
      <c r="Z909" s="6" t="s">
        <v>0</v>
      </c>
      <c r="AA909" t="s">
        <v>2</v>
      </c>
      <c r="AB909" t="s">
        <v>103</v>
      </c>
      <c r="AC909">
        <f>_xlfn.XLOOKUP(AB909,'[1]GST Codes'!$A:$A,'[1]GST Codes'!$C:$C,0,0)</f>
        <v>18</v>
      </c>
      <c r="AD909">
        <f t="shared" si="29"/>
        <v>1364670</v>
      </c>
      <c r="AE909" t="s">
        <v>13</v>
      </c>
      <c r="AF909" t="s">
        <v>0</v>
      </c>
      <c r="AG909" t="s">
        <v>14</v>
      </c>
      <c r="AH909" t="s">
        <v>15</v>
      </c>
      <c r="AI909" t="s">
        <v>85</v>
      </c>
      <c r="AJ909" t="s">
        <v>17</v>
      </c>
      <c r="AK909" t="s">
        <v>18</v>
      </c>
      <c r="AL909" t="s">
        <v>19</v>
      </c>
      <c r="AM909" t="s">
        <v>459</v>
      </c>
      <c r="AN909" t="s">
        <v>0</v>
      </c>
      <c r="AO909" t="s">
        <v>0</v>
      </c>
      <c r="AP909" t="s">
        <v>0</v>
      </c>
      <c r="AQ909" s="5">
        <v>25</v>
      </c>
      <c r="AR909" t="s">
        <v>11</v>
      </c>
      <c r="AS909" t="s">
        <v>0</v>
      </c>
      <c r="AT909" t="s">
        <v>17</v>
      </c>
      <c r="AU909" s="4">
        <v>0</v>
      </c>
      <c r="AV909" s="4">
        <v>0</v>
      </c>
      <c r="AW909" s="4">
        <v>0</v>
      </c>
      <c r="AX909" s="4">
        <v>0</v>
      </c>
      <c r="AY909" s="5">
        <v>0</v>
      </c>
      <c r="AZ909" s="5">
        <v>0</v>
      </c>
      <c r="BA909" s="5">
        <v>0</v>
      </c>
      <c r="BB909" s="2"/>
      <c r="BC909" t="s">
        <v>0</v>
      </c>
      <c r="BD909" s="5">
        <v>1</v>
      </c>
      <c r="BE909" t="s">
        <v>0</v>
      </c>
      <c r="BF909" t="s">
        <v>466</v>
      </c>
      <c r="BG909" t="s">
        <v>17</v>
      </c>
      <c r="BH909" t="s">
        <v>0</v>
      </c>
      <c r="BI909" t="s">
        <v>11</v>
      </c>
      <c r="BJ909" t="s">
        <v>0</v>
      </c>
      <c r="BK909" t="s">
        <v>0</v>
      </c>
      <c r="BL909" s="5">
        <v>0</v>
      </c>
      <c r="BM909" t="s">
        <v>0</v>
      </c>
      <c r="BN909" t="s">
        <v>0</v>
      </c>
      <c r="BO909" t="s">
        <v>0</v>
      </c>
      <c r="BP909" t="s">
        <v>17</v>
      </c>
      <c r="BQ909" t="s">
        <v>0</v>
      </c>
      <c r="BR909" t="s">
        <v>17</v>
      </c>
      <c r="BS909" t="s">
        <v>17</v>
      </c>
      <c r="BT909" t="s">
        <v>0</v>
      </c>
      <c r="BU909" t="s">
        <v>0</v>
      </c>
      <c r="BV909" t="s">
        <v>0</v>
      </c>
      <c r="BW909" t="s">
        <v>0</v>
      </c>
      <c r="BX909" t="s">
        <v>0</v>
      </c>
      <c r="BY909" t="s">
        <v>0</v>
      </c>
      <c r="BZ909" t="s">
        <v>0</v>
      </c>
      <c r="CA909" t="s">
        <v>0</v>
      </c>
      <c r="CB909" t="s">
        <v>0</v>
      </c>
    </row>
    <row r="910" spans="1:80" ht="13.95" customHeight="1" x14ac:dyDescent="0.25">
      <c r="A910" t="s">
        <v>463</v>
      </c>
      <c r="B910" s="2">
        <v>45918</v>
      </c>
      <c r="C910" s="2">
        <v>45918</v>
      </c>
      <c r="D910" s="2">
        <v>45948</v>
      </c>
      <c r="E910" t="s">
        <v>2</v>
      </c>
      <c r="F910" t="s">
        <v>3</v>
      </c>
      <c r="G910" t="s">
        <v>0</v>
      </c>
      <c r="H910" t="s">
        <v>4</v>
      </c>
      <c r="I910" t="s">
        <v>458</v>
      </c>
      <c r="J910" t="s">
        <v>6</v>
      </c>
      <c r="K910" t="s">
        <v>205</v>
      </c>
      <c r="L910" t="s">
        <v>354</v>
      </c>
      <c r="M910" t="s">
        <v>338</v>
      </c>
      <c r="N910" t="s">
        <v>10</v>
      </c>
      <c r="O910" t="s">
        <v>0</v>
      </c>
      <c r="P910" t="s">
        <v>11</v>
      </c>
      <c r="Q910" s="5">
        <v>13</v>
      </c>
      <c r="R910" s="4">
        <v>46260</v>
      </c>
      <c r="S910" s="5">
        <v>1</v>
      </c>
      <c r="T910" s="4">
        <v>601380</v>
      </c>
      <c r="U910" s="5">
        <v>0</v>
      </c>
      <c r="V910" s="4">
        <v>0</v>
      </c>
      <c r="W910" s="5">
        <v>0</v>
      </c>
      <c r="X910" s="4">
        <v>0</v>
      </c>
      <c r="Y910" s="4">
        <f t="shared" si="28"/>
        <v>601380</v>
      </c>
      <c r="Z910" s="6" t="s">
        <v>0</v>
      </c>
      <c r="AA910" t="s">
        <v>2</v>
      </c>
      <c r="AB910" t="s">
        <v>103</v>
      </c>
      <c r="AC910">
        <f>_xlfn.XLOOKUP(AB910,'[1]GST Codes'!$A:$A,'[1]GST Codes'!$C:$C,0,0)</f>
        <v>18</v>
      </c>
      <c r="AD910">
        <f t="shared" si="29"/>
        <v>709628.4</v>
      </c>
      <c r="AE910" t="s">
        <v>13</v>
      </c>
      <c r="AF910" t="s">
        <v>0</v>
      </c>
      <c r="AG910" t="s">
        <v>14</v>
      </c>
      <c r="AH910" t="s">
        <v>15</v>
      </c>
      <c r="AI910" t="s">
        <v>85</v>
      </c>
      <c r="AJ910" t="s">
        <v>17</v>
      </c>
      <c r="AK910" t="s">
        <v>18</v>
      </c>
      <c r="AL910" t="s">
        <v>19</v>
      </c>
      <c r="AM910" t="s">
        <v>459</v>
      </c>
      <c r="AN910" t="s">
        <v>0</v>
      </c>
      <c r="AO910" t="s">
        <v>0</v>
      </c>
      <c r="AP910" t="s">
        <v>0</v>
      </c>
      <c r="AQ910" s="5">
        <v>13</v>
      </c>
      <c r="AR910" t="s">
        <v>11</v>
      </c>
      <c r="AS910" t="s">
        <v>0</v>
      </c>
      <c r="AT910" t="s">
        <v>17</v>
      </c>
      <c r="AU910" s="4">
        <v>0</v>
      </c>
      <c r="AV910" s="4">
        <v>0</v>
      </c>
      <c r="AW910" s="4">
        <v>0</v>
      </c>
      <c r="AX910" s="4">
        <v>0</v>
      </c>
      <c r="AY910" s="5">
        <v>0</v>
      </c>
      <c r="AZ910" s="5">
        <v>0</v>
      </c>
      <c r="BA910" s="5">
        <v>0</v>
      </c>
      <c r="BB910" s="2"/>
      <c r="BC910" t="s">
        <v>0</v>
      </c>
      <c r="BD910" s="5">
        <v>1</v>
      </c>
      <c r="BE910" t="s">
        <v>0</v>
      </c>
      <c r="BF910" t="s">
        <v>467</v>
      </c>
      <c r="BG910" t="s">
        <v>17</v>
      </c>
      <c r="BH910" t="s">
        <v>0</v>
      </c>
      <c r="BI910" t="s">
        <v>11</v>
      </c>
      <c r="BJ910" t="s">
        <v>0</v>
      </c>
      <c r="BK910" t="s">
        <v>0</v>
      </c>
      <c r="BL910" s="5">
        <v>0</v>
      </c>
      <c r="BM910" t="s">
        <v>0</v>
      </c>
      <c r="BN910" t="s">
        <v>0</v>
      </c>
      <c r="BO910" t="s">
        <v>0</v>
      </c>
      <c r="BP910" t="s">
        <v>17</v>
      </c>
      <c r="BQ910" t="s">
        <v>0</v>
      </c>
      <c r="BR910" t="s">
        <v>17</v>
      </c>
      <c r="BS910" t="s">
        <v>17</v>
      </c>
      <c r="BT910" t="s">
        <v>0</v>
      </c>
      <c r="BU910" t="s">
        <v>0</v>
      </c>
      <c r="BV910" t="s">
        <v>0</v>
      </c>
      <c r="BW910" t="s">
        <v>0</v>
      </c>
      <c r="BX910" t="s">
        <v>0</v>
      </c>
      <c r="BY910" t="s">
        <v>0</v>
      </c>
      <c r="BZ910" t="s">
        <v>0</v>
      </c>
      <c r="CA910" t="s">
        <v>0</v>
      </c>
      <c r="CB910" t="s">
        <v>0</v>
      </c>
    </row>
    <row r="911" spans="1:80" ht="13.95" customHeight="1" x14ac:dyDescent="0.25">
      <c r="A911" t="s">
        <v>463</v>
      </c>
      <c r="B911" s="2">
        <v>45918</v>
      </c>
      <c r="C911" s="2">
        <v>45918</v>
      </c>
      <c r="D911" s="2">
        <v>45948</v>
      </c>
      <c r="E911" t="s">
        <v>2</v>
      </c>
      <c r="F911" t="s">
        <v>3</v>
      </c>
      <c r="G911" t="s">
        <v>0</v>
      </c>
      <c r="H911" t="s">
        <v>4</v>
      </c>
      <c r="I911" t="s">
        <v>458</v>
      </c>
      <c r="J911" t="s">
        <v>6</v>
      </c>
      <c r="K911" t="s">
        <v>209</v>
      </c>
      <c r="L911" t="s">
        <v>354</v>
      </c>
      <c r="M911" t="s">
        <v>338</v>
      </c>
      <c r="N911" t="s">
        <v>10</v>
      </c>
      <c r="O911" t="s">
        <v>0</v>
      </c>
      <c r="P911" t="s">
        <v>11</v>
      </c>
      <c r="Q911" s="5">
        <v>13</v>
      </c>
      <c r="R911" s="4">
        <v>46260</v>
      </c>
      <c r="S911" s="5">
        <v>1</v>
      </c>
      <c r="T911" s="4">
        <v>601380</v>
      </c>
      <c r="U911" s="5">
        <v>0</v>
      </c>
      <c r="V911" s="4">
        <v>0</v>
      </c>
      <c r="W911" s="5">
        <v>0</v>
      </c>
      <c r="X911" s="4">
        <v>0</v>
      </c>
      <c r="Y911" s="4">
        <f t="shared" si="28"/>
        <v>601380</v>
      </c>
      <c r="Z911" s="6" t="s">
        <v>0</v>
      </c>
      <c r="AA911" t="s">
        <v>2</v>
      </c>
      <c r="AB911" t="s">
        <v>103</v>
      </c>
      <c r="AC911">
        <f>_xlfn.XLOOKUP(AB911,'[1]GST Codes'!$A:$A,'[1]GST Codes'!$C:$C,0,0)</f>
        <v>18</v>
      </c>
      <c r="AD911">
        <f t="shared" si="29"/>
        <v>709628.4</v>
      </c>
      <c r="AE911" t="s">
        <v>13</v>
      </c>
      <c r="AF911" t="s">
        <v>0</v>
      </c>
      <c r="AG911" t="s">
        <v>14</v>
      </c>
      <c r="AH911" t="s">
        <v>15</v>
      </c>
      <c r="AI911" t="s">
        <v>85</v>
      </c>
      <c r="AJ911" t="s">
        <v>17</v>
      </c>
      <c r="AK911" t="s">
        <v>18</v>
      </c>
      <c r="AL911" t="s">
        <v>19</v>
      </c>
      <c r="AM911" t="s">
        <v>459</v>
      </c>
      <c r="AN911" t="s">
        <v>0</v>
      </c>
      <c r="AO911" t="s">
        <v>0</v>
      </c>
      <c r="AP911" t="s">
        <v>0</v>
      </c>
      <c r="AQ911" s="5">
        <v>13</v>
      </c>
      <c r="AR911" t="s">
        <v>11</v>
      </c>
      <c r="AS911" t="s">
        <v>0</v>
      </c>
      <c r="AT911" t="s">
        <v>17</v>
      </c>
      <c r="AU911" s="4">
        <v>0</v>
      </c>
      <c r="AV911" s="4">
        <v>0</v>
      </c>
      <c r="AW911" s="4">
        <v>0</v>
      </c>
      <c r="AX911" s="4">
        <v>0</v>
      </c>
      <c r="AY911" s="5">
        <v>0</v>
      </c>
      <c r="AZ911" s="5">
        <v>0</v>
      </c>
      <c r="BA911" s="5">
        <v>0</v>
      </c>
      <c r="BB911" s="2"/>
      <c r="BC911" t="s">
        <v>0</v>
      </c>
      <c r="BD911" s="5">
        <v>1</v>
      </c>
      <c r="BE911" t="s">
        <v>0</v>
      </c>
      <c r="BF911" t="s">
        <v>467</v>
      </c>
      <c r="BG911" t="s">
        <v>17</v>
      </c>
      <c r="BH911" t="s">
        <v>0</v>
      </c>
      <c r="BI911" t="s">
        <v>11</v>
      </c>
      <c r="BJ911" t="s">
        <v>0</v>
      </c>
      <c r="BK911" t="s">
        <v>0</v>
      </c>
      <c r="BL911" s="5">
        <v>0</v>
      </c>
      <c r="BM911" t="s">
        <v>0</v>
      </c>
      <c r="BN911" t="s">
        <v>0</v>
      </c>
      <c r="BO911" t="s">
        <v>0</v>
      </c>
      <c r="BP911" t="s">
        <v>17</v>
      </c>
      <c r="BQ911" t="s">
        <v>0</v>
      </c>
      <c r="BR911" t="s">
        <v>17</v>
      </c>
      <c r="BS911" t="s">
        <v>17</v>
      </c>
      <c r="BT911" t="s">
        <v>0</v>
      </c>
      <c r="BU911" t="s">
        <v>0</v>
      </c>
      <c r="BV911" t="s">
        <v>0</v>
      </c>
      <c r="BW911" t="s">
        <v>0</v>
      </c>
      <c r="BX911" t="s">
        <v>0</v>
      </c>
      <c r="BY911" t="s">
        <v>0</v>
      </c>
      <c r="BZ911" t="s">
        <v>0</v>
      </c>
      <c r="CA911" t="s">
        <v>0</v>
      </c>
      <c r="CB911" t="s">
        <v>0</v>
      </c>
    </row>
    <row r="912" spans="1:80" ht="13.95" customHeight="1" x14ac:dyDescent="0.25">
      <c r="A912" t="s">
        <v>463</v>
      </c>
      <c r="B912" s="2">
        <v>45918</v>
      </c>
      <c r="C912" s="2">
        <v>45918</v>
      </c>
      <c r="D912" s="2">
        <v>45948</v>
      </c>
      <c r="E912" t="s">
        <v>2</v>
      </c>
      <c r="F912" t="s">
        <v>3</v>
      </c>
      <c r="G912" t="s">
        <v>0</v>
      </c>
      <c r="H912" t="s">
        <v>4</v>
      </c>
      <c r="I912" t="s">
        <v>458</v>
      </c>
      <c r="J912" t="s">
        <v>6</v>
      </c>
      <c r="K912" t="s">
        <v>213</v>
      </c>
      <c r="L912" t="s">
        <v>354</v>
      </c>
      <c r="M912" t="s">
        <v>338</v>
      </c>
      <c r="N912" t="s">
        <v>10</v>
      </c>
      <c r="O912" t="s">
        <v>0</v>
      </c>
      <c r="P912" t="s">
        <v>11</v>
      </c>
      <c r="Q912" s="5">
        <v>13</v>
      </c>
      <c r="R912" s="4">
        <v>46260</v>
      </c>
      <c r="S912" s="5">
        <v>1</v>
      </c>
      <c r="T912" s="4">
        <v>601380</v>
      </c>
      <c r="U912" s="5">
        <v>0</v>
      </c>
      <c r="V912" s="4">
        <v>0</v>
      </c>
      <c r="W912" s="5">
        <v>0</v>
      </c>
      <c r="X912" s="4">
        <v>0</v>
      </c>
      <c r="Y912" s="4">
        <f t="shared" si="28"/>
        <v>601380</v>
      </c>
      <c r="Z912" s="6" t="s">
        <v>0</v>
      </c>
      <c r="AA912" t="s">
        <v>2</v>
      </c>
      <c r="AB912" t="s">
        <v>103</v>
      </c>
      <c r="AC912">
        <f>_xlfn.XLOOKUP(AB912,'[1]GST Codes'!$A:$A,'[1]GST Codes'!$C:$C,0,0)</f>
        <v>18</v>
      </c>
      <c r="AD912">
        <f t="shared" si="29"/>
        <v>709628.4</v>
      </c>
      <c r="AE912" t="s">
        <v>13</v>
      </c>
      <c r="AF912" t="s">
        <v>0</v>
      </c>
      <c r="AG912" t="s">
        <v>14</v>
      </c>
      <c r="AH912" t="s">
        <v>15</v>
      </c>
      <c r="AI912" t="s">
        <v>85</v>
      </c>
      <c r="AJ912" t="s">
        <v>17</v>
      </c>
      <c r="AK912" t="s">
        <v>18</v>
      </c>
      <c r="AL912" t="s">
        <v>19</v>
      </c>
      <c r="AM912" t="s">
        <v>459</v>
      </c>
      <c r="AN912" t="s">
        <v>0</v>
      </c>
      <c r="AO912" t="s">
        <v>0</v>
      </c>
      <c r="AP912" t="s">
        <v>0</v>
      </c>
      <c r="AQ912" s="5">
        <v>13</v>
      </c>
      <c r="AR912" t="s">
        <v>11</v>
      </c>
      <c r="AS912" t="s">
        <v>0</v>
      </c>
      <c r="AT912" t="s">
        <v>17</v>
      </c>
      <c r="AU912" s="4">
        <v>0</v>
      </c>
      <c r="AV912" s="4">
        <v>0</v>
      </c>
      <c r="AW912" s="4">
        <v>0</v>
      </c>
      <c r="AX912" s="4">
        <v>0</v>
      </c>
      <c r="AY912" s="5">
        <v>0</v>
      </c>
      <c r="AZ912" s="5">
        <v>0</v>
      </c>
      <c r="BA912" s="5">
        <v>0</v>
      </c>
      <c r="BB912" s="2"/>
      <c r="BC912" t="s">
        <v>0</v>
      </c>
      <c r="BD912" s="5">
        <v>1</v>
      </c>
      <c r="BE912" t="s">
        <v>0</v>
      </c>
      <c r="BF912" t="s">
        <v>467</v>
      </c>
      <c r="BG912" t="s">
        <v>17</v>
      </c>
      <c r="BH912" t="s">
        <v>0</v>
      </c>
      <c r="BI912" t="s">
        <v>11</v>
      </c>
      <c r="BJ912" t="s">
        <v>0</v>
      </c>
      <c r="BK912" t="s">
        <v>0</v>
      </c>
      <c r="BL912" s="5">
        <v>0</v>
      </c>
      <c r="BM912" t="s">
        <v>0</v>
      </c>
      <c r="BN912" t="s">
        <v>0</v>
      </c>
      <c r="BO912" t="s">
        <v>0</v>
      </c>
      <c r="BP912" t="s">
        <v>17</v>
      </c>
      <c r="BQ912" t="s">
        <v>0</v>
      </c>
      <c r="BR912" t="s">
        <v>17</v>
      </c>
      <c r="BS912" t="s">
        <v>17</v>
      </c>
      <c r="BT912" t="s">
        <v>0</v>
      </c>
      <c r="BU912" t="s">
        <v>0</v>
      </c>
      <c r="BV912" t="s">
        <v>0</v>
      </c>
      <c r="BW912" t="s">
        <v>0</v>
      </c>
      <c r="BX912" t="s">
        <v>0</v>
      </c>
      <c r="BY912" t="s">
        <v>0</v>
      </c>
      <c r="BZ912" t="s">
        <v>0</v>
      </c>
      <c r="CA912" t="s">
        <v>0</v>
      </c>
      <c r="CB912" t="s">
        <v>0</v>
      </c>
    </row>
    <row r="913" spans="1:80" ht="13.95" customHeight="1" x14ac:dyDescent="0.25">
      <c r="A913" t="s">
        <v>463</v>
      </c>
      <c r="B913" s="2">
        <v>45918</v>
      </c>
      <c r="C913" s="2">
        <v>45918</v>
      </c>
      <c r="D913" s="2">
        <v>45948</v>
      </c>
      <c r="E913" t="s">
        <v>2</v>
      </c>
      <c r="F913" t="s">
        <v>3</v>
      </c>
      <c r="G913" t="s">
        <v>0</v>
      </c>
      <c r="H913" t="s">
        <v>4</v>
      </c>
      <c r="I913" t="s">
        <v>458</v>
      </c>
      <c r="J913" t="s">
        <v>6</v>
      </c>
      <c r="K913" t="s">
        <v>215</v>
      </c>
      <c r="L913" t="s">
        <v>354</v>
      </c>
      <c r="M913" t="s">
        <v>338</v>
      </c>
      <c r="N913" t="s">
        <v>10</v>
      </c>
      <c r="O913" t="s">
        <v>0</v>
      </c>
      <c r="P913" t="s">
        <v>11</v>
      </c>
      <c r="Q913" s="5">
        <v>13</v>
      </c>
      <c r="R913" s="4">
        <v>46260</v>
      </c>
      <c r="S913" s="5">
        <v>1</v>
      </c>
      <c r="T913" s="4">
        <v>601380</v>
      </c>
      <c r="U913" s="5">
        <v>0</v>
      </c>
      <c r="V913" s="4">
        <v>0</v>
      </c>
      <c r="W913" s="5">
        <v>0</v>
      </c>
      <c r="X913" s="4">
        <v>0</v>
      </c>
      <c r="Y913" s="4">
        <f t="shared" si="28"/>
        <v>601380</v>
      </c>
      <c r="Z913" s="6" t="s">
        <v>0</v>
      </c>
      <c r="AA913" t="s">
        <v>2</v>
      </c>
      <c r="AB913" t="s">
        <v>103</v>
      </c>
      <c r="AC913">
        <f>_xlfn.XLOOKUP(AB913,'[1]GST Codes'!$A:$A,'[1]GST Codes'!$C:$C,0,0)</f>
        <v>18</v>
      </c>
      <c r="AD913">
        <f t="shared" si="29"/>
        <v>709628.4</v>
      </c>
      <c r="AE913" t="s">
        <v>13</v>
      </c>
      <c r="AF913" t="s">
        <v>0</v>
      </c>
      <c r="AG913" t="s">
        <v>14</v>
      </c>
      <c r="AH913" t="s">
        <v>15</v>
      </c>
      <c r="AI913" t="s">
        <v>85</v>
      </c>
      <c r="AJ913" t="s">
        <v>17</v>
      </c>
      <c r="AK913" t="s">
        <v>18</v>
      </c>
      <c r="AL913" t="s">
        <v>19</v>
      </c>
      <c r="AM913" t="s">
        <v>459</v>
      </c>
      <c r="AN913" t="s">
        <v>0</v>
      </c>
      <c r="AO913" t="s">
        <v>0</v>
      </c>
      <c r="AP913" t="s">
        <v>0</v>
      </c>
      <c r="AQ913" s="5">
        <v>13</v>
      </c>
      <c r="AR913" t="s">
        <v>11</v>
      </c>
      <c r="AS913" t="s">
        <v>0</v>
      </c>
      <c r="AT913" t="s">
        <v>17</v>
      </c>
      <c r="AU913" s="4">
        <v>0</v>
      </c>
      <c r="AV913" s="4">
        <v>0</v>
      </c>
      <c r="AW913" s="4">
        <v>0</v>
      </c>
      <c r="AX913" s="4">
        <v>0</v>
      </c>
      <c r="AY913" s="5">
        <v>0</v>
      </c>
      <c r="AZ913" s="5">
        <v>0</v>
      </c>
      <c r="BA913" s="5">
        <v>0</v>
      </c>
      <c r="BB913" s="2"/>
      <c r="BC913" t="s">
        <v>0</v>
      </c>
      <c r="BD913" s="5">
        <v>1</v>
      </c>
      <c r="BE913" t="s">
        <v>0</v>
      </c>
      <c r="BF913" t="s">
        <v>467</v>
      </c>
      <c r="BG913" t="s">
        <v>17</v>
      </c>
      <c r="BH913" t="s">
        <v>0</v>
      </c>
      <c r="BI913" t="s">
        <v>11</v>
      </c>
      <c r="BJ913" t="s">
        <v>0</v>
      </c>
      <c r="BK913" t="s">
        <v>0</v>
      </c>
      <c r="BL913" s="5">
        <v>0</v>
      </c>
      <c r="BM913" t="s">
        <v>0</v>
      </c>
      <c r="BN913" t="s">
        <v>0</v>
      </c>
      <c r="BO913" t="s">
        <v>0</v>
      </c>
      <c r="BP913" t="s">
        <v>17</v>
      </c>
      <c r="BQ913" t="s">
        <v>0</v>
      </c>
      <c r="BR913" t="s">
        <v>17</v>
      </c>
      <c r="BS913" t="s">
        <v>17</v>
      </c>
      <c r="BT913" t="s">
        <v>0</v>
      </c>
      <c r="BU913" t="s">
        <v>0</v>
      </c>
      <c r="BV913" t="s">
        <v>0</v>
      </c>
      <c r="BW913" t="s">
        <v>0</v>
      </c>
      <c r="BX913" t="s">
        <v>0</v>
      </c>
      <c r="BY913" t="s">
        <v>0</v>
      </c>
      <c r="BZ913" t="s">
        <v>0</v>
      </c>
      <c r="CA913" t="s">
        <v>0</v>
      </c>
      <c r="CB913" t="s">
        <v>0</v>
      </c>
    </row>
    <row r="914" spans="1:80" ht="13.95" customHeight="1" x14ac:dyDescent="0.25">
      <c r="A914" t="s">
        <v>463</v>
      </c>
      <c r="B914" s="2">
        <v>45918</v>
      </c>
      <c r="C914" s="2">
        <v>45918</v>
      </c>
      <c r="D914" s="2">
        <v>45948</v>
      </c>
      <c r="E914" t="s">
        <v>2</v>
      </c>
      <c r="F914" t="s">
        <v>3</v>
      </c>
      <c r="G914" t="s">
        <v>0</v>
      </c>
      <c r="H914" t="s">
        <v>4</v>
      </c>
      <c r="I914" t="s">
        <v>458</v>
      </c>
      <c r="J914" t="s">
        <v>6</v>
      </c>
      <c r="K914" t="s">
        <v>216</v>
      </c>
      <c r="L914" t="s">
        <v>354</v>
      </c>
      <c r="M914" t="s">
        <v>338</v>
      </c>
      <c r="N914" t="s">
        <v>10</v>
      </c>
      <c r="O914" t="s">
        <v>0</v>
      </c>
      <c r="P914" t="s">
        <v>11</v>
      </c>
      <c r="Q914" s="5">
        <v>14</v>
      </c>
      <c r="R914" s="4">
        <v>46260</v>
      </c>
      <c r="S914" s="5">
        <v>1</v>
      </c>
      <c r="T914" s="4">
        <v>647640</v>
      </c>
      <c r="U914" s="5">
        <v>0</v>
      </c>
      <c r="V914" s="4">
        <v>0</v>
      </c>
      <c r="W914" s="5">
        <v>0</v>
      </c>
      <c r="X914" s="4">
        <v>0</v>
      </c>
      <c r="Y914" s="4">
        <f t="shared" si="28"/>
        <v>647640</v>
      </c>
      <c r="Z914" s="6" t="s">
        <v>0</v>
      </c>
      <c r="AA914" t="s">
        <v>2</v>
      </c>
      <c r="AB914" t="s">
        <v>103</v>
      </c>
      <c r="AC914">
        <f>_xlfn.XLOOKUP(AB914,'[1]GST Codes'!$A:$A,'[1]GST Codes'!$C:$C,0,0)</f>
        <v>18</v>
      </c>
      <c r="AD914">
        <f t="shared" si="29"/>
        <v>764215.2</v>
      </c>
      <c r="AE914" t="s">
        <v>13</v>
      </c>
      <c r="AF914" t="s">
        <v>0</v>
      </c>
      <c r="AG914" t="s">
        <v>14</v>
      </c>
      <c r="AH914" t="s">
        <v>15</v>
      </c>
      <c r="AI914" t="s">
        <v>85</v>
      </c>
      <c r="AJ914" t="s">
        <v>17</v>
      </c>
      <c r="AK914" t="s">
        <v>18</v>
      </c>
      <c r="AL914" t="s">
        <v>19</v>
      </c>
      <c r="AM914" t="s">
        <v>459</v>
      </c>
      <c r="AN914" t="s">
        <v>0</v>
      </c>
      <c r="AO914" t="s">
        <v>0</v>
      </c>
      <c r="AP914" t="s">
        <v>0</v>
      </c>
      <c r="AQ914" s="5">
        <v>14</v>
      </c>
      <c r="AR914" t="s">
        <v>11</v>
      </c>
      <c r="AS914" t="s">
        <v>0</v>
      </c>
      <c r="AT914" t="s">
        <v>17</v>
      </c>
      <c r="AU914" s="4">
        <v>0</v>
      </c>
      <c r="AV914" s="4">
        <v>0</v>
      </c>
      <c r="AW914" s="4">
        <v>0</v>
      </c>
      <c r="AX914" s="4">
        <v>0</v>
      </c>
      <c r="AY914" s="5">
        <v>0</v>
      </c>
      <c r="AZ914" s="5">
        <v>0</v>
      </c>
      <c r="BA914" s="5">
        <v>0</v>
      </c>
      <c r="BB914" s="2"/>
      <c r="BC914" t="s">
        <v>0</v>
      </c>
      <c r="BD914" s="5">
        <v>1</v>
      </c>
      <c r="BE914" t="s">
        <v>0</v>
      </c>
      <c r="BF914" t="s">
        <v>467</v>
      </c>
      <c r="BG914" t="s">
        <v>17</v>
      </c>
      <c r="BH914" t="s">
        <v>0</v>
      </c>
      <c r="BI914" t="s">
        <v>11</v>
      </c>
      <c r="BJ914" t="s">
        <v>0</v>
      </c>
      <c r="BK914" t="s">
        <v>0</v>
      </c>
      <c r="BL914" s="5">
        <v>0</v>
      </c>
      <c r="BM914" t="s">
        <v>0</v>
      </c>
      <c r="BN914" t="s">
        <v>0</v>
      </c>
      <c r="BO914" t="s">
        <v>0</v>
      </c>
      <c r="BP914" t="s">
        <v>17</v>
      </c>
      <c r="BQ914" t="s">
        <v>0</v>
      </c>
      <c r="BR914" t="s">
        <v>17</v>
      </c>
      <c r="BS914" t="s">
        <v>17</v>
      </c>
      <c r="BT914" t="s">
        <v>0</v>
      </c>
      <c r="BU914" t="s">
        <v>0</v>
      </c>
      <c r="BV914" t="s">
        <v>0</v>
      </c>
      <c r="BW914" t="s">
        <v>0</v>
      </c>
      <c r="BX914" t="s">
        <v>0</v>
      </c>
      <c r="BY914" t="s">
        <v>0</v>
      </c>
      <c r="BZ914" t="s">
        <v>0</v>
      </c>
      <c r="CA914" t="s">
        <v>0</v>
      </c>
      <c r="CB914" t="s">
        <v>0</v>
      </c>
    </row>
    <row r="915" spans="1:80" ht="13.95" customHeight="1" x14ac:dyDescent="0.25">
      <c r="A915" t="s">
        <v>463</v>
      </c>
      <c r="B915" s="2">
        <v>45918</v>
      </c>
      <c r="C915" s="2">
        <v>45918</v>
      </c>
      <c r="D915" s="2">
        <v>45948</v>
      </c>
      <c r="E915" t="s">
        <v>2</v>
      </c>
      <c r="F915" t="s">
        <v>3</v>
      </c>
      <c r="G915" t="s">
        <v>0</v>
      </c>
      <c r="H915" t="s">
        <v>4</v>
      </c>
      <c r="I915" t="s">
        <v>458</v>
      </c>
      <c r="J915" t="s">
        <v>6</v>
      </c>
      <c r="K915" t="s">
        <v>217</v>
      </c>
      <c r="L915" t="s">
        <v>354</v>
      </c>
      <c r="M915" t="s">
        <v>338</v>
      </c>
      <c r="N915" t="s">
        <v>10</v>
      </c>
      <c r="O915" t="s">
        <v>0</v>
      </c>
      <c r="P915" t="s">
        <v>11</v>
      </c>
      <c r="Q915" s="5">
        <v>14</v>
      </c>
      <c r="R915" s="4">
        <v>46260</v>
      </c>
      <c r="S915" s="5">
        <v>1</v>
      </c>
      <c r="T915" s="4">
        <v>647640</v>
      </c>
      <c r="U915" s="5">
        <v>0</v>
      </c>
      <c r="V915" s="4">
        <v>0</v>
      </c>
      <c r="W915" s="5">
        <v>0</v>
      </c>
      <c r="X915" s="4">
        <v>0</v>
      </c>
      <c r="Y915" s="4">
        <f t="shared" si="28"/>
        <v>647640</v>
      </c>
      <c r="Z915" s="6" t="s">
        <v>0</v>
      </c>
      <c r="AA915" t="s">
        <v>2</v>
      </c>
      <c r="AB915" t="s">
        <v>103</v>
      </c>
      <c r="AC915">
        <f>_xlfn.XLOOKUP(AB915,'[1]GST Codes'!$A:$A,'[1]GST Codes'!$C:$C,0,0)</f>
        <v>18</v>
      </c>
      <c r="AD915">
        <f t="shared" si="29"/>
        <v>764215.2</v>
      </c>
      <c r="AE915" t="s">
        <v>13</v>
      </c>
      <c r="AF915" t="s">
        <v>0</v>
      </c>
      <c r="AG915" t="s">
        <v>14</v>
      </c>
      <c r="AH915" t="s">
        <v>15</v>
      </c>
      <c r="AI915" t="s">
        <v>85</v>
      </c>
      <c r="AJ915" t="s">
        <v>17</v>
      </c>
      <c r="AK915" t="s">
        <v>18</v>
      </c>
      <c r="AL915" t="s">
        <v>19</v>
      </c>
      <c r="AM915" t="s">
        <v>459</v>
      </c>
      <c r="AN915" t="s">
        <v>0</v>
      </c>
      <c r="AO915" t="s">
        <v>0</v>
      </c>
      <c r="AP915" t="s">
        <v>0</v>
      </c>
      <c r="AQ915" s="5">
        <v>14</v>
      </c>
      <c r="AR915" t="s">
        <v>11</v>
      </c>
      <c r="AS915" t="s">
        <v>0</v>
      </c>
      <c r="AT915" t="s">
        <v>17</v>
      </c>
      <c r="AU915" s="4">
        <v>0</v>
      </c>
      <c r="AV915" s="4">
        <v>0</v>
      </c>
      <c r="AW915" s="4">
        <v>0</v>
      </c>
      <c r="AX915" s="4">
        <v>0</v>
      </c>
      <c r="AY915" s="5">
        <v>0</v>
      </c>
      <c r="AZ915" s="5">
        <v>0</v>
      </c>
      <c r="BA915" s="5">
        <v>0</v>
      </c>
      <c r="BB915" s="2"/>
      <c r="BC915" t="s">
        <v>0</v>
      </c>
      <c r="BD915" s="5">
        <v>1</v>
      </c>
      <c r="BE915" t="s">
        <v>0</v>
      </c>
      <c r="BF915" t="s">
        <v>467</v>
      </c>
      <c r="BG915" t="s">
        <v>17</v>
      </c>
      <c r="BH915" t="s">
        <v>0</v>
      </c>
      <c r="BI915" t="s">
        <v>11</v>
      </c>
      <c r="BJ915" t="s">
        <v>0</v>
      </c>
      <c r="BK915" t="s">
        <v>0</v>
      </c>
      <c r="BL915" s="5">
        <v>0</v>
      </c>
      <c r="BM915" t="s">
        <v>0</v>
      </c>
      <c r="BN915" t="s">
        <v>0</v>
      </c>
      <c r="BO915" t="s">
        <v>0</v>
      </c>
      <c r="BP915" t="s">
        <v>17</v>
      </c>
      <c r="BQ915" t="s">
        <v>0</v>
      </c>
      <c r="BR915" t="s">
        <v>17</v>
      </c>
      <c r="BS915" t="s">
        <v>17</v>
      </c>
      <c r="BT915" t="s">
        <v>0</v>
      </c>
      <c r="BU915" t="s">
        <v>0</v>
      </c>
      <c r="BV915" t="s">
        <v>0</v>
      </c>
      <c r="BW915" t="s">
        <v>0</v>
      </c>
      <c r="BX915" t="s">
        <v>0</v>
      </c>
      <c r="BY915" t="s">
        <v>0</v>
      </c>
      <c r="BZ915" t="s">
        <v>0</v>
      </c>
      <c r="CA915" t="s">
        <v>0</v>
      </c>
      <c r="CB915" t="s">
        <v>0</v>
      </c>
    </row>
    <row r="916" spans="1:80" ht="13.95" customHeight="1" x14ac:dyDescent="0.25">
      <c r="A916" t="s">
        <v>463</v>
      </c>
      <c r="B916" s="2">
        <v>45918</v>
      </c>
      <c r="C916" s="2">
        <v>45918</v>
      </c>
      <c r="D916" s="2">
        <v>45948</v>
      </c>
      <c r="E916" t="s">
        <v>2</v>
      </c>
      <c r="F916" t="s">
        <v>3</v>
      </c>
      <c r="G916" t="s">
        <v>0</v>
      </c>
      <c r="H916" t="s">
        <v>4</v>
      </c>
      <c r="I916" t="s">
        <v>458</v>
      </c>
      <c r="J916" t="s">
        <v>6</v>
      </c>
      <c r="K916" t="s">
        <v>218</v>
      </c>
      <c r="L916" t="s">
        <v>329</v>
      </c>
      <c r="M916" t="s">
        <v>339</v>
      </c>
      <c r="N916" t="s">
        <v>10</v>
      </c>
      <c r="O916" t="s">
        <v>0</v>
      </c>
      <c r="P916" t="s">
        <v>11</v>
      </c>
      <c r="Q916" s="3">
        <v>12.75</v>
      </c>
      <c r="R916" s="4">
        <v>46260</v>
      </c>
      <c r="S916" s="5">
        <v>1</v>
      </c>
      <c r="T916" s="4">
        <v>589815</v>
      </c>
      <c r="U916" s="5">
        <v>0</v>
      </c>
      <c r="V916" s="4">
        <v>0</v>
      </c>
      <c r="W916" s="5">
        <v>0</v>
      </c>
      <c r="X916" s="4">
        <v>0</v>
      </c>
      <c r="Y916" s="4">
        <f t="shared" si="28"/>
        <v>589815</v>
      </c>
      <c r="Z916" s="6" t="s">
        <v>0</v>
      </c>
      <c r="AA916" t="s">
        <v>2</v>
      </c>
      <c r="AB916" t="s">
        <v>103</v>
      </c>
      <c r="AC916">
        <f>_xlfn.XLOOKUP(AB916,'[1]GST Codes'!$A:$A,'[1]GST Codes'!$C:$C,0,0)</f>
        <v>18</v>
      </c>
      <c r="AD916">
        <f t="shared" si="29"/>
        <v>695981.7</v>
      </c>
      <c r="AE916" t="s">
        <v>13</v>
      </c>
      <c r="AF916" t="s">
        <v>0</v>
      </c>
      <c r="AG916" t="s">
        <v>14</v>
      </c>
      <c r="AH916" t="s">
        <v>15</v>
      </c>
      <c r="AI916" t="s">
        <v>85</v>
      </c>
      <c r="AJ916" t="s">
        <v>17</v>
      </c>
      <c r="AK916" t="s">
        <v>18</v>
      </c>
      <c r="AL916" t="s">
        <v>19</v>
      </c>
      <c r="AM916" t="s">
        <v>459</v>
      </c>
      <c r="AN916" t="s">
        <v>0</v>
      </c>
      <c r="AO916" t="s">
        <v>0</v>
      </c>
      <c r="AP916" t="s">
        <v>0</v>
      </c>
      <c r="AQ916" s="3">
        <v>12.75</v>
      </c>
      <c r="AR916" t="s">
        <v>11</v>
      </c>
      <c r="AS916" t="s">
        <v>0</v>
      </c>
      <c r="AT916" t="s">
        <v>17</v>
      </c>
      <c r="AU916" s="4">
        <v>0</v>
      </c>
      <c r="AV916" s="4">
        <v>0</v>
      </c>
      <c r="AW916" s="4">
        <v>0</v>
      </c>
      <c r="AX916" s="4">
        <v>0</v>
      </c>
      <c r="AY916" s="5">
        <v>0</v>
      </c>
      <c r="AZ916" s="5">
        <v>0</v>
      </c>
      <c r="BA916" s="5">
        <v>0</v>
      </c>
      <c r="BB916" s="2"/>
      <c r="BC916" t="s">
        <v>0</v>
      </c>
      <c r="BD916" s="5">
        <v>1</v>
      </c>
      <c r="BE916" t="s">
        <v>0</v>
      </c>
      <c r="BF916" t="s">
        <v>461</v>
      </c>
      <c r="BG916" t="s">
        <v>17</v>
      </c>
      <c r="BH916" t="s">
        <v>0</v>
      </c>
      <c r="BI916" t="s">
        <v>11</v>
      </c>
      <c r="BJ916" t="s">
        <v>0</v>
      </c>
      <c r="BK916" t="s">
        <v>0</v>
      </c>
      <c r="BL916" s="5">
        <v>0</v>
      </c>
      <c r="BM916" t="s">
        <v>0</v>
      </c>
      <c r="BN916" t="s">
        <v>0</v>
      </c>
      <c r="BO916" t="s">
        <v>0</v>
      </c>
      <c r="BP916" t="s">
        <v>17</v>
      </c>
      <c r="BQ916" t="s">
        <v>0</v>
      </c>
      <c r="BR916" t="s">
        <v>17</v>
      </c>
      <c r="BS916" t="s">
        <v>17</v>
      </c>
      <c r="BT916" t="s">
        <v>0</v>
      </c>
      <c r="BU916" t="s">
        <v>0</v>
      </c>
      <c r="BV916" t="s">
        <v>0</v>
      </c>
      <c r="BW916" t="s">
        <v>0</v>
      </c>
      <c r="BX916" t="s">
        <v>0</v>
      </c>
      <c r="BY916" t="s">
        <v>0</v>
      </c>
      <c r="BZ916" t="s">
        <v>0</v>
      </c>
      <c r="CA916" t="s">
        <v>0</v>
      </c>
      <c r="CB916" t="s">
        <v>0</v>
      </c>
    </row>
    <row r="917" spans="1:80" ht="13.95" customHeight="1" x14ac:dyDescent="0.25">
      <c r="A917" t="s">
        <v>463</v>
      </c>
      <c r="B917" s="2">
        <v>45918</v>
      </c>
      <c r="C917" s="2">
        <v>45918</v>
      </c>
      <c r="D917" s="2">
        <v>45948</v>
      </c>
      <c r="E917" t="s">
        <v>2</v>
      </c>
      <c r="F917" t="s">
        <v>3</v>
      </c>
      <c r="G917" t="s">
        <v>0</v>
      </c>
      <c r="H917" t="s">
        <v>4</v>
      </c>
      <c r="I917" t="s">
        <v>458</v>
      </c>
      <c r="J917" t="s">
        <v>6</v>
      </c>
      <c r="K917" t="s">
        <v>219</v>
      </c>
      <c r="L917" t="s">
        <v>329</v>
      </c>
      <c r="M917" t="s">
        <v>339</v>
      </c>
      <c r="N917" t="s">
        <v>10</v>
      </c>
      <c r="O917" t="s">
        <v>0</v>
      </c>
      <c r="P917" t="s">
        <v>11</v>
      </c>
      <c r="Q917" s="3">
        <v>12.75</v>
      </c>
      <c r="R917" s="4">
        <v>46260</v>
      </c>
      <c r="S917" s="5">
        <v>1</v>
      </c>
      <c r="T917" s="4">
        <v>589815</v>
      </c>
      <c r="U917" s="5">
        <v>0</v>
      </c>
      <c r="V917" s="4">
        <v>0</v>
      </c>
      <c r="W917" s="5">
        <v>0</v>
      </c>
      <c r="X917" s="4">
        <v>0</v>
      </c>
      <c r="Y917" s="4">
        <f t="shared" si="28"/>
        <v>589815</v>
      </c>
      <c r="Z917" s="6" t="s">
        <v>0</v>
      </c>
      <c r="AA917" t="s">
        <v>2</v>
      </c>
      <c r="AB917" t="s">
        <v>103</v>
      </c>
      <c r="AC917">
        <f>_xlfn.XLOOKUP(AB917,'[1]GST Codes'!$A:$A,'[1]GST Codes'!$C:$C,0,0)</f>
        <v>18</v>
      </c>
      <c r="AD917">
        <f t="shared" si="29"/>
        <v>695981.7</v>
      </c>
      <c r="AE917" t="s">
        <v>13</v>
      </c>
      <c r="AF917" t="s">
        <v>0</v>
      </c>
      <c r="AG917" t="s">
        <v>14</v>
      </c>
      <c r="AH917" t="s">
        <v>15</v>
      </c>
      <c r="AI917" t="s">
        <v>85</v>
      </c>
      <c r="AJ917" t="s">
        <v>17</v>
      </c>
      <c r="AK917" t="s">
        <v>18</v>
      </c>
      <c r="AL917" t="s">
        <v>19</v>
      </c>
      <c r="AM917" t="s">
        <v>459</v>
      </c>
      <c r="AN917" t="s">
        <v>0</v>
      </c>
      <c r="AO917" t="s">
        <v>0</v>
      </c>
      <c r="AP917" t="s">
        <v>0</v>
      </c>
      <c r="AQ917" s="3">
        <v>12.75</v>
      </c>
      <c r="AR917" t="s">
        <v>11</v>
      </c>
      <c r="AS917" t="s">
        <v>0</v>
      </c>
      <c r="AT917" t="s">
        <v>17</v>
      </c>
      <c r="AU917" s="4">
        <v>0</v>
      </c>
      <c r="AV917" s="4">
        <v>0</v>
      </c>
      <c r="AW917" s="4">
        <v>0</v>
      </c>
      <c r="AX917" s="4">
        <v>0</v>
      </c>
      <c r="AY917" s="5">
        <v>0</v>
      </c>
      <c r="AZ917" s="5">
        <v>0</v>
      </c>
      <c r="BA917" s="5">
        <v>0</v>
      </c>
      <c r="BB917" s="2"/>
      <c r="BC917" t="s">
        <v>0</v>
      </c>
      <c r="BD917" s="5">
        <v>1</v>
      </c>
      <c r="BE917" t="s">
        <v>0</v>
      </c>
      <c r="BF917" t="s">
        <v>461</v>
      </c>
      <c r="BG917" t="s">
        <v>17</v>
      </c>
      <c r="BH917" t="s">
        <v>0</v>
      </c>
      <c r="BI917" t="s">
        <v>11</v>
      </c>
      <c r="BJ917" t="s">
        <v>0</v>
      </c>
      <c r="BK917" t="s">
        <v>0</v>
      </c>
      <c r="BL917" s="5">
        <v>0</v>
      </c>
      <c r="BM917" t="s">
        <v>0</v>
      </c>
      <c r="BN917" t="s">
        <v>0</v>
      </c>
      <c r="BO917" t="s">
        <v>0</v>
      </c>
      <c r="BP917" t="s">
        <v>17</v>
      </c>
      <c r="BQ917" t="s">
        <v>0</v>
      </c>
      <c r="BR917" t="s">
        <v>17</v>
      </c>
      <c r="BS917" t="s">
        <v>17</v>
      </c>
      <c r="BT917" t="s">
        <v>0</v>
      </c>
      <c r="BU917" t="s">
        <v>0</v>
      </c>
      <c r="BV917" t="s">
        <v>0</v>
      </c>
      <c r="BW917" t="s">
        <v>0</v>
      </c>
      <c r="BX917" t="s">
        <v>0</v>
      </c>
      <c r="BY917" t="s">
        <v>0</v>
      </c>
      <c r="BZ917" t="s">
        <v>0</v>
      </c>
      <c r="CA917" t="s">
        <v>0</v>
      </c>
      <c r="CB917" t="s">
        <v>0</v>
      </c>
    </row>
    <row r="918" spans="1:80" ht="13.95" customHeight="1" x14ac:dyDescent="0.25">
      <c r="A918" t="s">
        <v>463</v>
      </c>
      <c r="B918" s="2">
        <v>45918</v>
      </c>
      <c r="C918" s="2">
        <v>45918</v>
      </c>
      <c r="D918" s="2">
        <v>45948</v>
      </c>
      <c r="E918" t="s">
        <v>2</v>
      </c>
      <c r="F918" t="s">
        <v>3</v>
      </c>
      <c r="G918" t="s">
        <v>0</v>
      </c>
      <c r="H918" t="s">
        <v>4</v>
      </c>
      <c r="I918" t="s">
        <v>458</v>
      </c>
      <c r="J918" t="s">
        <v>6</v>
      </c>
      <c r="K918" t="s">
        <v>223</v>
      </c>
      <c r="L918" t="s">
        <v>329</v>
      </c>
      <c r="M918" t="s">
        <v>339</v>
      </c>
      <c r="N918" t="s">
        <v>10</v>
      </c>
      <c r="O918" t="s">
        <v>0</v>
      </c>
      <c r="P918" t="s">
        <v>11</v>
      </c>
      <c r="Q918" s="3">
        <v>10.8</v>
      </c>
      <c r="R918" s="4">
        <v>46260</v>
      </c>
      <c r="S918" s="5">
        <v>1</v>
      </c>
      <c r="T918" s="4">
        <v>499608</v>
      </c>
      <c r="U918" s="5">
        <v>0</v>
      </c>
      <c r="V918" s="4">
        <v>0</v>
      </c>
      <c r="W918" s="5">
        <v>0</v>
      </c>
      <c r="X918" s="4">
        <v>0</v>
      </c>
      <c r="Y918" s="4">
        <f t="shared" si="28"/>
        <v>499608</v>
      </c>
      <c r="Z918" s="6" t="s">
        <v>0</v>
      </c>
      <c r="AA918" t="s">
        <v>2</v>
      </c>
      <c r="AB918" t="s">
        <v>103</v>
      </c>
      <c r="AC918">
        <f>_xlfn.XLOOKUP(AB918,'[1]GST Codes'!$A:$A,'[1]GST Codes'!$C:$C,0,0)</f>
        <v>18</v>
      </c>
      <c r="AD918">
        <f t="shared" si="29"/>
        <v>589537.43999999994</v>
      </c>
      <c r="AE918" t="s">
        <v>13</v>
      </c>
      <c r="AF918" t="s">
        <v>0</v>
      </c>
      <c r="AG918" t="s">
        <v>14</v>
      </c>
      <c r="AH918" t="s">
        <v>15</v>
      </c>
      <c r="AI918" t="s">
        <v>85</v>
      </c>
      <c r="AJ918" t="s">
        <v>17</v>
      </c>
      <c r="AK918" t="s">
        <v>18</v>
      </c>
      <c r="AL918" t="s">
        <v>19</v>
      </c>
      <c r="AM918" t="s">
        <v>459</v>
      </c>
      <c r="AN918" t="s">
        <v>0</v>
      </c>
      <c r="AO918" t="s">
        <v>0</v>
      </c>
      <c r="AP918" t="s">
        <v>0</v>
      </c>
      <c r="AQ918" s="3">
        <v>10.8</v>
      </c>
      <c r="AR918" t="s">
        <v>11</v>
      </c>
      <c r="AS918" t="s">
        <v>0</v>
      </c>
      <c r="AT918" t="s">
        <v>17</v>
      </c>
      <c r="AU918" s="4">
        <v>0</v>
      </c>
      <c r="AV918" s="4">
        <v>0</v>
      </c>
      <c r="AW918" s="4">
        <v>0</v>
      </c>
      <c r="AX918" s="4">
        <v>0</v>
      </c>
      <c r="AY918" s="5">
        <v>0</v>
      </c>
      <c r="AZ918" s="5">
        <v>0</v>
      </c>
      <c r="BA918" s="5">
        <v>0</v>
      </c>
      <c r="BB918" s="2"/>
      <c r="BC918" t="s">
        <v>0</v>
      </c>
      <c r="BD918" s="5">
        <v>1</v>
      </c>
      <c r="BE918" t="s">
        <v>0</v>
      </c>
      <c r="BF918" t="s">
        <v>461</v>
      </c>
      <c r="BG918" t="s">
        <v>17</v>
      </c>
      <c r="BH918" t="s">
        <v>0</v>
      </c>
      <c r="BI918" t="s">
        <v>11</v>
      </c>
      <c r="BJ918" t="s">
        <v>0</v>
      </c>
      <c r="BK918" t="s">
        <v>0</v>
      </c>
      <c r="BL918" s="5">
        <v>0</v>
      </c>
      <c r="BM918" t="s">
        <v>0</v>
      </c>
      <c r="BN918" t="s">
        <v>0</v>
      </c>
      <c r="BO918" t="s">
        <v>0</v>
      </c>
      <c r="BP918" t="s">
        <v>17</v>
      </c>
      <c r="BQ918" t="s">
        <v>0</v>
      </c>
      <c r="BR918" t="s">
        <v>17</v>
      </c>
      <c r="BS918" t="s">
        <v>17</v>
      </c>
      <c r="BT918" t="s">
        <v>0</v>
      </c>
      <c r="BU918" t="s">
        <v>0</v>
      </c>
      <c r="BV918" t="s">
        <v>0</v>
      </c>
      <c r="BW918" t="s">
        <v>0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</row>
    <row r="919" spans="1:80" ht="13.95" customHeight="1" x14ac:dyDescent="0.25">
      <c r="A919" t="s">
        <v>463</v>
      </c>
      <c r="B919" s="2">
        <v>45918</v>
      </c>
      <c r="C919" s="2">
        <v>45918</v>
      </c>
      <c r="D919" s="2">
        <v>45948</v>
      </c>
      <c r="E919" t="s">
        <v>2</v>
      </c>
      <c r="F919" t="s">
        <v>3</v>
      </c>
      <c r="G919" t="s">
        <v>0</v>
      </c>
      <c r="H919" t="s">
        <v>4</v>
      </c>
      <c r="I919" t="s">
        <v>458</v>
      </c>
      <c r="J919" t="s">
        <v>6</v>
      </c>
      <c r="K919" t="s">
        <v>224</v>
      </c>
      <c r="L919" t="s">
        <v>329</v>
      </c>
      <c r="M919" t="s">
        <v>339</v>
      </c>
      <c r="N919" t="s">
        <v>10</v>
      </c>
      <c r="O919" t="s">
        <v>0</v>
      </c>
      <c r="P919" t="s">
        <v>11</v>
      </c>
      <c r="Q919" s="3">
        <v>11.25</v>
      </c>
      <c r="R919" s="4">
        <v>46260</v>
      </c>
      <c r="S919" s="5">
        <v>1</v>
      </c>
      <c r="T919" s="4">
        <v>520425</v>
      </c>
      <c r="U919" s="5">
        <v>0</v>
      </c>
      <c r="V919" s="4">
        <v>0</v>
      </c>
      <c r="W919" s="5">
        <v>0</v>
      </c>
      <c r="X919" s="4">
        <v>0</v>
      </c>
      <c r="Y919" s="4">
        <f t="shared" si="28"/>
        <v>520425</v>
      </c>
      <c r="Z919" s="6" t="s">
        <v>0</v>
      </c>
      <c r="AA919" t="s">
        <v>2</v>
      </c>
      <c r="AB919" t="s">
        <v>103</v>
      </c>
      <c r="AC919">
        <f>_xlfn.XLOOKUP(AB919,'[1]GST Codes'!$A:$A,'[1]GST Codes'!$C:$C,0,0)</f>
        <v>18</v>
      </c>
      <c r="AD919">
        <f t="shared" si="29"/>
        <v>614101.5</v>
      </c>
      <c r="AE919" t="s">
        <v>13</v>
      </c>
      <c r="AF919" t="s">
        <v>0</v>
      </c>
      <c r="AG919" t="s">
        <v>14</v>
      </c>
      <c r="AH919" t="s">
        <v>15</v>
      </c>
      <c r="AI919" t="s">
        <v>85</v>
      </c>
      <c r="AJ919" t="s">
        <v>17</v>
      </c>
      <c r="AK919" t="s">
        <v>18</v>
      </c>
      <c r="AL919" t="s">
        <v>19</v>
      </c>
      <c r="AM919" t="s">
        <v>459</v>
      </c>
      <c r="AN919" t="s">
        <v>0</v>
      </c>
      <c r="AO919" t="s">
        <v>0</v>
      </c>
      <c r="AP919" t="s">
        <v>0</v>
      </c>
      <c r="AQ919" s="3">
        <v>11.25</v>
      </c>
      <c r="AR919" t="s">
        <v>11</v>
      </c>
      <c r="AS919" t="s">
        <v>0</v>
      </c>
      <c r="AT919" t="s">
        <v>17</v>
      </c>
      <c r="AU919" s="4">
        <v>0</v>
      </c>
      <c r="AV919" s="4">
        <v>0</v>
      </c>
      <c r="AW919" s="4">
        <v>0</v>
      </c>
      <c r="AX919" s="4">
        <v>0</v>
      </c>
      <c r="AY919" s="5">
        <v>0</v>
      </c>
      <c r="AZ919" s="5">
        <v>0</v>
      </c>
      <c r="BA919" s="5">
        <v>0</v>
      </c>
      <c r="BB919" s="2"/>
      <c r="BC919" t="s">
        <v>0</v>
      </c>
      <c r="BD919" s="5">
        <v>1</v>
      </c>
      <c r="BE919" t="s">
        <v>0</v>
      </c>
      <c r="BF919" t="s">
        <v>461</v>
      </c>
      <c r="BG919" t="s">
        <v>17</v>
      </c>
      <c r="BH919" t="s">
        <v>0</v>
      </c>
      <c r="BI919" t="s">
        <v>11</v>
      </c>
      <c r="BJ919" t="s">
        <v>0</v>
      </c>
      <c r="BK919" t="s">
        <v>0</v>
      </c>
      <c r="BL919" s="5">
        <v>0</v>
      </c>
      <c r="BM919" t="s">
        <v>0</v>
      </c>
      <c r="BN919" t="s">
        <v>0</v>
      </c>
      <c r="BO919" t="s">
        <v>0</v>
      </c>
      <c r="BP919" t="s">
        <v>17</v>
      </c>
      <c r="BQ919" t="s">
        <v>0</v>
      </c>
      <c r="BR919" t="s">
        <v>17</v>
      </c>
      <c r="BS919" t="s">
        <v>17</v>
      </c>
      <c r="BT919" t="s">
        <v>0</v>
      </c>
      <c r="BU919" t="s">
        <v>0</v>
      </c>
      <c r="BV919" t="s">
        <v>0</v>
      </c>
      <c r="BW919" t="s">
        <v>0</v>
      </c>
      <c r="BX919" t="s">
        <v>0</v>
      </c>
      <c r="BY919" t="s">
        <v>0</v>
      </c>
      <c r="BZ919" t="s">
        <v>0</v>
      </c>
      <c r="CA919" t="s">
        <v>0</v>
      </c>
      <c r="CB919" t="s">
        <v>0</v>
      </c>
    </row>
    <row r="920" spans="1:80" ht="13.95" customHeight="1" x14ac:dyDescent="0.25">
      <c r="A920" t="s">
        <v>463</v>
      </c>
      <c r="B920" s="2">
        <v>45918</v>
      </c>
      <c r="C920" s="2">
        <v>45918</v>
      </c>
      <c r="D920" s="2">
        <v>45948</v>
      </c>
      <c r="E920" t="s">
        <v>2</v>
      </c>
      <c r="F920" t="s">
        <v>3</v>
      </c>
      <c r="G920" t="s">
        <v>0</v>
      </c>
      <c r="H920" t="s">
        <v>4</v>
      </c>
      <c r="I920" t="s">
        <v>458</v>
      </c>
      <c r="J920" t="s">
        <v>6</v>
      </c>
      <c r="K920" t="s">
        <v>225</v>
      </c>
      <c r="L920" t="s">
        <v>35</v>
      </c>
      <c r="M920" t="s">
        <v>36</v>
      </c>
      <c r="N920" t="s">
        <v>10</v>
      </c>
      <c r="O920" t="s">
        <v>0</v>
      </c>
      <c r="P920" t="s">
        <v>11</v>
      </c>
      <c r="Q920" s="3">
        <v>15.8</v>
      </c>
      <c r="R920" s="4">
        <v>47260</v>
      </c>
      <c r="S920" s="5">
        <v>1</v>
      </c>
      <c r="T920" s="4">
        <v>746708</v>
      </c>
      <c r="U920" s="5">
        <v>0</v>
      </c>
      <c r="V920" s="4">
        <v>0</v>
      </c>
      <c r="W920" s="5">
        <v>0</v>
      </c>
      <c r="X920" s="4">
        <v>0</v>
      </c>
      <c r="Y920" s="4">
        <f t="shared" si="28"/>
        <v>746708</v>
      </c>
      <c r="Z920" s="6" t="s">
        <v>0</v>
      </c>
      <c r="AA920" t="s">
        <v>2</v>
      </c>
      <c r="AB920" t="s">
        <v>103</v>
      </c>
      <c r="AC920">
        <f>_xlfn.XLOOKUP(AB920,'[1]GST Codes'!$A:$A,'[1]GST Codes'!$C:$C,0,0)</f>
        <v>18</v>
      </c>
      <c r="AD920">
        <f t="shared" si="29"/>
        <v>881115.44</v>
      </c>
      <c r="AE920" t="s">
        <v>13</v>
      </c>
      <c r="AF920" t="s">
        <v>0</v>
      </c>
      <c r="AG920" t="s">
        <v>14</v>
      </c>
      <c r="AH920" t="s">
        <v>15</v>
      </c>
      <c r="AI920" t="s">
        <v>85</v>
      </c>
      <c r="AJ920" t="s">
        <v>17</v>
      </c>
      <c r="AK920" t="s">
        <v>18</v>
      </c>
      <c r="AL920" t="s">
        <v>19</v>
      </c>
      <c r="AM920" t="s">
        <v>459</v>
      </c>
      <c r="AN920" t="s">
        <v>0</v>
      </c>
      <c r="AO920" t="s">
        <v>0</v>
      </c>
      <c r="AP920" t="s">
        <v>0</v>
      </c>
      <c r="AQ920" s="3">
        <v>15.8</v>
      </c>
      <c r="AR920" t="s">
        <v>11</v>
      </c>
      <c r="AS920" t="s">
        <v>0</v>
      </c>
      <c r="AT920" t="s">
        <v>17</v>
      </c>
      <c r="AU920" s="4">
        <v>0</v>
      </c>
      <c r="AV920" s="4">
        <v>0</v>
      </c>
      <c r="AW920" s="4">
        <v>0</v>
      </c>
      <c r="AX920" s="4">
        <v>0</v>
      </c>
      <c r="AY920" s="5">
        <v>0</v>
      </c>
      <c r="AZ920" s="5">
        <v>0</v>
      </c>
      <c r="BA920" s="5">
        <v>0</v>
      </c>
      <c r="BB920" s="2"/>
      <c r="BC920" t="s">
        <v>0</v>
      </c>
      <c r="BD920" s="5">
        <v>1</v>
      </c>
      <c r="BE920" t="s">
        <v>0</v>
      </c>
      <c r="BF920" t="s">
        <v>460</v>
      </c>
      <c r="BG920" t="s">
        <v>17</v>
      </c>
      <c r="BH920" t="s">
        <v>0</v>
      </c>
      <c r="BI920" t="s">
        <v>11</v>
      </c>
      <c r="BJ920" t="s">
        <v>0</v>
      </c>
      <c r="BK920" t="s">
        <v>0</v>
      </c>
      <c r="BL920" s="5">
        <v>0</v>
      </c>
      <c r="BM920" t="s">
        <v>0</v>
      </c>
      <c r="BN920" t="s">
        <v>0</v>
      </c>
      <c r="BO920" t="s">
        <v>0</v>
      </c>
      <c r="BP920" t="s">
        <v>17</v>
      </c>
      <c r="BQ920" t="s">
        <v>0</v>
      </c>
      <c r="BR920" t="s">
        <v>17</v>
      </c>
      <c r="BS920" t="s">
        <v>17</v>
      </c>
      <c r="BT920" t="s">
        <v>0</v>
      </c>
      <c r="BU920" t="s">
        <v>0</v>
      </c>
      <c r="BV920" t="s">
        <v>0</v>
      </c>
      <c r="BW920" t="s">
        <v>0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</row>
    <row r="921" spans="1:80" ht="13.95" customHeight="1" x14ac:dyDescent="0.25">
      <c r="A921" t="s">
        <v>463</v>
      </c>
      <c r="B921" s="2">
        <v>45918</v>
      </c>
      <c r="C921" s="2">
        <v>45918</v>
      </c>
      <c r="D921" s="2">
        <v>45948</v>
      </c>
      <c r="E921" t="s">
        <v>2</v>
      </c>
      <c r="F921" t="s">
        <v>3</v>
      </c>
      <c r="G921" t="s">
        <v>0</v>
      </c>
      <c r="H921" t="s">
        <v>4</v>
      </c>
      <c r="I921" t="s">
        <v>458</v>
      </c>
      <c r="J921" t="s">
        <v>6</v>
      </c>
      <c r="K921" t="s">
        <v>226</v>
      </c>
      <c r="L921" t="s">
        <v>35</v>
      </c>
      <c r="M921" t="s">
        <v>36</v>
      </c>
      <c r="N921" t="s">
        <v>10</v>
      </c>
      <c r="O921" t="s">
        <v>0</v>
      </c>
      <c r="P921" t="s">
        <v>11</v>
      </c>
      <c r="Q921" s="3">
        <v>16.399999999999999</v>
      </c>
      <c r="R921" s="4">
        <v>47260</v>
      </c>
      <c r="S921" s="5">
        <v>1</v>
      </c>
      <c r="T921" s="4">
        <v>775064</v>
      </c>
      <c r="U921" s="5">
        <v>0</v>
      </c>
      <c r="V921" s="4">
        <v>0</v>
      </c>
      <c r="W921" s="5">
        <v>0</v>
      </c>
      <c r="X921" s="4">
        <v>0</v>
      </c>
      <c r="Y921" s="4">
        <f t="shared" si="28"/>
        <v>775064</v>
      </c>
      <c r="Z921" s="6" t="s">
        <v>0</v>
      </c>
      <c r="AA921" t="s">
        <v>2</v>
      </c>
      <c r="AB921" t="s">
        <v>103</v>
      </c>
      <c r="AC921">
        <f>_xlfn.XLOOKUP(AB921,'[1]GST Codes'!$A:$A,'[1]GST Codes'!$C:$C,0,0)</f>
        <v>18</v>
      </c>
      <c r="AD921">
        <f t="shared" si="29"/>
        <v>914575.52</v>
      </c>
      <c r="AE921" t="s">
        <v>13</v>
      </c>
      <c r="AF921" t="s">
        <v>0</v>
      </c>
      <c r="AG921" t="s">
        <v>14</v>
      </c>
      <c r="AH921" t="s">
        <v>15</v>
      </c>
      <c r="AI921" t="s">
        <v>85</v>
      </c>
      <c r="AJ921" t="s">
        <v>17</v>
      </c>
      <c r="AK921" t="s">
        <v>18</v>
      </c>
      <c r="AL921" t="s">
        <v>19</v>
      </c>
      <c r="AM921" t="s">
        <v>459</v>
      </c>
      <c r="AN921" t="s">
        <v>0</v>
      </c>
      <c r="AO921" t="s">
        <v>0</v>
      </c>
      <c r="AP921" t="s">
        <v>0</v>
      </c>
      <c r="AQ921" s="3">
        <v>16.399999999999999</v>
      </c>
      <c r="AR921" t="s">
        <v>11</v>
      </c>
      <c r="AS921" t="s">
        <v>0</v>
      </c>
      <c r="AT921" t="s">
        <v>17</v>
      </c>
      <c r="AU921" s="4">
        <v>0</v>
      </c>
      <c r="AV921" s="4">
        <v>0</v>
      </c>
      <c r="AW921" s="4">
        <v>0</v>
      </c>
      <c r="AX921" s="4">
        <v>0</v>
      </c>
      <c r="AY921" s="5">
        <v>0</v>
      </c>
      <c r="AZ921" s="5">
        <v>0</v>
      </c>
      <c r="BA921" s="5">
        <v>0</v>
      </c>
      <c r="BB921" s="2"/>
      <c r="BC921" t="s">
        <v>0</v>
      </c>
      <c r="BD921" s="5">
        <v>1</v>
      </c>
      <c r="BE921" t="s">
        <v>0</v>
      </c>
      <c r="BF921" t="s">
        <v>460</v>
      </c>
      <c r="BG921" t="s">
        <v>17</v>
      </c>
      <c r="BH921" t="s">
        <v>0</v>
      </c>
      <c r="BI921" t="s">
        <v>11</v>
      </c>
      <c r="BJ921" t="s">
        <v>0</v>
      </c>
      <c r="BK921" t="s">
        <v>0</v>
      </c>
      <c r="BL921" s="5">
        <v>0</v>
      </c>
      <c r="BM921" t="s">
        <v>0</v>
      </c>
      <c r="BN921" t="s">
        <v>0</v>
      </c>
      <c r="BO921" t="s">
        <v>0</v>
      </c>
      <c r="BP921" t="s">
        <v>17</v>
      </c>
      <c r="BQ921" t="s">
        <v>0</v>
      </c>
      <c r="BR921" t="s">
        <v>17</v>
      </c>
      <c r="BS921" t="s">
        <v>17</v>
      </c>
      <c r="BT921" t="s">
        <v>0</v>
      </c>
      <c r="BU921" t="s">
        <v>0</v>
      </c>
      <c r="BV921" t="s">
        <v>0</v>
      </c>
      <c r="BW921" t="s">
        <v>0</v>
      </c>
      <c r="BX921" t="s">
        <v>0</v>
      </c>
      <c r="BY921" t="s">
        <v>0</v>
      </c>
      <c r="BZ921" t="s">
        <v>0</v>
      </c>
      <c r="CA921" t="s">
        <v>0</v>
      </c>
      <c r="CB921" t="s">
        <v>0</v>
      </c>
    </row>
    <row r="922" spans="1:80" ht="13.95" customHeight="1" x14ac:dyDescent="0.25">
      <c r="A922" t="s">
        <v>463</v>
      </c>
      <c r="B922" s="2">
        <v>45918</v>
      </c>
      <c r="C922" s="2">
        <v>45918</v>
      </c>
      <c r="D922" s="2">
        <v>45948</v>
      </c>
      <c r="E922" t="s">
        <v>2</v>
      </c>
      <c r="F922" t="s">
        <v>3</v>
      </c>
      <c r="G922" t="s">
        <v>0</v>
      </c>
      <c r="H922" t="s">
        <v>4</v>
      </c>
      <c r="I922" t="s">
        <v>458</v>
      </c>
      <c r="J922" t="s">
        <v>6</v>
      </c>
      <c r="K922" t="s">
        <v>227</v>
      </c>
      <c r="L922" t="s">
        <v>35</v>
      </c>
      <c r="M922" t="s">
        <v>36</v>
      </c>
      <c r="N922" t="s">
        <v>10</v>
      </c>
      <c r="O922" t="s">
        <v>0</v>
      </c>
      <c r="P922" t="s">
        <v>11</v>
      </c>
      <c r="Q922" s="3">
        <v>16.68</v>
      </c>
      <c r="R922" s="4">
        <v>47260</v>
      </c>
      <c r="S922" s="5">
        <v>1</v>
      </c>
      <c r="T922" s="4">
        <v>788296.8</v>
      </c>
      <c r="U922" s="5">
        <v>0</v>
      </c>
      <c r="V922" s="4">
        <v>0</v>
      </c>
      <c r="W922" s="5">
        <v>0</v>
      </c>
      <c r="X922" s="4">
        <v>0</v>
      </c>
      <c r="Y922" s="4">
        <f t="shared" si="28"/>
        <v>788296.8</v>
      </c>
      <c r="Z922" s="6" t="s">
        <v>0</v>
      </c>
      <c r="AA922" t="s">
        <v>2</v>
      </c>
      <c r="AB922" t="s">
        <v>103</v>
      </c>
      <c r="AC922">
        <f>_xlfn.XLOOKUP(AB922,'[1]GST Codes'!$A:$A,'[1]GST Codes'!$C:$C,0,0)</f>
        <v>18</v>
      </c>
      <c r="AD922">
        <f t="shared" si="29"/>
        <v>930190.22400000005</v>
      </c>
      <c r="AE922" t="s">
        <v>13</v>
      </c>
      <c r="AF922" t="s">
        <v>0</v>
      </c>
      <c r="AG922" t="s">
        <v>14</v>
      </c>
      <c r="AH922" t="s">
        <v>15</v>
      </c>
      <c r="AI922" t="s">
        <v>85</v>
      </c>
      <c r="AJ922" t="s">
        <v>17</v>
      </c>
      <c r="AK922" t="s">
        <v>18</v>
      </c>
      <c r="AL922" t="s">
        <v>19</v>
      </c>
      <c r="AM922" t="s">
        <v>459</v>
      </c>
      <c r="AN922" t="s">
        <v>0</v>
      </c>
      <c r="AO922" t="s">
        <v>0</v>
      </c>
      <c r="AP922" t="s">
        <v>0</v>
      </c>
      <c r="AQ922" s="3">
        <v>16.68</v>
      </c>
      <c r="AR922" t="s">
        <v>11</v>
      </c>
      <c r="AS922" t="s">
        <v>0</v>
      </c>
      <c r="AT922" t="s">
        <v>17</v>
      </c>
      <c r="AU922" s="4">
        <v>0</v>
      </c>
      <c r="AV922" s="4">
        <v>0</v>
      </c>
      <c r="AW922" s="4">
        <v>0</v>
      </c>
      <c r="AX922" s="4">
        <v>0</v>
      </c>
      <c r="AY922" s="5">
        <v>0</v>
      </c>
      <c r="AZ922" s="5">
        <v>0</v>
      </c>
      <c r="BA922" s="5">
        <v>0</v>
      </c>
      <c r="BB922" s="2"/>
      <c r="BC922" t="s">
        <v>0</v>
      </c>
      <c r="BD922" s="5">
        <v>1</v>
      </c>
      <c r="BE922" t="s">
        <v>0</v>
      </c>
      <c r="BF922" t="s">
        <v>460</v>
      </c>
      <c r="BG922" t="s">
        <v>17</v>
      </c>
      <c r="BH922" t="s">
        <v>0</v>
      </c>
      <c r="BI922" t="s">
        <v>11</v>
      </c>
      <c r="BJ922" t="s">
        <v>0</v>
      </c>
      <c r="BK922" t="s">
        <v>0</v>
      </c>
      <c r="BL922" s="5">
        <v>0</v>
      </c>
      <c r="BM922" t="s">
        <v>0</v>
      </c>
      <c r="BN922" t="s">
        <v>0</v>
      </c>
      <c r="BO922" t="s">
        <v>0</v>
      </c>
      <c r="BP922" t="s">
        <v>17</v>
      </c>
      <c r="BQ922" t="s">
        <v>0</v>
      </c>
      <c r="BR922" t="s">
        <v>17</v>
      </c>
      <c r="BS922" t="s">
        <v>17</v>
      </c>
      <c r="BT922" t="s">
        <v>0</v>
      </c>
      <c r="BU922" t="s">
        <v>0</v>
      </c>
      <c r="BV922" t="s">
        <v>0</v>
      </c>
      <c r="BW922" t="s">
        <v>0</v>
      </c>
      <c r="BX922" t="s">
        <v>0</v>
      </c>
      <c r="BY922" t="s">
        <v>0</v>
      </c>
      <c r="BZ922" t="s">
        <v>0</v>
      </c>
      <c r="CA922" t="s">
        <v>0</v>
      </c>
      <c r="CB922" t="s">
        <v>0</v>
      </c>
    </row>
    <row r="923" spans="1:80" ht="13.95" customHeight="1" x14ac:dyDescent="0.25">
      <c r="A923" t="s">
        <v>463</v>
      </c>
      <c r="B923" s="2">
        <v>45918</v>
      </c>
      <c r="C923" s="2">
        <v>45918</v>
      </c>
      <c r="D923" s="2">
        <v>45948</v>
      </c>
      <c r="E923" t="s">
        <v>2</v>
      </c>
      <c r="F923" t="s">
        <v>3</v>
      </c>
      <c r="G923" t="s">
        <v>0</v>
      </c>
      <c r="H923" t="s">
        <v>4</v>
      </c>
      <c r="I923" t="s">
        <v>458</v>
      </c>
      <c r="J923" t="s">
        <v>6</v>
      </c>
      <c r="K923" t="s">
        <v>228</v>
      </c>
      <c r="L923" t="s">
        <v>35</v>
      </c>
      <c r="M923" t="s">
        <v>36</v>
      </c>
      <c r="N923" t="s">
        <v>10</v>
      </c>
      <c r="O923" t="s">
        <v>0</v>
      </c>
      <c r="P923" t="s">
        <v>11</v>
      </c>
      <c r="Q923" s="3">
        <v>16.899999999999999</v>
      </c>
      <c r="R923" s="4">
        <v>47260</v>
      </c>
      <c r="S923" s="5">
        <v>1</v>
      </c>
      <c r="T923" s="4">
        <v>798694</v>
      </c>
      <c r="U923" s="5">
        <v>0</v>
      </c>
      <c r="V923" s="4">
        <v>0</v>
      </c>
      <c r="W923" s="5">
        <v>0</v>
      </c>
      <c r="X923" s="4">
        <v>0</v>
      </c>
      <c r="Y923" s="4">
        <f t="shared" si="28"/>
        <v>798694</v>
      </c>
      <c r="Z923" s="6" t="s">
        <v>0</v>
      </c>
      <c r="AA923" t="s">
        <v>2</v>
      </c>
      <c r="AB923" t="s">
        <v>103</v>
      </c>
      <c r="AC923">
        <f>_xlfn.XLOOKUP(AB923,'[1]GST Codes'!$A:$A,'[1]GST Codes'!$C:$C,0,0)</f>
        <v>18</v>
      </c>
      <c r="AD923">
        <f t="shared" si="29"/>
        <v>942458.92</v>
      </c>
      <c r="AE923" t="s">
        <v>13</v>
      </c>
      <c r="AF923" t="s">
        <v>0</v>
      </c>
      <c r="AG923" t="s">
        <v>14</v>
      </c>
      <c r="AH923" t="s">
        <v>15</v>
      </c>
      <c r="AI923" t="s">
        <v>85</v>
      </c>
      <c r="AJ923" t="s">
        <v>17</v>
      </c>
      <c r="AK923" t="s">
        <v>18</v>
      </c>
      <c r="AL923" t="s">
        <v>19</v>
      </c>
      <c r="AM923" t="s">
        <v>459</v>
      </c>
      <c r="AN923" t="s">
        <v>0</v>
      </c>
      <c r="AO923" t="s">
        <v>0</v>
      </c>
      <c r="AP923" t="s">
        <v>0</v>
      </c>
      <c r="AQ923" s="3">
        <v>16.899999999999999</v>
      </c>
      <c r="AR923" t="s">
        <v>11</v>
      </c>
      <c r="AS923" t="s">
        <v>0</v>
      </c>
      <c r="AT923" t="s">
        <v>17</v>
      </c>
      <c r="AU923" s="4">
        <v>0</v>
      </c>
      <c r="AV923" s="4">
        <v>0</v>
      </c>
      <c r="AW923" s="4">
        <v>0</v>
      </c>
      <c r="AX923" s="4">
        <v>0</v>
      </c>
      <c r="AY923" s="5">
        <v>0</v>
      </c>
      <c r="AZ923" s="5">
        <v>0</v>
      </c>
      <c r="BA923" s="5">
        <v>0</v>
      </c>
      <c r="BB923" s="2"/>
      <c r="BC923" t="s">
        <v>0</v>
      </c>
      <c r="BD923" s="5">
        <v>1</v>
      </c>
      <c r="BE923" t="s">
        <v>0</v>
      </c>
      <c r="BF923" t="s">
        <v>460</v>
      </c>
      <c r="BG923" t="s">
        <v>17</v>
      </c>
      <c r="BH923" t="s">
        <v>0</v>
      </c>
      <c r="BI923" t="s">
        <v>11</v>
      </c>
      <c r="BJ923" t="s">
        <v>0</v>
      </c>
      <c r="BK923" t="s">
        <v>0</v>
      </c>
      <c r="BL923" s="5">
        <v>0</v>
      </c>
      <c r="BM923" t="s">
        <v>0</v>
      </c>
      <c r="BN923" t="s">
        <v>0</v>
      </c>
      <c r="BO923" t="s">
        <v>0</v>
      </c>
      <c r="BP923" t="s">
        <v>17</v>
      </c>
      <c r="BQ923" t="s">
        <v>0</v>
      </c>
      <c r="BR923" t="s">
        <v>17</v>
      </c>
      <c r="BS923" t="s">
        <v>17</v>
      </c>
      <c r="BT923" t="s">
        <v>0</v>
      </c>
      <c r="BU923" t="s">
        <v>0</v>
      </c>
      <c r="BV923" t="s">
        <v>0</v>
      </c>
      <c r="BW923" t="s">
        <v>0</v>
      </c>
      <c r="BX923" t="s">
        <v>0</v>
      </c>
      <c r="BY923" t="s">
        <v>0</v>
      </c>
      <c r="BZ923" t="s">
        <v>0</v>
      </c>
      <c r="CA923" t="s">
        <v>0</v>
      </c>
      <c r="CB923" t="s">
        <v>0</v>
      </c>
    </row>
    <row r="924" spans="1:80" ht="13.95" customHeight="1" x14ac:dyDescent="0.25">
      <c r="A924" t="s">
        <v>463</v>
      </c>
      <c r="B924" s="2">
        <v>45918</v>
      </c>
      <c r="C924" s="2">
        <v>45918</v>
      </c>
      <c r="D924" s="2">
        <v>45948</v>
      </c>
      <c r="E924" t="s">
        <v>2</v>
      </c>
      <c r="F924" t="s">
        <v>3</v>
      </c>
      <c r="G924" t="s">
        <v>0</v>
      </c>
      <c r="H924" t="s">
        <v>4</v>
      </c>
      <c r="I924" t="s">
        <v>458</v>
      </c>
      <c r="J924" t="s">
        <v>6</v>
      </c>
      <c r="K924" t="s">
        <v>231</v>
      </c>
      <c r="L924" t="s">
        <v>35</v>
      </c>
      <c r="M924" t="s">
        <v>36</v>
      </c>
      <c r="N924" t="s">
        <v>10</v>
      </c>
      <c r="O924" t="s">
        <v>0</v>
      </c>
      <c r="P924" t="s">
        <v>11</v>
      </c>
      <c r="Q924" s="3">
        <v>2.5</v>
      </c>
      <c r="R924" s="4">
        <v>47260</v>
      </c>
      <c r="S924" s="5">
        <v>1</v>
      </c>
      <c r="T924" s="4">
        <v>118150</v>
      </c>
      <c r="U924" s="5">
        <v>0</v>
      </c>
      <c r="V924" s="4">
        <v>0</v>
      </c>
      <c r="W924" s="5">
        <v>0</v>
      </c>
      <c r="X924" s="4">
        <v>0</v>
      </c>
      <c r="Y924" s="4">
        <f t="shared" si="28"/>
        <v>118150</v>
      </c>
      <c r="Z924" s="6" t="s">
        <v>0</v>
      </c>
      <c r="AA924" t="s">
        <v>2</v>
      </c>
      <c r="AB924" t="s">
        <v>103</v>
      </c>
      <c r="AC924">
        <f>_xlfn.XLOOKUP(AB924,'[1]GST Codes'!$A:$A,'[1]GST Codes'!$C:$C,0,0)</f>
        <v>18</v>
      </c>
      <c r="AD924">
        <f t="shared" si="29"/>
        <v>139417</v>
      </c>
      <c r="AE924" t="s">
        <v>13</v>
      </c>
      <c r="AF924" t="s">
        <v>0</v>
      </c>
      <c r="AG924" t="s">
        <v>14</v>
      </c>
      <c r="AH924" t="s">
        <v>15</v>
      </c>
      <c r="AI924" t="s">
        <v>85</v>
      </c>
      <c r="AJ924" t="s">
        <v>17</v>
      </c>
      <c r="AK924" t="s">
        <v>18</v>
      </c>
      <c r="AL924" t="s">
        <v>19</v>
      </c>
      <c r="AM924" t="s">
        <v>459</v>
      </c>
      <c r="AN924" t="s">
        <v>0</v>
      </c>
      <c r="AO924" t="s">
        <v>0</v>
      </c>
      <c r="AP924" t="s">
        <v>0</v>
      </c>
      <c r="AQ924" s="3">
        <v>2.5</v>
      </c>
      <c r="AR924" t="s">
        <v>11</v>
      </c>
      <c r="AS924" t="s">
        <v>0</v>
      </c>
      <c r="AT924" t="s">
        <v>17</v>
      </c>
      <c r="AU924" s="4">
        <v>0</v>
      </c>
      <c r="AV924" s="4">
        <v>0</v>
      </c>
      <c r="AW924" s="4">
        <v>0</v>
      </c>
      <c r="AX924" s="4">
        <v>0</v>
      </c>
      <c r="AY924" s="5">
        <v>0</v>
      </c>
      <c r="AZ924" s="5">
        <v>0</v>
      </c>
      <c r="BA924" s="5">
        <v>0</v>
      </c>
      <c r="BB924" s="2"/>
      <c r="BC924" t="s">
        <v>0</v>
      </c>
      <c r="BD924" s="5">
        <v>1</v>
      </c>
      <c r="BE924" t="s">
        <v>0</v>
      </c>
      <c r="BF924" t="s">
        <v>460</v>
      </c>
      <c r="BG924" t="s">
        <v>17</v>
      </c>
      <c r="BH924" t="s">
        <v>0</v>
      </c>
      <c r="BI924" t="s">
        <v>11</v>
      </c>
      <c r="BJ924" t="s">
        <v>0</v>
      </c>
      <c r="BK924" t="s">
        <v>0</v>
      </c>
      <c r="BL924" s="5">
        <v>0</v>
      </c>
      <c r="BM924" t="s">
        <v>0</v>
      </c>
      <c r="BN924" t="s">
        <v>0</v>
      </c>
      <c r="BO924" t="s">
        <v>0</v>
      </c>
      <c r="BP924" t="s">
        <v>17</v>
      </c>
      <c r="BQ924" t="s">
        <v>0</v>
      </c>
      <c r="BR924" t="s">
        <v>17</v>
      </c>
      <c r="BS924" t="s">
        <v>17</v>
      </c>
      <c r="BT924" t="s">
        <v>0</v>
      </c>
      <c r="BU924" t="s">
        <v>0</v>
      </c>
      <c r="BV924" t="s">
        <v>0</v>
      </c>
      <c r="BW924" t="s">
        <v>0</v>
      </c>
      <c r="BX924" t="s">
        <v>0</v>
      </c>
      <c r="BY924" t="s">
        <v>0</v>
      </c>
      <c r="BZ924" t="s">
        <v>0</v>
      </c>
      <c r="CA924" t="s">
        <v>0</v>
      </c>
      <c r="CB924" t="s">
        <v>0</v>
      </c>
    </row>
    <row r="925" spans="1:80" ht="13.95" customHeight="1" x14ac:dyDescent="0.25">
      <c r="A925" t="s">
        <v>463</v>
      </c>
      <c r="B925" s="2">
        <v>45918</v>
      </c>
      <c r="C925" s="2">
        <v>45918</v>
      </c>
      <c r="D925" s="2">
        <v>45948</v>
      </c>
      <c r="E925" t="s">
        <v>2</v>
      </c>
      <c r="F925" t="s">
        <v>3</v>
      </c>
      <c r="G925" t="s">
        <v>0</v>
      </c>
      <c r="H925" t="s">
        <v>4</v>
      </c>
      <c r="I925" t="s">
        <v>458</v>
      </c>
      <c r="J925" t="s">
        <v>6</v>
      </c>
      <c r="K925" t="s">
        <v>232</v>
      </c>
      <c r="L925" t="s">
        <v>329</v>
      </c>
      <c r="M925" t="s">
        <v>339</v>
      </c>
      <c r="N925" t="s">
        <v>10</v>
      </c>
      <c r="O925" t="s">
        <v>0</v>
      </c>
      <c r="P925" t="s">
        <v>11</v>
      </c>
      <c r="Q925" s="5">
        <v>14</v>
      </c>
      <c r="R925" s="4">
        <v>46260</v>
      </c>
      <c r="S925" s="5">
        <v>1</v>
      </c>
      <c r="T925" s="4">
        <v>647640</v>
      </c>
      <c r="U925" s="5">
        <v>0</v>
      </c>
      <c r="V925" s="4">
        <v>0</v>
      </c>
      <c r="W925" s="5">
        <v>0</v>
      </c>
      <c r="X925" s="4">
        <v>0</v>
      </c>
      <c r="Y925" s="4">
        <f t="shared" si="28"/>
        <v>647640</v>
      </c>
      <c r="Z925" s="6" t="s">
        <v>0</v>
      </c>
      <c r="AA925" t="s">
        <v>2</v>
      </c>
      <c r="AB925" t="s">
        <v>103</v>
      </c>
      <c r="AC925">
        <f>_xlfn.XLOOKUP(AB925,'[1]GST Codes'!$A:$A,'[1]GST Codes'!$C:$C,0,0)</f>
        <v>18</v>
      </c>
      <c r="AD925">
        <f t="shared" si="29"/>
        <v>764215.2</v>
      </c>
      <c r="AE925" t="s">
        <v>13</v>
      </c>
      <c r="AF925" t="s">
        <v>0</v>
      </c>
      <c r="AG925" t="s">
        <v>14</v>
      </c>
      <c r="AH925" t="s">
        <v>15</v>
      </c>
      <c r="AI925" t="s">
        <v>85</v>
      </c>
      <c r="AJ925" t="s">
        <v>17</v>
      </c>
      <c r="AK925" t="s">
        <v>18</v>
      </c>
      <c r="AL925" t="s">
        <v>19</v>
      </c>
      <c r="AM925" t="s">
        <v>459</v>
      </c>
      <c r="AN925" t="s">
        <v>0</v>
      </c>
      <c r="AO925" t="s">
        <v>0</v>
      </c>
      <c r="AP925" t="s">
        <v>0</v>
      </c>
      <c r="AQ925" s="5">
        <v>14</v>
      </c>
      <c r="AR925" t="s">
        <v>11</v>
      </c>
      <c r="AS925" t="s">
        <v>0</v>
      </c>
      <c r="AT925" t="s">
        <v>17</v>
      </c>
      <c r="AU925" s="4">
        <v>0</v>
      </c>
      <c r="AV925" s="4">
        <v>0</v>
      </c>
      <c r="AW925" s="4">
        <v>0</v>
      </c>
      <c r="AX925" s="4">
        <v>0</v>
      </c>
      <c r="AY925" s="5">
        <v>0</v>
      </c>
      <c r="AZ925" s="5">
        <v>0</v>
      </c>
      <c r="BA925" s="5">
        <v>0</v>
      </c>
      <c r="BB925" s="2"/>
      <c r="BC925" t="s">
        <v>0</v>
      </c>
      <c r="BD925" s="5">
        <v>1</v>
      </c>
      <c r="BE925" t="s">
        <v>0</v>
      </c>
      <c r="BF925" t="s">
        <v>461</v>
      </c>
      <c r="BG925" t="s">
        <v>17</v>
      </c>
      <c r="BH925" t="s">
        <v>0</v>
      </c>
      <c r="BI925" t="s">
        <v>11</v>
      </c>
      <c r="BJ925" t="s">
        <v>0</v>
      </c>
      <c r="BK925" t="s">
        <v>0</v>
      </c>
      <c r="BL925" s="5">
        <v>0</v>
      </c>
      <c r="BM925" t="s">
        <v>0</v>
      </c>
      <c r="BN925" t="s">
        <v>0</v>
      </c>
      <c r="BO925" t="s">
        <v>0</v>
      </c>
      <c r="BP925" t="s">
        <v>17</v>
      </c>
      <c r="BQ925" t="s">
        <v>0</v>
      </c>
      <c r="BR925" t="s">
        <v>17</v>
      </c>
      <c r="BS925" t="s">
        <v>17</v>
      </c>
      <c r="BT925" t="s">
        <v>0</v>
      </c>
      <c r="BU925" t="s">
        <v>0</v>
      </c>
      <c r="BV925" t="s">
        <v>0</v>
      </c>
      <c r="BW925" t="s">
        <v>0</v>
      </c>
      <c r="BX925" t="s">
        <v>0</v>
      </c>
      <c r="BY925" t="s">
        <v>0</v>
      </c>
      <c r="BZ925" t="s">
        <v>0</v>
      </c>
      <c r="CA925" t="s">
        <v>0</v>
      </c>
      <c r="CB925" t="s">
        <v>0</v>
      </c>
    </row>
    <row r="926" spans="1:80" ht="13.95" customHeight="1" x14ac:dyDescent="0.25">
      <c r="A926" t="s">
        <v>463</v>
      </c>
      <c r="B926" s="2">
        <v>45918</v>
      </c>
      <c r="C926" s="2">
        <v>45918</v>
      </c>
      <c r="D926" s="2">
        <v>45948</v>
      </c>
      <c r="E926" t="s">
        <v>2</v>
      </c>
      <c r="F926" t="s">
        <v>3</v>
      </c>
      <c r="G926" t="s">
        <v>0</v>
      </c>
      <c r="H926" t="s">
        <v>4</v>
      </c>
      <c r="I926" t="s">
        <v>458</v>
      </c>
      <c r="J926" t="s">
        <v>6</v>
      </c>
      <c r="K926" t="s">
        <v>233</v>
      </c>
      <c r="L926" t="s">
        <v>329</v>
      </c>
      <c r="M926" t="s">
        <v>339</v>
      </c>
      <c r="N926" t="s">
        <v>10</v>
      </c>
      <c r="O926" t="s">
        <v>0</v>
      </c>
      <c r="P926" t="s">
        <v>11</v>
      </c>
      <c r="Q926" s="5">
        <v>14</v>
      </c>
      <c r="R926" s="4">
        <v>46260</v>
      </c>
      <c r="S926" s="5">
        <v>1</v>
      </c>
      <c r="T926" s="4">
        <v>647640</v>
      </c>
      <c r="U926" s="5">
        <v>0</v>
      </c>
      <c r="V926" s="4">
        <v>0</v>
      </c>
      <c r="W926" s="5">
        <v>0</v>
      </c>
      <c r="X926" s="4">
        <v>0</v>
      </c>
      <c r="Y926" s="4">
        <f t="shared" si="28"/>
        <v>647640</v>
      </c>
      <c r="Z926" s="6" t="s">
        <v>0</v>
      </c>
      <c r="AA926" t="s">
        <v>2</v>
      </c>
      <c r="AB926" t="s">
        <v>103</v>
      </c>
      <c r="AC926">
        <f>_xlfn.XLOOKUP(AB926,'[1]GST Codes'!$A:$A,'[1]GST Codes'!$C:$C,0,0)</f>
        <v>18</v>
      </c>
      <c r="AD926">
        <f t="shared" si="29"/>
        <v>764215.2</v>
      </c>
      <c r="AE926" t="s">
        <v>13</v>
      </c>
      <c r="AF926" t="s">
        <v>0</v>
      </c>
      <c r="AG926" t="s">
        <v>14</v>
      </c>
      <c r="AH926" t="s">
        <v>15</v>
      </c>
      <c r="AI926" t="s">
        <v>85</v>
      </c>
      <c r="AJ926" t="s">
        <v>17</v>
      </c>
      <c r="AK926" t="s">
        <v>18</v>
      </c>
      <c r="AL926" t="s">
        <v>19</v>
      </c>
      <c r="AM926" t="s">
        <v>459</v>
      </c>
      <c r="AN926" t="s">
        <v>0</v>
      </c>
      <c r="AO926" t="s">
        <v>0</v>
      </c>
      <c r="AP926" t="s">
        <v>0</v>
      </c>
      <c r="AQ926" s="5">
        <v>14</v>
      </c>
      <c r="AR926" t="s">
        <v>11</v>
      </c>
      <c r="AS926" t="s">
        <v>0</v>
      </c>
      <c r="AT926" t="s">
        <v>17</v>
      </c>
      <c r="AU926" s="4">
        <v>0</v>
      </c>
      <c r="AV926" s="4">
        <v>0</v>
      </c>
      <c r="AW926" s="4">
        <v>0</v>
      </c>
      <c r="AX926" s="4">
        <v>0</v>
      </c>
      <c r="AY926" s="5">
        <v>0</v>
      </c>
      <c r="AZ926" s="5">
        <v>0</v>
      </c>
      <c r="BA926" s="5">
        <v>0</v>
      </c>
      <c r="BB926" s="2"/>
      <c r="BC926" t="s">
        <v>0</v>
      </c>
      <c r="BD926" s="5">
        <v>1</v>
      </c>
      <c r="BE926" t="s">
        <v>0</v>
      </c>
      <c r="BF926" t="s">
        <v>461</v>
      </c>
      <c r="BG926" t="s">
        <v>17</v>
      </c>
      <c r="BH926" t="s">
        <v>0</v>
      </c>
      <c r="BI926" t="s">
        <v>11</v>
      </c>
      <c r="BJ926" t="s">
        <v>0</v>
      </c>
      <c r="BK926" t="s">
        <v>0</v>
      </c>
      <c r="BL926" s="5">
        <v>0</v>
      </c>
      <c r="BM926" t="s">
        <v>0</v>
      </c>
      <c r="BN926" t="s">
        <v>0</v>
      </c>
      <c r="BO926" t="s">
        <v>0</v>
      </c>
      <c r="BP926" t="s">
        <v>17</v>
      </c>
      <c r="BQ926" t="s">
        <v>0</v>
      </c>
      <c r="BR926" t="s">
        <v>17</v>
      </c>
      <c r="BS926" t="s">
        <v>17</v>
      </c>
      <c r="BT926" t="s">
        <v>0</v>
      </c>
      <c r="BU926" t="s">
        <v>0</v>
      </c>
      <c r="BV926" t="s">
        <v>0</v>
      </c>
      <c r="BW926" t="s">
        <v>0</v>
      </c>
      <c r="BX926" t="s">
        <v>0</v>
      </c>
      <c r="BY926" t="s">
        <v>0</v>
      </c>
      <c r="BZ926" t="s">
        <v>0</v>
      </c>
      <c r="CA926" t="s">
        <v>0</v>
      </c>
      <c r="CB926" t="s">
        <v>0</v>
      </c>
    </row>
    <row r="927" spans="1:80" ht="13.95" customHeight="1" x14ac:dyDescent="0.25">
      <c r="A927" t="s">
        <v>463</v>
      </c>
      <c r="B927" s="2">
        <v>45918</v>
      </c>
      <c r="C927" s="2">
        <v>45918</v>
      </c>
      <c r="D927" s="2">
        <v>45948</v>
      </c>
      <c r="E927" t="s">
        <v>2</v>
      </c>
      <c r="F927" t="s">
        <v>3</v>
      </c>
      <c r="G927" t="s">
        <v>0</v>
      </c>
      <c r="H927" t="s">
        <v>4</v>
      </c>
      <c r="I927" t="s">
        <v>458</v>
      </c>
      <c r="J927" t="s">
        <v>6</v>
      </c>
      <c r="K927" t="s">
        <v>237</v>
      </c>
      <c r="L927" t="s">
        <v>354</v>
      </c>
      <c r="M927" t="s">
        <v>338</v>
      </c>
      <c r="N927" t="s">
        <v>10</v>
      </c>
      <c r="O927" t="s">
        <v>0</v>
      </c>
      <c r="P927" t="s">
        <v>11</v>
      </c>
      <c r="Q927" s="3">
        <v>11.69</v>
      </c>
      <c r="R927" s="4">
        <v>46260</v>
      </c>
      <c r="S927" s="5">
        <v>1</v>
      </c>
      <c r="T927" s="4">
        <v>540779.4</v>
      </c>
      <c r="U927" s="5">
        <v>0</v>
      </c>
      <c r="V927" s="4">
        <v>0</v>
      </c>
      <c r="W927" s="5">
        <v>0</v>
      </c>
      <c r="X927" s="4">
        <v>0</v>
      </c>
      <c r="Y927" s="4">
        <f t="shared" si="28"/>
        <v>540779.4</v>
      </c>
      <c r="Z927" s="6" t="s">
        <v>0</v>
      </c>
      <c r="AA927" t="s">
        <v>2</v>
      </c>
      <c r="AB927" t="s">
        <v>103</v>
      </c>
      <c r="AC927">
        <f>_xlfn.XLOOKUP(AB927,'[1]GST Codes'!$A:$A,'[1]GST Codes'!$C:$C,0,0)</f>
        <v>18</v>
      </c>
      <c r="AD927">
        <f t="shared" si="29"/>
        <v>638119.69200000004</v>
      </c>
      <c r="AE927" t="s">
        <v>13</v>
      </c>
      <c r="AF927" t="s">
        <v>0</v>
      </c>
      <c r="AG927" t="s">
        <v>14</v>
      </c>
      <c r="AH927" t="s">
        <v>15</v>
      </c>
      <c r="AI927" t="s">
        <v>85</v>
      </c>
      <c r="AJ927" t="s">
        <v>17</v>
      </c>
      <c r="AK927" t="s">
        <v>18</v>
      </c>
      <c r="AL927" t="s">
        <v>19</v>
      </c>
      <c r="AM927" t="s">
        <v>459</v>
      </c>
      <c r="AN927" t="s">
        <v>0</v>
      </c>
      <c r="AO927" t="s">
        <v>0</v>
      </c>
      <c r="AP927" t="s">
        <v>0</v>
      </c>
      <c r="AQ927" s="3">
        <v>11.69</v>
      </c>
      <c r="AR927" t="s">
        <v>11</v>
      </c>
      <c r="AS927" t="s">
        <v>0</v>
      </c>
      <c r="AT927" t="s">
        <v>17</v>
      </c>
      <c r="AU927" s="4">
        <v>0</v>
      </c>
      <c r="AV927" s="4">
        <v>0</v>
      </c>
      <c r="AW927" s="4">
        <v>0</v>
      </c>
      <c r="AX927" s="4">
        <v>0</v>
      </c>
      <c r="AY927" s="5">
        <v>0</v>
      </c>
      <c r="AZ927" s="5">
        <v>0</v>
      </c>
      <c r="BA927" s="5">
        <v>0</v>
      </c>
      <c r="BB927" s="2"/>
      <c r="BC927" t="s">
        <v>0</v>
      </c>
      <c r="BD927" s="5">
        <v>1</v>
      </c>
      <c r="BE927" t="s">
        <v>0</v>
      </c>
      <c r="BF927" t="s">
        <v>467</v>
      </c>
      <c r="BG927" t="s">
        <v>17</v>
      </c>
      <c r="BH927" t="s">
        <v>0</v>
      </c>
      <c r="BI927" t="s">
        <v>11</v>
      </c>
      <c r="BJ927" t="s">
        <v>0</v>
      </c>
      <c r="BK927" t="s">
        <v>0</v>
      </c>
      <c r="BL927" s="5">
        <v>0</v>
      </c>
      <c r="BM927" t="s">
        <v>0</v>
      </c>
      <c r="BN927" t="s">
        <v>0</v>
      </c>
      <c r="BO927" t="s">
        <v>0</v>
      </c>
      <c r="BP927" t="s">
        <v>17</v>
      </c>
      <c r="BQ927" t="s">
        <v>0</v>
      </c>
      <c r="BR927" t="s">
        <v>17</v>
      </c>
      <c r="BS927" t="s">
        <v>17</v>
      </c>
      <c r="BT927" t="s">
        <v>0</v>
      </c>
      <c r="BU927" t="s">
        <v>0</v>
      </c>
      <c r="BV927" t="s">
        <v>0</v>
      </c>
      <c r="BW927" t="s">
        <v>0</v>
      </c>
      <c r="BX927" t="s">
        <v>0</v>
      </c>
      <c r="BY927" t="s">
        <v>0</v>
      </c>
      <c r="BZ927" t="s">
        <v>0</v>
      </c>
      <c r="CA927" t="s">
        <v>0</v>
      </c>
      <c r="CB927" t="s">
        <v>0</v>
      </c>
    </row>
    <row r="928" spans="1:80" ht="13.95" customHeight="1" x14ac:dyDescent="0.25">
      <c r="A928" t="s">
        <v>468</v>
      </c>
      <c r="B928" s="2">
        <v>45913</v>
      </c>
      <c r="C928" s="2"/>
      <c r="D928" s="2"/>
      <c r="E928" t="s">
        <v>2</v>
      </c>
      <c r="F928" t="s">
        <v>3</v>
      </c>
      <c r="G928" t="s">
        <v>0</v>
      </c>
      <c r="H928" t="s">
        <v>4</v>
      </c>
      <c r="I928" t="s">
        <v>469</v>
      </c>
      <c r="J928" t="s">
        <v>6</v>
      </c>
      <c r="K928" t="s">
        <v>7</v>
      </c>
      <c r="L928" t="s">
        <v>35</v>
      </c>
      <c r="M928" t="s">
        <v>36</v>
      </c>
      <c r="N928" t="s">
        <v>10</v>
      </c>
      <c r="O928" t="s">
        <v>0</v>
      </c>
      <c r="P928" t="s">
        <v>11</v>
      </c>
      <c r="Q928" s="5">
        <v>30</v>
      </c>
      <c r="R928" s="4">
        <v>49760</v>
      </c>
      <c r="S928" s="5">
        <v>1</v>
      </c>
      <c r="T928" s="4">
        <v>1492800</v>
      </c>
      <c r="U928" s="5">
        <v>0</v>
      </c>
      <c r="V928" s="4">
        <v>0</v>
      </c>
      <c r="W928" s="5">
        <v>0</v>
      </c>
      <c r="X928" s="4">
        <v>0</v>
      </c>
      <c r="Y928" s="4">
        <f t="shared" si="28"/>
        <v>1492800</v>
      </c>
      <c r="Z928" s="6" t="s">
        <v>0</v>
      </c>
      <c r="AA928" t="s">
        <v>2</v>
      </c>
      <c r="AB928" t="s">
        <v>12</v>
      </c>
      <c r="AC928">
        <f>_xlfn.XLOOKUP(AB928,'[1]GST Codes'!$A:$A,'[1]GST Codes'!$C:$C,0,0)</f>
        <v>18</v>
      </c>
      <c r="AD928">
        <f t="shared" si="29"/>
        <v>1761504</v>
      </c>
      <c r="AE928" t="s">
        <v>13</v>
      </c>
      <c r="AF928" t="s">
        <v>0</v>
      </c>
      <c r="AG928" t="s">
        <v>14</v>
      </c>
      <c r="AH928" t="s">
        <v>15</v>
      </c>
      <c r="AI928" t="s">
        <v>16</v>
      </c>
      <c r="AJ928" t="s">
        <v>17</v>
      </c>
      <c r="AK928" t="s">
        <v>18</v>
      </c>
      <c r="AL928" t="s">
        <v>19</v>
      </c>
      <c r="AM928" t="s">
        <v>470</v>
      </c>
      <c r="AN928" t="s">
        <v>0</v>
      </c>
      <c r="AO928" t="s">
        <v>0</v>
      </c>
      <c r="AP928" t="s">
        <v>0</v>
      </c>
      <c r="AQ928" s="5">
        <v>30</v>
      </c>
      <c r="AR928" t="s">
        <v>11</v>
      </c>
      <c r="AS928" t="s">
        <v>0</v>
      </c>
      <c r="AT928" t="s">
        <v>17</v>
      </c>
      <c r="AU928" s="4">
        <v>0</v>
      </c>
      <c r="AV928" s="4">
        <v>0</v>
      </c>
      <c r="AW928" s="4">
        <v>0</v>
      </c>
      <c r="AX928" s="4">
        <v>0</v>
      </c>
      <c r="AY928" s="5">
        <v>0</v>
      </c>
      <c r="AZ928" s="5">
        <v>0</v>
      </c>
      <c r="BA928" s="5">
        <v>0</v>
      </c>
      <c r="BB928" s="2"/>
      <c r="BC928" t="s">
        <v>0</v>
      </c>
      <c r="BD928" s="5">
        <v>1</v>
      </c>
      <c r="BE928" t="s">
        <v>0</v>
      </c>
      <c r="BF928" t="s">
        <v>471</v>
      </c>
      <c r="BG928" t="s">
        <v>17</v>
      </c>
      <c r="BH928" t="s">
        <v>0</v>
      </c>
      <c r="BI928" t="s">
        <v>11</v>
      </c>
      <c r="BJ928" t="s">
        <v>0</v>
      </c>
      <c r="BK928" t="s">
        <v>0</v>
      </c>
      <c r="BL928" s="5">
        <v>0</v>
      </c>
      <c r="BM928" t="s">
        <v>0</v>
      </c>
      <c r="BN928" t="s">
        <v>0</v>
      </c>
      <c r="BO928" t="s">
        <v>0</v>
      </c>
      <c r="BP928" t="s">
        <v>17</v>
      </c>
      <c r="BQ928" t="s">
        <v>0</v>
      </c>
      <c r="BR928" t="s">
        <v>17</v>
      </c>
      <c r="BS928" t="s">
        <v>17</v>
      </c>
      <c r="BT928" t="s">
        <v>0</v>
      </c>
      <c r="BU928" t="s">
        <v>0</v>
      </c>
      <c r="BV928" t="s">
        <v>0</v>
      </c>
      <c r="BW928" t="s">
        <v>0</v>
      </c>
      <c r="BX928" t="s">
        <v>0</v>
      </c>
      <c r="BY928" t="s">
        <v>0</v>
      </c>
      <c r="BZ928" t="s">
        <v>0</v>
      </c>
      <c r="CA928" t="s">
        <v>0</v>
      </c>
      <c r="CB928" t="s">
        <v>0</v>
      </c>
    </row>
    <row r="929" spans="1:80" ht="13.95" customHeight="1" x14ac:dyDescent="0.25">
      <c r="A929" t="s">
        <v>468</v>
      </c>
      <c r="B929" s="2">
        <v>45913</v>
      </c>
      <c r="C929" s="2"/>
      <c r="D929" s="2"/>
      <c r="E929" t="s">
        <v>2</v>
      </c>
      <c r="F929" t="s">
        <v>3</v>
      </c>
      <c r="G929" t="s">
        <v>0</v>
      </c>
      <c r="H929" t="s">
        <v>4</v>
      </c>
      <c r="I929" t="s">
        <v>469</v>
      </c>
      <c r="J929" t="s">
        <v>6</v>
      </c>
      <c r="K929" t="s">
        <v>22</v>
      </c>
      <c r="L929" t="s">
        <v>329</v>
      </c>
      <c r="M929" t="s">
        <v>339</v>
      </c>
      <c r="N929" t="s">
        <v>10</v>
      </c>
      <c r="O929" t="s">
        <v>0</v>
      </c>
      <c r="P929" t="s">
        <v>11</v>
      </c>
      <c r="Q929" s="5">
        <v>60</v>
      </c>
      <c r="R929" s="4">
        <v>48760</v>
      </c>
      <c r="S929" s="5">
        <v>1</v>
      </c>
      <c r="T929" s="4">
        <v>2925600</v>
      </c>
      <c r="U929" s="5">
        <v>0</v>
      </c>
      <c r="V929" s="4">
        <v>0</v>
      </c>
      <c r="W929" s="5">
        <v>0</v>
      </c>
      <c r="X929" s="4">
        <v>0</v>
      </c>
      <c r="Y929" s="4">
        <f t="shared" si="28"/>
        <v>2925600</v>
      </c>
      <c r="Z929" s="6" t="s">
        <v>0</v>
      </c>
      <c r="AA929" t="s">
        <v>2</v>
      </c>
      <c r="AB929" t="s">
        <v>12</v>
      </c>
      <c r="AC929">
        <f>_xlfn.XLOOKUP(AB929,'[1]GST Codes'!$A:$A,'[1]GST Codes'!$C:$C,0,0)</f>
        <v>18</v>
      </c>
      <c r="AD929">
        <f t="shared" si="29"/>
        <v>3452208</v>
      </c>
      <c r="AE929" t="s">
        <v>13</v>
      </c>
      <c r="AF929" t="s">
        <v>0</v>
      </c>
      <c r="AG929" t="s">
        <v>14</v>
      </c>
      <c r="AH929" t="s">
        <v>15</v>
      </c>
      <c r="AI929" t="s">
        <v>16</v>
      </c>
      <c r="AJ929" t="s">
        <v>17</v>
      </c>
      <c r="AK929" t="s">
        <v>18</v>
      </c>
      <c r="AL929" t="s">
        <v>19</v>
      </c>
      <c r="AM929" t="s">
        <v>470</v>
      </c>
      <c r="AN929" t="s">
        <v>0</v>
      </c>
      <c r="AO929" t="s">
        <v>0</v>
      </c>
      <c r="AP929" t="s">
        <v>0</v>
      </c>
      <c r="AQ929" s="5">
        <v>60</v>
      </c>
      <c r="AR929" t="s">
        <v>11</v>
      </c>
      <c r="AS929" t="s">
        <v>0</v>
      </c>
      <c r="AT929" t="s">
        <v>17</v>
      </c>
      <c r="AU929" s="4">
        <v>0</v>
      </c>
      <c r="AV929" s="4">
        <v>0</v>
      </c>
      <c r="AW929" s="4">
        <v>0</v>
      </c>
      <c r="AX929" s="4">
        <v>0</v>
      </c>
      <c r="AY929" s="5">
        <v>0</v>
      </c>
      <c r="AZ929" s="5">
        <v>0</v>
      </c>
      <c r="BA929" s="5">
        <v>0</v>
      </c>
      <c r="BB929" s="2"/>
      <c r="BC929" t="s">
        <v>0</v>
      </c>
      <c r="BD929" s="5">
        <v>1</v>
      </c>
      <c r="BE929" t="s">
        <v>0</v>
      </c>
      <c r="BF929" t="s">
        <v>472</v>
      </c>
      <c r="BG929" t="s">
        <v>17</v>
      </c>
      <c r="BH929" t="s">
        <v>0</v>
      </c>
      <c r="BI929" t="s">
        <v>11</v>
      </c>
      <c r="BJ929" t="s">
        <v>0</v>
      </c>
      <c r="BK929" t="s">
        <v>0</v>
      </c>
      <c r="BL929" s="5">
        <v>0</v>
      </c>
      <c r="BM929" t="s">
        <v>0</v>
      </c>
      <c r="BN929" t="s">
        <v>0</v>
      </c>
      <c r="BO929" t="s">
        <v>0</v>
      </c>
      <c r="BP929" t="s">
        <v>17</v>
      </c>
      <c r="BQ929" t="s">
        <v>0</v>
      </c>
      <c r="BR929" t="s">
        <v>17</v>
      </c>
      <c r="BS929" t="s">
        <v>17</v>
      </c>
      <c r="BT929" t="s">
        <v>0</v>
      </c>
      <c r="BU929" t="s">
        <v>0</v>
      </c>
      <c r="BV929" t="s">
        <v>0</v>
      </c>
      <c r="BW929" t="s">
        <v>0</v>
      </c>
      <c r="BX929" t="s">
        <v>0</v>
      </c>
      <c r="BY929" t="s">
        <v>0</v>
      </c>
      <c r="BZ929" t="s">
        <v>0</v>
      </c>
      <c r="CA929" t="s">
        <v>0</v>
      </c>
      <c r="CB929" t="s">
        <v>0</v>
      </c>
    </row>
    <row r="930" spans="1:80" ht="13.95" customHeight="1" x14ac:dyDescent="0.25">
      <c r="A930" t="s">
        <v>473</v>
      </c>
      <c r="B930" s="2">
        <v>46034</v>
      </c>
      <c r="C930" s="2">
        <v>46034</v>
      </c>
      <c r="D930" s="2">
        <v>46065</v>
      </c>
      <c r="E930" t="s">
        <v>2</v>
      </c>
      <c r="F930" t="s">
        <v>3</v>
      </c>
      <c r="G930" t="s">
        <v>0</v>
      </c>
      <c r="H930" t="s">
        <v>4</v>
      </c>
      <c r="I930" t="s">
        <v>474</v>
      </c>
      <c r="J930" t="s">
        <v>6</v>
      </c>
      <c r="K930" t="s">
        <v>7</v>
      </c>
      <c r="L930" t="s">
        <v>74</v>
      </c>
      <c r="M930" t="s">
        <v>75</v>
      </c>
      <c r="N930" t="s">
        <v>10</v>
      </c>
      <c r="O930" t="s">
        <v>0</v>
      </c>
      <c r="P930" t="s">
        <v>11</v>
      </c>
      <c r="Q930" s="5">
        <v>42</v>
      </c>
      <c r="R930" s="4">
        <v>51800</v>
      </c>
      <c r="S930" s="5">
        <v>1</v>
      </c>
      <c r="T930" s="4">
        <v>2175600</v>
      </c>
      <c r="U930" s="5">
        <v>0</v>
      </c>
      <c r="V930" s="4">
        <v>0</v>
      </c>
      <c r="W930" s="5">
        <v>0</v>
      </c>
      <c r="X930" s="4">
        <v>0</v>
      </c>
      <c r="Y930" s="4">
        <f t="shared" si="28"/>
        <v>2175600</v>
      </c>
      <c r="Z930" s="6" t="s">
        <v>0</v>
      </c>
      <c r="AA930" t="s">
        <v>2</v>
      </c>
      <c r="AB930" t="s">
        <v>12</v>
      </c>
      <c r="AC930">
        <f>_xlfn.XLOOKUP(AB930,'[1]GST Codes'!$A:$A,'[1]GST Codes'!$C:$C,0,0)</f>
        <v>18</v>
      </c>
      <c r="AD930">
        <f t="shared" si="29"/>
        <v>2567208</v>
      </c>
      <c r="AE930" t="s">
        <v>13</v>
      </c>
      <c r="AF930" t="s">
        <v>0</v>
      </c>
      <c r="AG930" t="s">
        <v>14</v>
      </c>
      <c r="AH930" t="s">
        <v>15</v>
      </c>
      <c r="AI930" t="s">
        <v>85</v>
      </c>
      <c r="AJ930" t="s">
        <v>17</v>
      </c>
      <c r="AK930" t="s">
        <v>18</v>
      </c>
      <c r="AL930" t="s">
        <v>19</v>
      </c>
      <c r="AM930" t="s">
        <v>474</v>
      </c>
      <c r="AN930" t="s">
        <v>0</v>
      </c>
      <c r="AO930" t="s">
        <v>0</v>
      </c>
      <c r="AP930" t="s">
        <v>0</v>
      </c>
      <c r="AQ930" s="5">
        <v>42</v>
      </c>
      <c r="AR930" t="s">
        <v>11</v>
      </c>
      <c r="AS930" t="s">
        <v>0</v>
      </c>
      <c r="AT930" t="s">
        <v>17</v>
      </c>
      <c r="AU930" s="4">
        <v>0</v>
      </c>
      <c r="AV930" s="4">
        <v>0</v>
      </c>
      <c r="AW930" s="4">
        <v>0</v>
      </c>
      <c r="AX930" s="4">
        <v>0</v>
      </c>
      <c r="AY930" s="5">
        <v>0</v>
      </c>
      <c r="AZ930" s="5">
        <v>0</v>
      </c>
      <c r="BA930" s="5">
        <v>0</v>
      </c>
      <c r="BB930" s="2"/>
      <c r="BC930" t="s">
        <v>0</v>
      </c>
      <c r="BD930" s="5">
        <v>1</v>
      </c>
      <c r="BE930" t="s">
        <v>0</v>
      </c>
      <c r="BF930" t="s">
        <v>475</v>
      </c>
      <c r="BG930" t="s">
        <v>17</v>
      </c>
      <c r="BH930" t="s">
        <v>0</v>
      </c>
      <c r="BI930" t="s">
        <v>11</v>
      </c>
      <c r="BJ930" t="s">
        <v>0</v>
      </c>
      <c r="BK930" t="s">
        <v>0</v>
      </c>
      <c r="BL930" s="5">
        <v>0</v>
      </c>
      <c r="BM930" t="s">
        <v>0</v>
      </c>
      <c r="BN930" t="s">
        <v>0</v>
      </c>
      <c r="BO930" t="s">
        <v>0</v>
      </c>
      <c r="BP930" t="s">
        <v>17</v>
      </c>
      <c r="BQ930" t="s">
        <v>0</v>
      </c>
      <c r="BR930" t="s">
        <v>17</v>
      </c>
      <c r="BS930" t="s">
        <v>17</v>
      </c>
      <c r="BT930" t="s">
        <v>0</v>
      </c>
      <c r="BU930" t="s">
        <v>0</v>
      </c>
      <c r="BV930" t="s">
        <v>0</v>
      </c>
      <c r="BW930" t="s">
        <v>0</v>
      </c>
      <c r="BX930" t="s">
        <v>0</v>
      </c>
      <c r="BY930" t="s">
        <v>0</v>
      </c>
      <c r="BZ930" t="s">
        <v>0</v>
      </c>
      <c r="CA930" t="s">
        <v>0</v>
      </c>
      <c r="CB930" t="s">
        <v>0</v>
      </c>
    </row>
    <row r="931" spans="1:80" ht="13.95" customHeight="1" x14ac:dyDescent="0.25">
      <c r="A931" t="s">
        <v>473</v>
      </c>
      <c r="B931" s="2">
        <v>46034</v>
      </c>
      <c r="C931" s="2">
        <v>46034</v>
      </c>
      <c r="D931" s="2">
        <v>46065</v>
      </c>
      <c r="E931" t="s">
        <v>2</v>
      </c>
      <c r="F931" t="s">
        <v>3</v>
      </c>
      <c r="G931" t="s">
        <v>0</v>
      </c>
      <c r="H931" t="s">
        <v>4</v>
      </c>
      <c r="I931" t="s">
        <v>474</v>
      </c>
      <c r="J931" t="s">
        <v>6</v>
      </c>
      <c r="K931" t="s">
        <v>22</v>
      </c>
      <c r="L931" t="s">
        <v>74</v>
      </c>
      <c r="M931" t="s">
        <v>75</v>
      </c>
      <c r="N931" t="s">
        <v>10</v>
      </c>
      <c r="O931" t="s">
        <v>0</v>
      </c>
      <c r="P931" t="s">
        <v>11</v>
      </c>
      <c r="Q931" s="5">
        <v>42</v>
      </c>
      <c r="R931" s="4">
        <v>51800</v>
      </c>
      <c r="S931" s="5">
        <v>1</v>
      </c>
      <c r="T931" s="4">
        <v>2175600</v>
      </c>
      <c r="U931" s="5">
        <v>0</v>
      </c>
      <c r="V931" s="4">
        <v>0</v>
      </c>
      <c r="W931" s="5">
        <v>0</v>
      </c>
      <c r="X931" s="4">
        <v>0</v>
      </c>
      <c r="Y931" s="4">
        <f t="shared" si="28"/>
        <v>2175600</v>
      </c>
      <c r="Z931" s="6" t="s">
        <v>0</v>
      </c>
      <c r="AA931" t="s">
        <v>2</v>
      </c>
      <c r="AB931" t="s">
        <v>12</v>
      </c>
      <c r="AC931">
        <f>_xlfn.XLOOKUP(AB931,'[1]GST Codes'!$A:$A,'[1]GST Codes'!$C:$C,0,0)</f>
        <v>18</v>
      </c>
      <c r="AD931">
        <f t="shared" si="29"/>
        <v>2567208</v>
      </c>
      <c r="AE931" t="s">
        <v>13</v>
      </c>
      <c r="AF931" t="s">
        <v>0</v>
      </c>
      <c r="AG931" t="s">
        <v>14</v>
      </c>
      <c r="AH931" t="s">
        <v>15</v>
      </c>
      <c r="AI931" t="s">
        <v>85</v>
      </c>
      <c r="AJ931" t="s">
        <v>17</v>
      </c>
      <c r="AK931" t="s">
        <v>18</v>
      </c>
      <c r="AL931" t="s">
        <v>19</v>
      </c>
      <c r="AM931" t="s">
        <v>474</v>
      </c>
      <c r="AN931" t="s">
        <v>0</v>
      </c>
      <c r="AO931" t="s">
        <v>0</v>
      </c>
      <c r="AP931" t="s">
        <v>0</v>
      </c>
      <c r="AQ931" s="5">
        <v>42</v>
      </c>
      <c r="AR931" t="s">
        <v>11</v>
      </c>
      <c r="AS931" t="s">
        <v>0</v>
      </c>
      <c r="AT931" t="s">
        <v>17</v>
      </c>
      <c r="AU931" s="4">
        <v>0</v>
      </c>
      <c r="AV931" s="4">
        <v>0</v>
      </c>
      <c r="AW931" s="4">
        <v>0</v>
      </c>
      <c r="AX931" s="4">
        <v>0</v>
      </c>
      <c r="AY931" s="5">
        <v>0</v>
      </c>
      <c r="AZ931" s="5">
        <v>0</v>
      </c>
      <c r="BA931" s="5">
        <v>0</v>
      </c>
      <c r="BB931" s="2"/>
      <c r="BC931" t="s">
        <v>0</v>
      </c>
      <c r="BD931" s="5">
        <v>1</v>
      </c>
      <c r="BE931" t="s">
        <v>0</v>
      </c>
      <c r="BF931" t="s">
        <v>475</v>
      </c>
      <c r="BG931" t="s">
        <v>17</v>
      </c>
      <c r="BH931" t="s">
        <v>0</v>
      </c>
      <c r="BI931" t="s">
        <v>11</v>
      </c>
      <c r="BJ931" t="s">
        <v>0</v>
      </c>
      <c r="BK931" t="s">
        <v>0</v>
      </c>
      <c r="BL931" s="5">
        <v>0</v>
      </c>
      <c r="BM931" t="s">
        <v>0</v>
      </c>
      <c r="BN931" t="s">
        <v>0</v>
      </c>
      <c r="BO931" t="s">
        <v>0</v>
      </c>
      <c r="BP931" t="s">
        <v>17</v>
      </c>
      <c r="BQ931" t="s">
        <v>0</v>
      </c>
      <c r="BR931" t="s">
        <v>17</v>
      </c>
      <c r="BS931" t="s">
        <v>17</v>
      </c>
      <c r="BT931" t="s">
        <v>0</v>
      </c>
      <c r="BU931" t="s">
        <v>0</v>
      </c>
      <c r="BV931" t="s">
        <v>0</v>
      </c>
      <c r="BW931" t="s">
        <v>0</v>
      </c>
      <c r="BX931" t="s">
        <v>0</v>
      </c>
      <c r="BY931" t="s">
        <v>0</v>
      </c>
      <c r="BZ931" t="s">
        <v>0</v>
      </c>
      <c r="CA931" t="s">
        <v>0</v>
      </c>
      <c r="CB931" t="s">
        <v>0</v>
      </c>
    </row>
    <row r="932" spans="1:80" ht="13.95" customHeight="1" x14ac:dyDescent="0.25">
      <c r="A932" t="s">
        <v>473</v>
      </c>
      <c r="B932" s="2">
        <v>46034</v>
      </c>
      <c r="C932" s="2">
        <v>46034</v>
      </c>
      <c r="D932" s="2">
        <v>46065</v>
      </c>
      <c r="E932" t="s">
        <v>2</v>
      </c>
      <c r="F932" t="s">
        <v>3</v>
      </c>
      <c r="G932" t="s">
        <v>0</v>
      </c>
      <c r="H932" t="s">
        <v>4</v>
      </c>
      <c r="I932" t="s">
        <v>474</v>
      </c>
      <c r="J932" t="s">
        <v>6</v>
      </c>
      <c r="K932" t="s">
        <v>26</v>
      </c>
      <c r="L932" t="s">
        <v>74</v>
      </c>
      <c r="M932" t="s">
        <v>75</v>
      </c>
      <c r="N932" t="s">
        <v>10</v>
      </c>
      <c r="O932" t="s">
        <v>0</v>
      </c>
      <c r="P932" t="s">
        <v>11</v>
      </c>
      <c r="Q932" s="5">
        <v>42</v>
      </c>
      <c r="R932" s="4">
        <v>51800</v>
      </c>
      <c r="S932" s="5">
        <v>1</v>
      </c>
      <c r="T932" s="4">
        <v>2175600</v>
      </c>
      <c r="U932" s="5">
        <v>0</v>
      </c>
      <c r="V932" s="4">
        <v>0</v>
      </c>
      <c r="W932" s="5">
        <v>0</v>
      </c>
      <c r="X932" s="4">
        <v>0</v>
      </c>
      <c r="Y932" s="4">
        <f t="shared" si="28"/>
        <v>2175600</v>
      </c>
      <c r="Z932" s="6" t="s">
        <v>0</v>
      </c>
      <c r="AA932" t="s">
        <v>2</v>
      </c>
      <c r="AB932" t="s">
        <v>12</v>
      </c>
      <c r="AC932">
        <f>_xlfn.XLOOKUP(AB932,'[1]GST Codes'!$A:$A,'[1]GST Codes'!$C:$C,0,0)</f>
        <v>18</v>
      </c>
      <c r="AD932">
        <f t="shared" si="29"/>
        <v>2567208</v>
      </c>
      <c r="AE932" t="s">
        <v>13</v>
      </c>
      <c r="AF932" t="s">
        <v>0</v>
      </c>
      <c r="AG932" t="s">
        <v>14</v>
      </c>
      <c r="AH932" t="s">
        <v>15</v>
      </c>
      <c r="AI932" t="s">
        <v>85</v>
      </c>
      <c r="AJ932" t="s">
        <v>17</v>
      </c>
      <c r="AK932" t="s">
        <v>18</v>
      </c>
      <c r="AL932" t="s">
        <v>19</v>
      </c>
      <c r="AM932" t="s">
        <v>474</v>
      </c>
      <c r="AN932" t="s">
        <v>0</v>
      </c>
      <c r="AO932" t="s">
        <v>0</v>
      </c>
      <c r="AP932" t="s">
        <v>0</v>
      </c>
      <c r="AQ932" s="5">
        <v>42</v>
      </c>
      <c r="AR932" t="s">
        <v>11</v>
      </c>
      <c r="AS932" t="s">
        <v>0</v>
      </c>
      <c r="AT932" t="s">
        <v>17</v>
      </c>
      <c r="AU932" s="4">
        <v>0</v>
      </c>
      <c r="AV932" s="4">
        <v>0</v>
      </c>
      <c r="AW932" s="4">
        <v>0</v>
      </c>
      <c r="AX932" s="4">
        <v>0</v>
      </c>
      <c r="AY932" s="5">
        <v>0</v>
      </c>
      <c r="AZ932" s="5">
        <v>0</v>
      </c>
      <c r="BA932" s="5">
        <v>0</v>
      </c>
      <c r="BB932" s="2"/>
      <c r="BC932" t="s">
        <v>0</v>
      </c>
      <c r="BD932" s="5">
        <v>1</v>
      </c>
      <c r="BE932" t="s">
        <v>0</v>
      </c>
      <c r="BF932" t="s">
        <v>475</v>
      </c>
      <c r="BG932" t="s">
        <v>17</v>
      </c>
      <c r="BH932" t="s">
        <v>0</v>
      </c>
      <c r="BI932" t="s">
        <v>11</v>
      </c>
      <c r="BJ932" t="s">
        <v>0</v>
      </c>
      <c r="BK932" t="s">
        <v>0</v>
      </c>
      <c r="BL932" s="5">
        <v>0</v>
      </c>
      <c r="BM932" t="s">
        <v>0</v>
      </c>
      <c r="BN932" t="s">
        <v>0</v>
      </c>
      <c r="BO932" t="s">
        <v>0</v>
      </c>
      <c r="BP932" t="s">
        <v>17</v>
      </c>
      <c r="BQ932" t="s">
        <v>0</v>
      </c>
      <c r="BR932" t="s">
        <v>17</v>
      </c>
      <c r="BS932" t="s">
        <v>17</v>
      </c>
      <c r="BT932" t="s">
        <v>0</v>
      </c>
      <c r="BU932" t="s">
        <v>0</v>
      </c>
      <c r="BV932" t="s">
        <v>0</v>
      </c>
      <c r="BW932" t="s">
        <v>0</v>
      </c>
      <c r="BX932" t="s">
        <v>0</v>
      </c>
      <c r="BY932" t="s">
        <v>0</v>
      </c>
      <c r="BZ932" t="s">
        <v>0</v>
      </c>
      <c r="CA932" t="s">
        <v>0</v>
      </c>
      <c r="CB932" t="s">
        <v>0</v>
      </c>
    </row>
    <row r="933" spans="1:80" ht="13.95" customHeight="1" x14ac:dyDescent="0.25">
      <c r="A933" t="s">
        <v>473</v>
      </c>
      <c r="B933" s="2">
        <v>46034</v>
      </c>
      <c r="C933" s="2">
        <v>46034</v>
      </c>
      <c r="D933" s="2">
        <v>46065</v>
      </c>
      <c r="E933" t="s">
        <v>2</v>
      </c>
      <c r="F933" t="s">
        <v>3</v>
      </c>
      <c r="G933" t="s">
        <v>0</v>
      </c>
      <c r="H933" t="s">
        <v>4</v>
      </c>
      <c r="I933" t="s">
        <v>474</v>
      </c>
      <c r="J933" t="s">
        <v>6</v>
      </c>
      <c r="K933" t="s">
        <v>30</v>
      </c>
      <c r="L933" t="s">
        <v>74</v>
      </c>
      <c r="M933" t="s">
        <v>75</v>
      </c>
      <c r="N933" t="s">
        <v>10</v>
      </c>
      <c r="O933" t="s">
        <v>0</v>
      </c>
      <c r="P933" t="s">
        <v>11</v>
      </c>
      <c r="Q933" s="5">
        <v>42</v>
      </c>
      <c r="R933" s="4">
        <v>51800</v>
      </c>
      <c r="S933" s="5">
        <v>1</v>
      </c>
      <c r="T933" s="4">
        <v>2175600</v>
      </c>
      <c r="U933" s="3">
        <v>5.0259999999999998</v>
      </c>
      <c r="V933" s="4">
        <v>260346.8</v>
      </c>
      <c r="W933" s="3">
        <v>5.0259999999999998</v>
      </c>
      <c r="X933" s="4">
        <v>260346.8</v>
      </c>
      <c r="Y933" s="4">
        <f t="shared" si="28"/>
        <v>1915253.2</v>
      </c>
      <c r="Z933" s="6" t="s">
        <v>0</v>
      </c>
      <c r="AA933" t="s">
        <v>2</v>
      </c>
      <c r="AB933" t="s">
        <v>12</v>
      </c>
      <c r="AC933">
        <f>_xlfn.XLOOKUP(AB933,'[1]GST Codes'!$A:$A,'[1]GST Codes'!$C:$C,0,0)</f>
        <v>18</v>
      </c>
      <c r="AD933">
        <f t="shared" si="29"/>
        <v>2259998.7760000001</v>
      </c>
      <c r="AE933" t="s">
        <v>13</v>
      </c>
      <c r="AF933" t="s">
        <v>0</v>
      </c>
      <c r="AG933" t="s">
        <v>14</v>
      </c>
      <c r="AH933" t="s">
        <v>15</v>
      </c>
      <c r="AI933" t="s">
        <v>85</v>
      </c>
      <c r="AJ933" t="s">
        <v>17</v>
      </c>
      <c r="AK933" t="s">
        <v>18</v>
      </c>
      <c r="AL933" t="s">
        <v>19</v>
      </c>
      <c r="AM933" t="s">
        <v>474</v>
      </c>
      <c r="AN933" t="s">
        <v>0</v>
      </c>
      <c r="AO933" t="s">
        <v>0</v>
      </c>
      <c r="AP933" t="s">
        <v>0</v>
      </c>
      <c r="AQ933" s="5">
        <v>42</v>
      </c>
      <c r="AR933" t="s">
        <v>11</v>
      </c>
      <c r="AS933" t="s">
        <v>0</v>
      </c>
      <c r="AT933" t="s">
        <v>17</v>
      </c>
      <c r="AU933" s="4">
        <v>0</v>
      </c>
      <c r="AV933" s="4">
        <v>0</v>
      </c>
      <c r="AW933" s="4">
        <v>0</v>
      </c>
      <c r="AX933" s="4">
        <v>0</v>
      </c>
      <c r="AY933" s="5">
        <v>0</v>
      </c>
      <c r="AZ933" s="5">
        <v>0</v>
      </c>
      <c r="BA933" s="5">
        <v>0</v>
      </c>
      <c r="BB933" s="2"/>
      <c r="BC933" t="s">
        <v>0</v>
      </c>
      <c r="BD933" s="5">
        <v>1</v>
      </c>
      <c r="BE933" t="s">
        <v>0</v>
      </c>
      <c r="BF933" t="s">
        <v>475</v>
      </c>
      <c r="BG933" t="s">
        <v>17</v>
      </c>
      <c r="BH933" t="s">
        <v>0</v>
      </c>
      <c r="BI933" t="s">
        <v>11</v>
      </c>
      <c r="BJ933" t="s">
        <v>0</v>
      </c>
      <c r="BK933" t="s">
        <v>0</v>
      </c>
      <c r="BL933" s="5">
        <v>0</v>
      </c>
      <c r="BM933" t="s">
        <v>0</v>
      </c>
      <c r="BN933" t="s">
        <v>0</v>
      </c>
      <c r="BO933" t="s">
        <v>0</v>
      </c>
      <c r="BP933" t="s">
        <v>17</v>
      </c>
      <c r="BQ933" t="s">
        <v>0</v>
      </c>
      <c r="BR933" t="s">
        <v>17</v>
      </c>
      <c r="BS933" t="s">
        <v>17</v>
      </c>
      <c r="BT933" t="s">
        <v>0</v>
      </c>
      <c r="BU933" t="s">
        <v>0</v>
      </c>
      <c r="BV933" t="s">
        <v>0</v>
      </c>
      <c r="BW933" t="s">
        <v>0</v>
      </c>
      <c r="BX933" t="s">
        <v>0</v>
      </c>
      <c r="BY933" t="s">
        <v>0</v>
      </c>
      <c r="BZ933" t="s">
        <v>0</v>
      </c>
      <c r="CA933" t="s">
        <v>0</v>
      </c>
      <c r="CB933" t="s">
        <v>0</v>
      </c>
    </row>
    <row r="934" spans="1:80" ht="13.95" customHeight="1" x14ac:dyDescent="0.25">
      <c r="A934" t="s">
        <v>473</v>
      </c>
      <c r="B934" s="2">
        <v>46034</v>
      </c>
      <c r="C934" s="2">
        <v>46034</v>
      </c>
      <c r="D934" s="2">
        <v>46065</v>
      </c>
      <c r="E934" t="s">
        <v>2</v>
      </c>
      <c r="F934" t="s">
        <v>3</v>
      </c>
      <c r="G934" t="s">
        <v>0</v>
      </c>
      <c r="H934" t="s">
        <v>4</v>
      </c>
      <c r="I934" t="s">
        <v>474</v>
      </c>
      <c r="J934" t="s">
        <v>6</v>
      </c>
      <c r="K934" t="s">
        <v>34</v>
      </c>
      <c r="L934" t="s">
        <v>74</v>
      </c>
      <c r="M934" t="s">
        <v>75</v>
      </c>
      <c r="N934" t="s">
        <v>10</v>
      </c>
      <c r="O934" t="s">
        <v>0</v>
      </c>
      <c r="P934" t="s">
        <v>11</v>
      </c>
      <c r="Q934" s="5">
        <v>42</v>
      </c>
      <c r="R934" s="4">
        <v>51800</v>
      </c>
      <c r="S934" s="5">
        <v>1</v>
      </c>
      <c r="T934" s="4">
        <v>2175600</v>
      </c>
      <c r="U934" s="5">
        <v>0</v>
      </c>
      <c r="V934" s="4">
        <v>0</v>
      </c>
      <c r="W934" s="5">
        <v>0</v>
      </c>
      <c r="X934" s="4">
        <v>0</v>
      </c>
      <c r="Y934" s="4">
        <f t="shared" si="28"/>
        <v>2175600</v>
      </c>
      <c r="Z934" s="6" t="s">
        <v>0</v>
      </c>
      <c r="AA934" t="s">
        <v>2</v>
      </c>
      <c r="AB934" t="s">
        <v>12</v>
      </c>
      <c r="AC934">
        <f>_xlfn.XLOOKUP(AB934,'[1]GST Codes'!$A:$A,'[1]GST Codes'!$C:$C,0,0)</f>
        <v>18</v>
      </c>
      <c r="AD934">
        <f t="shared" si="29"/>
        <v>2567208</v>
      </c>
      <c r="AE934" t="s">
        <v>13</v>
      </c>
      <c r="AF934" t="s">
        <v>0</v>
      </c>
      <c r="AG934" t="s">
        <v>14</v>
      </c>
      <c r="AH934" t="s">
        <v>15</v>
      </c>
      <c r="AI934" t="s">
        <v>85</v>
      </c>
      <c r="AJ934" t="s">
        <v>17</v>
      </c>
      <c r="AK934" t="s">
        <v>18</v>
      </c>
      <c r="AL934" t="s">
        <v>19</v>
      </c>
      <c r="AM934" t="s">
        <v>474</v>
      </c>
      <c r="AN934" t="s">
        <v>0</v>
      </c>
      <c r="AO934" t="s">
        <v>0</v>
      </c>
      <c r="AP934" t="s">
        <v>0</v>
      </c>
      <c r="AQ934" s="5">
        <v>42</v>
      </c>
      <c r="AR934" t="s">
        <v>11</v>
      </c>
      <c r="AS934" t="s">
        <v>0</v>
      </c>
      <c r="AT934" t="s">
        <v>17</v>
      </c>
      <c r="AU934" s="4">
        <v>0</v>
      </c>
      <c r="AV934" s="4">
        <v>0</v>
      </c>
      <c r="AW934" s="4">
        <v>0</v>
      </c>
      <c r="AX934" s="4">
        <v>0</v>
      </c>
      <c r="AY934" s="5">
        <v>0</v>
      </c>
      <c r="AZ934" s="5">
        <v>0</v>
      </c>
      <c r="BA934" s="5">
        <v>0</v>
      </c>
      <c r="BB934" s="2"/>
      <c r="BC934" t="s">
        <v>0</v>
      </c>
      <c r="BD934" s="5">
        <v>1</v>
      </c>
      <c r="BE934" t="s">
        <v>0</v>
      </c>
      <c r="BF934" t="s">
        <v>475</v>
      </c>
      <c r="BG934" t="s">
        <v>17</v>
      </c>
      <c r="BH934" t="s">
        <v>0</v>
      </c>
      <c r="BI934" t="s">
        <v>11</v>
      </c>
      <c r="BJ934" t="s">
        <v>0</v>
      </c>
      <c r="BK934" t="s">
        <v>0</v>
      </c>
      <c r="BL934" s="5">
        <v>0</v>
      </c>
      <c r="BM934" t="s">
        <v>0</v>
      </c>
      <c r="BN934" t="s">
        <v>0</v>
      </c>
      <c r="BO934" t="s">
        <v>0</v>
      </c>
      <c r="BP934" t="s">
        <v>17</v>
      </c>
      <c r="BQ934" t="s">
        <v>0</v>
      </c>
      <c r="BR934" t="s">
        <v>17</v>
      </c>
      <c r="BS934" t="s">
        <v>17</v>
      </c>
      <c r="BT934" t="s">
        <v>0</v>
      </c>
      <c r="BU934" t="s">
        <v>0</v>
      </c>
      <c r="BV934" t="s">
        <v>0</v>
      </c>
      <c r="BW934" t="s">
        <v>0</v>
      </c>
      <c r="BX934" t="s">
        <v>0</v>
      </c>
      <c r="BY934" t="s">
        <v>0</v>
      </c>
      <c r="BZ934" t="s">
        <v>0</v>
      </c>
      <c r="CA934" t="s">
        <v>0</v>
      </c>
      <c r="CB934" t="s">
        <v>0</v>
      </c>
    </row>
    <row r="935" spans="1:80" ht="13.95" customHeight="1" x14ac:dyDescent="0.25">
      <c r="A935" t="s">
        <v>473</v>
      </c>
      <c r="B935" s="2">
        <v>46034</v>
      </c>
      <c r="C935" s="2">
        <v>46034</v>
      </c>
      <c r="D935" s="2">
        <v>46065</v>
      </c>
      <c r="E935" t="s">
        <v>2</v>
      </c>
      <c r="F935" t="s">
        <v>3</v>
      </c>
      <c r="G935" t="s">
        <v>0</v>
      </c>
      <c r="H935" t="s">
        <v>4</v>
      </c>
      <c r="I935" t="s">
        <v>474</v>
      </c>
      <c r="J935" t="s">
        <v>6</v>
      </c>
      <c r="K935" t="s">
        <v>38</v>
      </c>
      <c r="L935" t="s">
        <v>74</v>
      </c>
      <c r="M935" t="s">
        <v>75</v>
      </c>
      <c r="N935" t="s">
        <v>10</v>
      </c>
      <c r="O935" t="s">
        <v>0</v>
      </c>
      <c r="P935" t="s">
        <v>11</v>
      </c>
      <c r="Q935" s="5">
        <v>40</v>
      </c>
      <c r="R935" s="4">
        <v>51800</v>
      </c>
      <c r="S935" s="5">
        <v>1</v>
      </c>
      <c r="T935" s="4">
        <v>2072000</v>
      </c>
      <c r="U935" s="5">
        <v>0</v>
      </c>
      <c r="V935" s="4">
        <v>0</v>
      </c>
      <c r="W935" s="5">
        <v>0</v>
      </c>
      <c r="X935" s="4">
        <v>0</v>
      </c>
      <c r="Y935" s="4">
        <f t="shared" si="28"/>
        <v>2072000</v>
      </c>
      <c r="Z935" s="6" t="s">
        <v>0</v>
      </c>
      <c r="AA935" t="s">
        <v>2</v>
      </c>
      <c r="AB935" t="s">
        <v>12</v>
      </c>
      <c r="AC935">
        <f>_xlfn.XLOOKUP(AB935,'[1]GST Codes'!$A:$A,'[1]GST Codes'!$C:$C,0,0)</f>
        <v>18</v>
      </c>
      <c r="AD935">
        <f t="shared" si="29"/>
        <v>2444960</v>
      </c>
      <c r="AE935" t="s">
        <v>13</v>
      </c>
      <c r="AF935" t="s">
        <v>0</v>
      </c>
      <c r="AG935" t="s">
        <v>14</v>
      </c>
      <c r="AH935" t="s">
        <v>15</v>
      </c>
      <c r="AI935" t="s">
        <v>85</v>
      </c>
      <c r="AJ935" t="s">
        <v>17</v>
      </c>
      <c r="AK935" t="s">
        <v>18</v>
      </c>
      <c r="AL935" t="s">
        <v>19</v>
      </c>
      <c r="AM935" t="s">
        <v>474</v>
      </c>
      <c r="AN935" t="s">
        <v>0</v>
      </c>
      <c r="AO935" t="s">
        <v>0</v>
      </c>
      <c r="AP935" t="s">
        <v>0</v>
      </c>
      <c r="AQ935" s="5">
        <v>40</v>
      </c>
      <c r="AR935" t="s">
        <v>11</v>
      </c>
      <c r="AS935" t="s">
        <v>0</v>
      </c>
      <c r="AT935" t="s">
        <v>17</v>
      </c>
      <c r="AU935" s="4">
        <v>0</v>
      </c>
      <c r="AV935" s="4">
        <v>0</v>
      </c>
      <c r="AW935" s="4">
        <v>0</v>
      </c>
      <c r="AX935" s="4">
        <v>0</v>
      </c>
      <c r="AY935" s="5">
        <v>0</v>
      </c>
      <c r="AZ935" s="5">
        <v>0</v>
      </c>
      <c r="BA935" s="5">
        <v>0</v>
      </c>
      <c r="BB935" s="2"/>
      <c r="BC935" t="s">
        <v>0</v>
      </c>
      <c r="BD935" s="5">
        <v>1</v>
      </c>
      <c r="BE935" t="s">
        <v>0</v>
      </c>
      <c r="BF935" t="s">
        <v>475</v>
      </c>
      <c r="BG935" t="s">
        <v>17</v>
      </c>
      <c r="BH935" t="s">
        <v>0</v>
      </c>
      <c r="BI935" t="s">
        <v>11</v>
      </c>
      <c r="BJ935" t="s">
        <v>0</v>
      </c>
      <c r="BK935" t="s">
        <v>0</v>
      </c>
      <c r="BL935" s="5">
        <v>0</v>
      </c>
      <c r="BM935" t="s">
        <v>0</v>
      </c>
      <c r="BN935" t="s">
        <v>0</v>
      </c>
      <c r="BO935" t="s">
        <v>0</v>
      </c>
      <c r="BP935" t="s">
        <v>17</v>
      </c>
      <c r="BQ935" t="s">
        <v>0</v>
      </c>
      <c r="BR935" t="s">
        <v>17</v>
      </c>
      <c r="BS935" t="s">
        <v>17</v>
      </c>
      <c r="BT935" t="s">
        <v>0</v>
      </c>
      <c r="BU935" t="s">
        <v>0</v>
      </c>
      <c r="BV935" t="s">
        <v>0</v>
      </c>
      <c r="BW935" t="s">
        <v>0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</row>
    <row r="936" spans="1:80" ht="13.95" customHeight="1" x14ac:dyDescent="0.25">
      <c r="A936" t="s">
        <v>473</v>
      </c>
      <c r="B936" s="2">
        <v>46034</v>
      </c>
      <c r="C936" s="2">
        <v>46034</v>
      </c>
      <c r="D936" s="2">
        <v>46065</v>
      </c>
      <c r="E936" t="s">
        <v>2</v>
      </c>
      <c r="F936" t="s">
        <v>3</v>
      </c>
      <c r="G936" t="s">
        <v>0</v>
      </c>
      <c r="H936" t="s">
        <v>4</v>
      </c>
      <c r="I936" t="s">
        <v>474</v>
      </c>
      <c r="J936" t="s">
        <v>6</v>
      </c>
      <c r="K936" t="s">
        <v>42</v>
      </c>
      <c r="L936" t="s">
        <v>39</v>
      </c>
      <c r="M936" t="s">
        <v>40</v>
      </c>
      <c r="N936" t="s">
        <v>10</v>
      </c>
      <c r="O936" t="s">
        <v>0</v>
      </c>
      <c r="P936" t="s">
        <v>11</v>
      </c>
      <c r="Q936" s="5">
        <v>1</v>
      </c>
      <c r="R936" s="4">
        <v>51800</v>
      </c>
      <c r="S936" s="5">
        <v>1</v>
      </c>
      <c r="T936" s="4">
        <v>51800</v>
      </c>
      <c r="U936" s="5">
        <v>0</v>
      </c>
      <c r="V936" s="4">
        <v>0</v>
      </c>
      <c r="W936" s="5">
        <v>0</v>
      </c>
      <c r="X936" s="4">
        <v>0</v>
      </c>
      <c r="Y936" s="4">
        <f t="shared" si="28"/>
        <v>51800</v>
      </c>
      <c r="Z936" s="6" t="s">
        <v>0</v>
      </c>
      <c r="AA936" t="s">
        <v>2</v>
      </c>
      <c r="AB936" t="s">
        <v>12</v>
      </c>
      <c r="AC936">
        <f>_xlfn.XLOOKUP(AB936,'[1]GST Codes'!$A:$A,'[1]GST Codes'!$C:$C,0,0)</f>
        <v>18</v>
      </c>
      <c r="AD936">
        <f t="shared" si="29"/>
        <v>61124</v>
      </c>
      <c r="AE936" t="s">
        <v>13</v>
      </c>
      <c r="AF936" t="s">
        <v>0</v>
      </c>
      <c r="AG936" t="s">
        <v>14</v>
      </c>
      <c r="AH936" t="s">
        <v>15</v>
      </c>
      <c r="AI936" t="s">
        <v>85</v>
      </c>
      <c r="AJ936" t="s">
        <v>17</v>
      </c>
      <c r="AK936" t="s">
        <v>18</v>
      </c>
      <c r="AL936" t="s">
        <v>19</v>
      </c>
      <c r="AM936" t="s">
        <v>474</v>
      </c>
      <c r="AN936" t="s">
        <v>0</v>
      </c>
      <c r="AO936" t="s">
        <v>0</v>
      </c>
      <c r="AP936" t="s">
        <v>0</v>
      </c>
      <c r="AQ936" s="5">
        <v>1</v>
      </c>
      <c r="AR936" t="s">
        <v>11</v>
      </c>
      <c r="AS936" t="s">
        <v>0</v>
      </c>
      <c r="AT936" t="s">
        <v>17</v>
      </c>
      <c r="AU936" s="4">
        <v>0</v>
      </c>
      <c r="AV936" s="4">
        <v>0</v>
      </c>
      <c r="AW936" s="4">
        <v>0</v>
      </c>
      <c r="AX936" s="4">
        <v>0</v>
      </c>
      <c r="AY936" s="5">
        <v>0</v>
      </c>
      <c r="AZ936" s="5">
        <v>0</v>
      </c>
      <c r="BA936" s="5">
        <v>0</v>
      </c>
      <c r="BB936" s="2"/>
      <c r="BC936" t="s">
        <v>0</v>
      </c>
      <c r="BD936" s="5">
        <v>1</v>
      </c>
      <c r="BE936" t="s">
        <v>0</v>
      </c>
      <c r="BF936" t="s">
        <v>476</v>
      </c>
      <c r="BG936" t="s">
        <v>17</v>
      </c>
      <c r="BH936" t="s">
        <v>0</v>
      </c>
      <c r="BI936" t="s">
        <v>11</v>
      </c>
      <c r="BJ936" t="s">
        <v>0</v>
      </c>
      <c r="BK936" t="s">
        <v>0</v>
      </c>
      <c r="BL936" s="5">
        <v>0</v>
      </c>
      <c r="BM936" t="s">
        <v>0</v>
      </c>
      <c r="BN936" t="s">
        <v>0</v>
      </c>
      <c r="BO936" t="s">
        <v>0</v>
      </c>
      <c r="BP936" t="s">
        <v>17</v>
      </c>
      <c r="BQ936" t="s">
        <v>0</v>
      </c>
      <c r="BR936" t="s">
        <v>17</v>
      </c>
      <c r="BS936" t="s">
        <v>17</v>
      </c>
      <c r="BT936" t="s">
        <v>0</v>
      </c>
      <c r="BU936" t="s">
        <v>0</v>
      </c>
      <c r="BV936" t="s">
        <v>0</v>
      </c>
      <c r="BW936" t="s">
        <v>0</v>
      </c>
      <c r="BX936" t="s">
        <v>0</v>
      </c>
      <c r="BY936" t="s">
        <v>0</v>
      </c>
      <c r="BZ936" t="s">
        <v>0</v>
      </c>
      <c r="CA936" t="s">
        <v>0</v>
      </c>
      <c r="CB936" t="s">
        <v>0</v>
      </c>
    </row>
    <row r="937" spans="1:80" ht="13.95" customHeight="1" x14ac:dyDescent="0.25">
      <c r="A937" t="s">
        <v>473</v>
      </c>
      <c r="B937" s="2">
        <v>46034</v>
      </c>
      <c r="C937" s="2">
        <v>46034</v>
      </c>
      <c r="D937" s="2">
        <v>46065</v>
      </c>
      <c r="E937" t="s">
        <v>2</v>
      </c>
      <c r="F937" t="s">
        <v>3</v>
      </c>
      <c r="G937" t="s">
        <v>0</v>
      </c>
      <c r="H937" t="s">
        <v>4</v>
      </c>
      <c r="I937" t="s">
        <v>474</v>
      </c>
      <c r="J937" t="s">
        <v>6</v>
      </c>
      <c r="K937" t="s">
        <v>86</v>
      </c>
      <c r="L937" t="s">
        <v>39</v>
      </c>
      <c r="M937" t="s">
        <v>40</v>
      </c>
      <c r="N937" t="s">
        <v>10</v>
      </c>
      <c r="O937" t="s">
        <v>0</v>
      </c>
      <c r="P937" t="s">
        <v>11</v>
      </c>
      <c r="Q937" s="5">
        <v>2</v>
      </c>
      <c r="R937" s="4">
        <v>51800</v>
      </c>
      <c r="S937" s="5">
        <v>1</v>
      </c>
      <c r="T937" s="4">
        <v>103600</v>
      </c>
      <c r="U937" s="5">
        <v>0</v>
      </c>
      <c r="V937" s="4">
        <v>0</v>
      </c>
      <c r="W937" s="5">
        <v>0</v>
      </c>
      <c r="X937" s="4">
        <v>0</v>
      </c>
      <c r="Y937" s="4">
        <f t="shared" si="28"/>
        <v>103600</v>
      </c>
      <c r="Z937" s="6" t="s">
        <v>0</v>
      </c>
      <c r="AA937" t="s">
        <v>2</v>
      </c>
      <c r="AB937" t="s">
        <v>12</v>
      </c>
      <c r="AC937">
        <f>_xlfn.XLOOKUP(AB937,'[1]GST Codes'!$A:$A,'[1]GST Codes'!$C:$C,0,0)</f>
        <v>18</v>
      </c>
      <c r="AD937">
        <f t="shared" si="29"/>
        <v>122248</v>
      </c>
      <c r="AE937" t="s">
        <v>13</v>
      </c>
      <c r="AF937" t="s">
        <v>0</v>
      </c>
      <c r="AG937" t="s">
        <v>14</v>
      </c>
      <c r="AH937" t="s">
        <v>15</v>
      </c>
      <c r="AI937" t="s">
        <v>85</v>
      </c>
      <c r="AJ937" t="s">
        <v>17</v>
      </c>
      <c r="AK937" t="s">
        <v>18</v>
      </c>
      <c r="AL937" t="s">
        <v>19</v>
      </c>
      <c r="AM937" t="s">
        <v>474</v>
      </c>
      <c r="AN937" t="s">
        <v>0</v>
      </c>
      <c r="AO937" t="s">
        <v>0</v>
      </c>
      <c r="AP937" t="s">
        <v>0</v>
      </c>
      <c r="AQ937" s="5">
        <v>2</v>
      </c>
      <c r="AR937" t="s">
        <v>11</v>
      </c>
      <c r="AS937" t="s">
        <v>0</v>
      </c>
      <c r="AT937" t="s">
        <v>17</v>
      </c>
      <c r="AU937" s="4">
        <v>0</v>
      </c>
      <c r="AV937" s="4">
        <v>0</v>
      </c>
      <c r="AW937" s="4">
        <v>0</v>
      </c>
      <c r="AX937" s="4">
        <v>0</v>
      </c>
      <c r="AY937" s="5">
        <v>0</v>
      </c>
      <c r="AZ937" s="5">
        <v>0</v>
      </c>
      <c r="BA937" s="5">
        <v>0</v>
      </c>
      <c r="BB937" s="2"/>
      <c r="BC937" t="s">
        <v>0</v>
      </c>
      <c r="BD937" s="5">
        <v>1</v>
      </c>
      <c r="BE937" t="s">
        <v>0</v>
      </c>
      <c r="BF937" t="s">
        <v>476</v>
      </c>
      <c r="BG937" t="s">
        <v>17</v>
      </c>
      <c r="BH937" t="s">
        <v>0</v>
      </c>
      <c r="BI937" t="s">
        <v>11</v>
      </c>
      <c r="BJ937" t="s">
        <v>0</v>
      </c>
      <c r="BK937" t="s">
        <v>0</v>
      </c>
      <c r="BL937" s="5">
        <v>0</v>
      </c>
      <c r="BM937" t="s">
        <v>0</v>
      </c>
      <c r="BN937" t="s">
        <v>0</v>
      </c>
      <c r="BO937" t="s">
        <v>0</v>
      </c>
      <c r="BP937" t="s">
        <v>17</v>
      </c>
      <c r="BQ937" t="s">
        <v>0</v>
      </c>
      <c r="BR937" t="s">
        <v>17</v>
      </c>
      <c r="BS937" t="s">
        <v>17</v>
      </c>
      <c r="BT937" t="s">
        <v>0</v>
      </c>
      <c r="BU937" t="s">
        <v>0</v>
      </c>
      <c r="BV937" t="s">
        <v>0</v>
      </c>
      <c r="BW937" t="s">
        <v>0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</row>
    <row r="938" spans="1:80" ht="13.95" customHeight="1" x14ac:dyDescent="0.25">
      <c r="A938" t="s">
        <v>473</v>
      </c>
      <c r="B938" s="2">
        <v>46034</v>
      </c>
      <c r="C938" s="2">
        <v>46034</v>
      </c>
      <c r="D938" s="2">
        <v>46065</v>
      </c>
      <c r="E938" t="s">
        <v>2</v>
      </c>
      <c r="F938" t="s">
        <v>3</v>
      </c>
      <c r="G938" t="s">
        <v>0</v>
      </c>
      <c r="H938" t="s">
        <v>4</v>
      </c>
      <c r="I938" t="s">
        <v>474</v>
      </c>
      <c r="J938" t="s">
        <v>6</v>
      </c>
      <c r="K938" t="s">
        <v>87</v>
      </c>
      <c r="L938" t="s">
        <v>39</v>
      </c>
      <c r="M938" t="s">
        <v>40</v>
      </c>
      <c r="N938" t="s">
        <v>10</v>
      </c>
      <c r="O938" t="s">
        <v>0</v>
      </c>
      <c r="P938" t="s">
        <v>11</v>
      </c>
      <c r="Q938" s="5">
        <v>2</v>
      </c>
      <c r="R938" s="4">
        <v>51800</v>
      </c>
      <c r="S938" s="5">
        <v>1</v>
      </c>
      <c r="T938" s="4">
        <v>103600</v>
      </c>
      <c r="U938" s="5">
        <v>0</v>
      </c>
      <c r="V938" s="4">
        <v>0</v>
      </c>
      <c r="W938" s="5">
        <v>0</v>
      </c>
      <c r="X938" s="4">
        <v>0</v>
      </c>
      <c r="Y938" s="4">
        <f t="shared" si="28"/>
        <v>103600</v>
      </c>
      <c r="Z938" s="6" t="s">
        <v>0</v>
      </c>
      <c r="AA938" t="s">
        <v>2</v>
      </c>
      <c r="AB938" t="s">
        <v>12</v>
      </c>
      <c r="AC938">
        <f>_xlfn.XLOOKUP(AB938,'[1]GST Codes'!$A:$A,'[1]GST Codes'!$C:$C,0,0)</f>
        <v>18</v>
      </c>
      <c r="AD938">
        <f t="shared" si="29"/>
        <v>122248</v>
      </c>
      <c r="AE938" t="s">
        <v>13</v>
      </c>
      <c r="AF938" t="s">
        <v>0</v>
      </c>
      <c r="AG938" t="s">
        <v>14</v>
      </c>
      <c r="AH938" t="s">
        <v>15</v>
      </c>
      <c r="AI938" t="s">
        <v>85</v>
      </c>
      <c r="AJ938" t="s">
        <v>17</v>
      </c>
      <c r="AK938" t="s">
        <v>18</v>
      </c>
      <c r="AL938" t="s">
        <v>19</v>
      </c>
      <c r="AM938" t="s">
        <v>474</v>
      </c>
      <c r="AN938" t="s">
        <v>0</v>
      </c>
      <c r="AO938" t="s">
        <v>0</v>
      </c>
      <c r="AP938" t="s">
        <v>0</v>
      </c>
      <c r="AQ938" s="5">
        <v>2</v>
      </c>
      <c r="AR938" t="s">
        <v>11</v>
      </c>
      <c r="AS938" t="s">
        <v>0</v>
      </c>
      <c r="AT938" t="s">
        <v>17</v>
      </c>
      <c r="AU938" s="4">
        <v>0</v>
      </c>
      <c r="AV938" s="4">
        <v>0</v>
      </c>
      <c r="AW938" s="4">
        <v>0</v>
      </c>
      <c r="AX938" s="4">
        <v>0</v>
      </c>
      <c r="AY938" s="5">
        <v>0</v>
      </c>
      <c r="AZ938" s="5">
        <v>0</v>
      </c>
      <c r="BA938" s="5">
        <v>0</v>
      </c>
      <c r="BB938" s="2"/>
      <c r="BC938" t="s">
        <v>0</v>
      </c>
      <c r="BD938" s="5">
        <v>1</v>
      </c>
      <c r="BE938" t="s">
        <v>0</v>
      </c>
      <c r="BF938" t="s">
        <v>476</v>
      </c>
      <c r="BG938" t="s">
        <v>17</v>
      </c>
      <c r="BH938" t="s">
        <v>0</v>
      </c>
      <c r="BI938" t="s">
        <v>11</v>
      </c>
      <c r="BJ938" t="s">
        <v>0</v>
      </c>
      <c r="BK938" t="s">
        <v>0</v>
      </c>
      <c r="BL938" s="5">
        <v>0</v>
      </c>
      <c r="BM938" t="s">
        <v>0</v>
      </c>
      <c r="BN938" t="s">
        <v>0</v>
      </c>
      <c r="BO938" t="s">
        <v>0</v>
      </c>
      <c r="BP938" t="s">
        <v>17</v>
      </c>
      <c r="BQ938" t="s">
        <v>0</v>
      </c>
      <c r="BR938" t="s">
        <v>17</v>
      </c>
      <c r="BS938" t="s">
        <v>17</v>
      </c>
      <c r="BT938" t="s">
        <v>0</v>
      </c>
      <c r="BU938" t="s">
        <v>0</v>
      </c>
      <c r="BV938" t="s">
        <v>0</v>
      </c>
      <c r="BW938" t="s">
        <v>0</v>
      </c>
      <c r="BX938" t="s">
        <v>0</v>
      </c>
      <c r="BY938" t="s">
        <v>0</v>
      </c>
      <c r="BZ938" t="s">
        <v>0</v>
      </c>
      <c r="CA938" t="s">
        <v>0</v>
      </c>
      <c r="CB938" t="s">
        <v>0</v>
      </c>
    </row>
    <row r="939" spans="1:80" ht="13.95" customHeight="1" x14ac:dyDescent="0.25">
      <c r="A939" t="s">
        <v>473</v>
      </c>
      <c r="B939" s="2">
        <v>46034</v>
      </c>
      <c r="C939" s="2">
        <v>46034</v>
      </c>
      <c r="D939" s="2">
        <v>46065</v>
      </c>
      <c r="E939" t="s">
        <v>2</v>
      </c>
      <c r="F939" t="s">
        <v>3</v>
      </c>
      <c r="G939" t="s">
        <v>0</v>
      </c>
      <c r="H939" t="s">
        <v>4</v>
      </c>
      <c r="I939" t="s">
        <v>474</v>
      </c>
      <c r="J939" t="s">
        <v>6</v>
      </c>
      <c r="K939" t="s">
        <v>88</v>
      </c>
      <c r="L939" t="s">
        <v>39</v>
      </c>
      <c r="M939" t="s">
        <v>40</v>
      </c>
      <c r="N939" t="s">
        <v>10</v>
      </c>
      <c r="O939" t="s">
        <v>0</v>
      </c>
      <c r="P939" t="s">
        <v>11</v>
      </c>
      <c r="Q939" s="5">
        <v>2</v>
      </c>
      <c r="R939" s="4">
        <v>51800</v>
      </c>
      <c r="S939" s="5">
        <v>1</v>
      </c>
      <c r="T939" s="4">
        <v>103600</v>
      </c>
      <c r="U939" s="5">
        <v>0</v>
      </c>
      <c r="V939" s="4">
        <v>0</v>
      </c>
      <c r="W939" s="5">
        <v>0</v>
      </c>
      <c r="X939" s="4">
        <v>0</v>
      </c>
      <c r="Y939" s="4">
        <f t="shared" si="28"/>
        <v>103600</v>
      </c>
      <c r="Z939" s="6" t="s">
        <v>0</v>
      </c>
      <c r="AA939" t="s">
        <v>2</v>
      </c>
      <c r="AB939" t="s">
        <v>12</v>
      </c>
      <c r="AC939">
        <f>_xlfn.XLOOKUP(AB939,'[1]GST Codes'!$A:$A,'[1]GST Codes'!$C:$C,0,0)</f>
        <v>18</v>
      </c>
      <c r="AD939">
        <f t="shared" si="29"/>
        <v>122248</v>
      </c>
      <c r="AE939" t="s">
        <v>13</v>
      </c>
      <c r="AF939" t="s">
        <v>0</v>
      </c>
      <c r="AG939" t="s">
        <v>14</v>
      </c>
      <c r="AH939" t="s">
        <v>15</v>
      </c>
      <c r="AI939" t="s">
        <v>85</v>
      </c>
      <c r="AJ939" t="s">
        <v>17</v>
      </c>
      <c r="AK939" t="s">
        <v>18</v>
      </c>
      <c r="AL939" t="s">
        <v>19</v>
      </c>
      <c r="AM939" t="s">
        <v>474</v>
      </c>
      <c r="AN939" t="s">
        <v>0</v>
      </c>
      <c r="AO939" t="s">
        <v>0</v>
      </c>
      <c r="AP939" t="s">
        <v>0</v>
      </c>
      <c r="AQ939" s="5">
        <v>2</v>
      </c>
      <c r="AR939" t="s">
        <v>11</v>
      </c>
      <c r="AS939" t="s">
        <v>0</v>
      </c>
      <c r="AT939" t="s">
        <v>17</v>
      </c>
      <c r="AU939" s="4">
        <v>0</v>
      </c>
      <c r="AV939" s="4">
        <v>0</v>
      </c>
      <c r="AW939" s="4">
        <v>0</v>
      </c>
      <c r="AX939" s="4">
        <v>0</v>
      </c>
      <c r="AY939" s="5">
        <v>0</v>
      </c>
      <c r="AZ939" s="5">
        <v>0</v>
      </c>
      <c r="BA939" s="5">
        <v>0</v>
      </c>
      <c r="BB939" s="2"/>
      <c r="BC939" t="s">
        <v>0</v>
      </c>
      <c r="BD939" s="5">
        <v>1</v>
      </c>
      <c r="BE939" t="s">
        <v>0</v>
      </c>
      <c r="BF939" t="s">
        <v>476</v>
      </c>
      <c r="BG939" t="s">
        <v>17</v>
      </c>
      <c r="BH939" t="s">
        <v>0</v>
      </c>
      <c r="BI939" t="s">
        <v>11</v>
      </c>
      <c r="BJ939" t="s">
        <v>0</v>
      </c>
      <c r="BK939" t="s">
        <v>0</v>
      </c>
      <c r="BL939" s="5">
        <v>0</v>
      </c>
      <c r="BM939" t="s">
        <v>0</v>
      </c>
      <c r="BN939" t="s">
        <v>0</v>
      </c>
      <c r="BO939" t="s">
        <v>0</v>
      </c>
      <c r="BP939" t="s">
        <v>17</v>
      </c>
      <c r="BQ939" t="s">
        <v>0</v>
      </c>
      <c r="BR939" t="s">
        <v>17</v>
      </c>
      <c r="BS939" t="s">
        <v>17</v>
      </c>
      <c r="BT939" t="s">
        <v>0</v>
      </c>
      <c r="BU939" t="s">
        <v>0</v>
      </c>
      <c r="BV939" t="s">
        <v>0</v>
      </c>
      <c r="BW939" t="s">
        <v>0</v>
      </c>
      <c r="BX939" t="s">
        <v>0</v>
      </c>
      <c r="BY939" t="s">
        <v>0</v>
      </c>
      <c r="BZ939" t="s">
        <v>0</v>
      </c>
      <c r="CA939" t="s">
        <v>0</v>
      </c>
      <c r="CB939" t="s">
        <v>0</v>
      </c>
    </row>
    <row r="940" spans="1:80" ht="13.95" customHeight="1" x14ac:dyDescent="0.25">
      <c r="A940" t="s">
        <v>473</v>
      </c>
      <c r="B940" s="2">
        <v>46034</v>
      </c>
      <c r="C940" s="2">
        <v>46034</v>
      </c>
      <c r="D940" s="2">
        <v>46065</v>
      </c>
      <c r="E940" t="s">
        <v>2</v>
      </c>
      <c r="F940" t="s">
        <v>3</v>
      </c>
      <c r="G940" t="s">
        <v>0</v>
      </c>
      <c r="H940" t="s">
        <v>4</v>
      </c>
      <c r="I940" t="s">
        <v>474</v>
      </c>
      <c r="J940" t="s">
        <v>6</v>
      </c>
      <c r="K940" t="s">
        <v>89</v>
      </c>
      <c r="L940" t="s">
        <v>39</v>
      </c>
      <c r="M940" t="s">
        <v>40</v>
      </c>
      <c r="N940" t="s">
        <v>10</v>
      </c>
      <c r="O940" t="s">
        <v>0</v>
      </c>
      <c r="P940" t="s">
        <v>11</v>
      </c>
      <c r="Q940" s="5">
        <v>2</v>
      </c>
      <c r="R940" s="4">
        <v>51800</v>
      </c>
      <c r="S940" s="5">
        <v>1</v>
      </c>
      <c r="T940" s="4">
        <v>103600</v>
      </c>
      <c r="U940" s="5">
        <v>0</v>
      </c>
      <c r="V940" s="4">
        <v>0</v>
      </c>
      <c r="W940" s="5">
        <v>0</v>
      </c>
      <c r="X940" s="4">
        <v>0</v>
      </c>
      <c r="Y940" s="4">
        <f t="shared" si="28"/>
        <v>103600</v>
      </c>
      <c r="Z940" s="6" t="s">
        <v>0</v>
      </c>
      <c r="AA940" t="s">
        <v>2</v>
      </c>
      <c r="AB940" t="s">
        <v>12</v>
      </c>
      <c r="AC940">
        <f>_xlfn.XLOOKUP(AB940,'[1]GST Codes'!$A:$A,'[1]GST Codes'!$C:$C,0,0)</f>
        <v>18</v>
      </c>
      <c r="AD940">
        <f t="shared" si="29"/>
        <v>122248</v>
      </c>
      <c r="AE940" t="s">
        <v>13</v>
      </c>
      <c r="AF940" t="s">
        <v>0</v>
      </c>
      <c r="AG940" t="s">
        <v>14</v>
      </c>
      <c r="AH940" t="s">
        <v>15</v>
      </c>
      <c r="AI940" t="s">
        <v>85</v>
      </c>
      <c r="AJ940" t="s">
        <v>17</v>
      </c>
      <c r="AK940" t="s">
        <v>18</v>
      </c>
      <c r="AL940" t="s">
        <v>19</v>
      </c>
      <c r="AM940" t="s">
        <v>474</v>
      </c>
      <c r="AN940" t="s">
        <v>0</v>
      </c>
      <c r="AO940" t="s">
        <v>0</v>
      </c>
      <c r="AP940" t="s">
        <v>0</v>
      </c>
      <c r="AQ940" s="5">
        <v>2</v>
      </c>
      <c r="AR940" t="s">
        <v>11</v>
      </c>
      <c r="AS940" t="s">
        <v>0</v>
      </c>
      <c r="AT940" t="s">
        <v>17</v>
      </c>
      <c r="AU940" s="4">
        <v>0</v>
      </c>
      <c r="AV940" s="4">
        <v>0</v>
      </c>
      <c r="AW940" s="4">
        <v>0</v>
      </c>
      <c r="AX940" s="4">
        <v>0</v>
      </c>
      <c r="AY940" s="5">
        <v>0</v>
      </c>
      <c r="AZ940" s="5">
        <v>0</v>
      </c>
      <c r="BA940" s="5">
        <v>0</v>
      </c>
      <c r="BB940" s="2"/>
      <c r="BC940" t="s">
        <v>0</v>
      </c>
      <c r="BD940" s="5">
        <v>1</v>
      </c>
      <c r="BE940" t="s">
        <v>0</v>
      </c>
      <c r="BF940" t="s">
        <v>476</v>
      </c>
      <c r="BG940" t="s">
        <v>17</v>
      </c>
      <c r="BH940" t="s">
        <v>0</v>
      </c>
      <c r="BI940" t="s">
        <v>11</v>
      </c>
      <c r="BJ940" t="s">
        <v>0</v>
      </c>
      <c r="BK940" t="s">
        <v>0</v>
      </c>
      <c r="BL940" s="5">
        <v>0</v>
      </c>
      <c r="BM940" t="s">
        <v>0</v>
      </c>
      <c r="BN940" t="s">
        <v>0</v>
      </c>
      <c r="BO940" t="s">
        <v>0</v>
      </c>
      <c r="BP940" t="s">
        <v>17</v>
      </c>
      <c r="BQ940" t="s">
        <v>0</v>
      </c>
      <c r="BR940" t="s">
        <v>17</v>
      </c>
      <c r="BS940" t="s">
        <v>17</v>
      </c>
      <c r="BT940" t="s">
        <v>0</v>
      </c>
      <c r="BU940" t="s">
        <v>0</v>
      </c>
      <c r="BV940" t="s">
        <v>0</v>
      </c>
      <c r="BW940" t="s">
        <v>0</v>
      </c>
      <c r="BX940" t="s">
        <v>0</v>
      </c>
      <c r="BY940" t="s">
        <v>0</v>
      </c>
      <c r="BZ940" t="s">
        <v>0</v>
      </c>
      <c r="CA940" t="s">
        <v>0</v>
      </c>
      <c r="CB940" t="s">
        <v>0</v>
      </c>
    </row>
    <row r="941" spans="1:80" ht="13.95" customHeight="1" x14ac:dyDescent="0.25">
      <c r="A941" t="s">
        <v>473</v>
      </c>
      <c r="B941" s="2">
        <v>46034</v>
      </c>
      <c r="C941" s="2">
        <v>46034</v>
      </c>
      <c r="D941" s="2">
        <v>46065</v>
      </c>
      <c r="E941" t="s">
        <v>2</v>
      </c>
      <c r="F941" t="s">
        <v>3</v>
      </c>
      <c r="G941" t="s">
        <v>0</v>
      </c>
      <c r="H941" t="s">
        <v>4</v>
      </c>
      <c r="I941" t="s">
        <v>474</v>
      </c>
      <c r="J941" t="s">
        <v>6</v>
      </c>
      <c r="K941" t="s">
        <v>90</v>
      </c>
      <c r="L941" t="s">
        <v>39</v>
      </c>
      <c r="M941" t="s">
        <v>40</v>
      </c>
      <c r="N941" t="s">
        <v>10</v>
      </c>
      <c r="O941" t="s">
        <v>0</v>
      </c>
      <c r="P941" t="s">
        <v>11</v>
      </c>
      <c r="Q941" s="5">
        <v>1</v>
      </c>
      <c r="R941" s="4">
        <v>51800</v>
      </c>
      <c r="S941" s="5">
        <v>1</v>
      </c>
      <c r="T941" s="4">
        <v>51800</v>
      </c>
      <c r="U941" s="5">
        <v>0</v>
      </c>
      <c r="V941" s="4">
        <v>0</v>
      </c>
      <c r="W941" s="5">
        <v>0</v>
      </c>
      <c r="X941" s="4">
        <v>0</v>
      </c>
      <c r="Y941" s="4">
        <f t="shared" si="28"/>
        <v>51800</v>
      </c>
      <c r="Z941" s="6" t="s">
        <v>0</v>
      </c>
      <c r="AA941" t="s">
        <v>2</v>
      </c>
      <c r="AB941" t="s">
        <v>12</v>
      </c>
      <c r="AC941">
        <f>_xlfn.XLOOKUP(AB941,'[1]GST Codes'!$A:$A,'[1]GST Codes'!$C:$C,0,0)</f>
        <v>18</v>
      </c>
      <c r="AD941">
        <f t="shared" si="29"/>
        <v>61124</v>
      </c>
      <c r="AE941" t="s">
        <v>13</v>
      </c>
      <c r="AF941" t="s">
        <v>0</v>
      </c>
      <c r="AG941" t="s">
        <v>14</v>
      </c>
      <c r="AH941" t="s">
        <v>15</v>
      </c>
      <c r="AI941" t="s">
        <v>85</v>
      </c>
      <c r="AJ941" t="s">
        <v>17</v>
      </c>
      <c r="AK941" t="s">
        <v>18</v>
      </c>
      <c r="AL941" t="s">
        <v>19</v>
      </c>
      <c r="AM941" t="s">
        <v>474</v>
      </c>
      <c r="AN941" t="s">
        <v>0</v>
      </c>
      <c r="AO941" t="s">
        <v>0</v>
      </c>
      <c r="AP941" t="s">
        <v>0</v>
      </c>
      <c r="AQ941" s="5">
        <v>1</v>
      </c>
      <c r="AR941" t="s">
        <v>11</v>
      </c>
      <c r="AS941" t="s">
        <v>0</v>
      </c>
      <c r="AT941" t="s">
        <v>17</v>
      </c>
      <c r="AU941" s="4">
        <v>0</v>
      </c>
      <c r="AV941" s="4">
        <v>0</v>
      </c>
      <c r="AW941" s="4">
        <v>0</v>
      </c>
      <c r="AX941" s="4">
        <v>0</v>
      </c>
      <c r="AY941" s="5">
        <v>0</v>
      </c>
      <c r="AZ941" s="5">
        <v>0</v>
      </c>
      <c r="BA941" s="5">
        <v>0</v>
      </c>
      <c r="BB941" s="2"/>
      <c r="BC941" t="s">
        <v>0</v>
      </c>
      <c r="BD941" s="5">
        <v>1</v>
      </c>
      <c r="BE941" t="s">
        <v>0</v>
      </c>
      <c r="BF941" t="s">
        <v>476</v>
      </c>
      <c r="BG941" t="s">
        <v>17</v>
      </c>
      <c r="BH941" t="s">
        <v>0</v>
      </c>
      <c r="BI941" t="s">
        <v>11</v>
      </c>
      <c r="BJ941" t="s">
        <v>0</v>
      </c>
      <c r="BK941" t="s">
        <v>0</v>
      </c>
      <c r="BL941" s="5">
        <v>0</v>
      </c>
      <c r="BM941" t="s">
        <v>0</v>
      </c>
      <c r="BN941" t="s">
        <v>0</v>
      </c>
      <c r="BO941" t="s">
        <v>0</v>
      </c>
      <c r="BP941" t="s">
        <v>17</v>
      </c>
      <c r="BQ941" t="s">
        <v>0</v>
      </c>
      <c r="BR941" t="s">
        <v>17</v>
      </c>
      <c r="BS941" t="s">
        <v>17</v>
      </c>
      <c r="BT941" t="s">
        <v>0</v>
      </c>
      <c r="BU941" t="s">
        <v>0</v>
      </c>
      <c r="BV941" t="s">
        <v>0</v>
      </c>
      <c r="BW941" t="s">
        <v>0</v>
      </c>
      <c r="BX941" t="s">
        <v>0</v>
      </c>
      <c r="BY941" t="s">
        <v>0</v>
      </c>
      <c r="BZ941" t="s">
        <v>0</v>
      </c>
      <c r="CA941" t="s">
        <v>0</v>
      </c>
      <c r="CB941" t="s">
        <v>0</v>
      </c>
    </row>
    <row r="942" spans="1:80" ht="13.95" customHeight="1" x14ac:dyDescent="0.25">
      <c r="A942" t="s">
        <v>473</v>
      </c>
      <c r="B942" s="2">
        <v>46034</v>
      </c>
      <c r="C942" s="2">
        <v>46034</v>
      </c>
      <c r="D942" s="2">
        <v>46065</v>
      </c>
      <c r="E942" t="s">
        <v>2</v>
      </c>
      <c r="F942" t="s">
        <v>3</v>
      </c>
      <c r="G942" t="s">
        <v>0</v>
      </c>
      <c r="H942" t="s">
        <v>4</v>
      </c>
      <c r="I942" t="s">
        <v>474</v>
      </c>
      <c r="J942" t="s">
        <v>6</v>
      </c>
      <c r="K942" t="s">
        <v>177</v>
      </c>
      <c r="L942" t="s">
        <v>43</v>
      </c>
      <c r="M942" t="s">
        <v>44</v>
      </c>
      <c r="N942" t="s">
        <v>10</v>
      </c>
      <c r="O942" t="s">
        <v>0</v>
      </c>
      <c r="P942" t="s">
        <v>11</v>
      </c>
      <c r="Q942" s="5">
        <v>25</v>
      </c>
      <c r="R942" s="4">
        <v>51800</v>
      </c>
      <c r="S942" s="5">
        <v>1</v>
      </c>
      <c r="T942" s="4">
        <v>1295000</v>
      </c>
      <c r="U942" s="5">
        <v>0</v>
      </c>
      <c r="V942" s="4">
        <v>0</v>
      </c>
      <c r="W942" s="5">
        <v>0</v>
      </c>
      <c r="X942" s="4">
        <v>0</v>
      </c>
      <c r="Y942" s="4">
        <f t="shared" si="28"/>
        <v>1295000</v>
      </c>
      <c r="Z942" s="6" t="s">
        <v>0</v>
      </c>
      <c r="AA942" t="s">
        <v>2</v>
      </c>
      <c r="AB942" t="s">
        <v>12</v>
      </c>
      <c r="AC942">
        <f>_xlfn.XLOOKUP(AB942,'[1]GST Codes'!$A:$A,'[1]GST Codes'!$C:$C,0,0)</f>
        <v>18</v>
      </c>
      <c r="AD942">
        <f t="shared" si="29"/>
        <v>1528100</v>
      </c>
      <c r="AE942" t="s">
        <v>13</v>
      </c>
      <c r="AF942" t="s">
        <v>0</v>
      </c>
      <c r="AG942" t="s">
        <v>14</v>
      </c>
      <c r="AH942" t="s">
        <v>15</v>
      </c>
      <c r="AI942" t="s">
        <v>85</v>
      </c>
      <c r="AJ942" t="s">
        <v>17</v>
      </c>
      <c r="AK942" t="s">
        <v>18</v>
      </c>
      <c r="AL942" t="s">
        <v>19</v>
      </c>
      <c r="AM942" t="s">
        <v>474</v>
      </c>
      <c r="AN942" t="s">
        <v>0</v>
      </c>
      <c r="AO942" t="s">
        <v>0</v>
      </c>
      <c r="AP942" t="s">
        <v>0</v>
      </c>
      <c r="AQ942" s="5">
        <v>25</v>
      </c>
      <c r="AR942" t="s">
        <v>11</v>
      </c>
      <c r="AS942" t="s">
        <v>0</v>
      </c>
      <c r="AT942" t="s">
        <v>17</v>
      </c>
      <c r="AU942" s="4">
        <v>0</v>
      </c>
      <c r="AV942" s="4">
        <v>0</v>
      </c>
      <c r="AW942" s="4">
        <v>0</v>
      </c>
      <c r="AX942" s="4">
        <v>0</v>
      </c>
      <c r="AY942" s="5">
        <v>0</v>
      </c>
      <c r="AZ942" s="5">
        <v>0</v>
      </c>
      <c r="BA942" s="5">
        <v>0</v>
      </c>
      <c r="BB942" s="2"/>
      <c r="BC942" t="s">
        <v>0</v>
      </c>
      <c r="BD942" s="5">
        <v>1</v>
      </c>
      <c r="BE942" t="s">
        <v>0</v>
      </c>
      <c r="BF942" t="s">
        <v>477</v>
      </c>
      <c r="BG942" t="s">
        <v>17</v>
      </c>
      <c r="BH942" t="s">
        <v>0</v>
      </c>
      <c r="BI942" t="s">
        <v>11</v>
      </c>
      <c r="BJ942" t="s">
        <v>0</v>
      </c>
      <c r="BK942" t="s">
        <v>0</v>
      </c>
      <c r="BL942" s="5">
        <v>0</v>
      </c>
      <c r="BM942" t="s">
        <v>0</v>
      </c>
      <c r="BN942" t="s">
        <v>0</v>
      </c>
      <c r="BO942" t="s">
        <v>0</v>
      </c>
      <c r="BP942" t="s">
        <v>17</v>
      </c>
      <c r="BQ942" t="s">
        <v>0</v>
      </c>
      <c r="BR942" t="s">
        <v>17</v>
      </c>
      <c r="BS942" t="s">
        <v>17</v>
      </c>
      <c r="BT942" t="s">
        <v>0</v>
      </c>
      <c r="BU942" t="s">
        <v>0</v>
      </c>
      <c r="BV942" t="s">
        <v>0</v>
      </c>
      <c r="BW942" t="s">
        <v>0</v>
      </c>
      <c r="BX942" t="s">
        <v>0</v>
      </c>
      <c r="BY942" t="s">
        <v>0</v>
      </c>
      <c r="BZ942" t="s">
        <v>0</v>
      </c>
      <c r="CA942" t="s">
        <v>0</v>
      </c>
      <c r="CB942" t="s">
        <v>0</v>
      </c>
    </row>
    <row r="943" spans="1:80" ht="13.95" customHeight="1" x14ac:dyDescent="0.25">
      <c r="A943" t="s">
        <v>473</v>
      </c>
      <c r="B943" s="2">
        <v>46034</v>
      </c>
      <c r="C943" s="2">
        <v>46034</v>
      </c>
      <c r="D943" s="2">
        <v>46065</v>
      </c>
      <c r="E943" t="s">
        <v>2</v>
      </c>
      <c r="F943" t="s">
        <v>3</v>
      </c>
      <c r="G943" t="s">
        <v>0</v>
      </c>
      <c r="H943" t="s">
        <v>4</v>
      </c>
      <c r="I943" t="s">
        <v>474</v>
      </c>
      <c r="J943" t="s">
        <v>6</v>
      </c>
      <c r="K943" t="s">
        <v>181</v>
      </c>
      <c r="L943" t="s">
        <v>43</v>
      </c>
      <c r="M943" t="s">
        <v>44</v>
      </c>
      <c r="N943" t="s">
        <v>10</v>
      </c>
      <c r="O943" t="s">
        <v>0</v>
      </c>
      <c r="P943" t="s">
        <v>11</v>
      </c>
      <c r="Q943" s="5">
        <v>25</v>
      </c>
      <c r="R943" s="4">
        <v>51800</v>
      </c>
      <c r="S943" s="5">
        <v>1</v>
      </c>
      <c r="T943" s="4">
        <v>1295000</v>
      </c>
      <c r="U943" s="5">
        <v>0</v>
      </c>
      <c r="V943" s="4">
        <v>0</v>
      </c>
      <c r="W943" s="5">
        <v>0</v>
      </c>
      <c r="X943" s="4">
        <v>0</v>
      </c>
      <c r="Y943" s="4">
        <f t="shared" si="28"/>
        <v>1295000</v>
      </c>
      <c r="Z943" s="6" t="s">
        <v>0</v>
      </c>
      <c r="AA943" t="s">
        <v>2</v>
      </c>
      <c r="AB943" t="s">
        <v>12</v>
      </c>
      <c r="AC943">
        <f>_xlfn.XLOOKUP(AB943,'[1]GST Codes'!$A:$A,'[1]GST Codes'!$C:$C,0,0)</f>
        <v>18</v>
      </c>
      <c r="AD943">
        <f t="shared" si="29"/>
        <v>1528100</v>
      </c>
      <c r="AE943" t="s">
        <v>13</v>
      </c>
      <c r="AF943" t="s">
        <v>0</v>
      </c>
      <c r="AG943" t="s">
        <v>14</v>
      </c>
      <c r="AH943" t="s">
        <v>15</v>
      </c>
      <c r="AI943" t="s">
        <v>85</v>
      </c>
      <c r="AJ943" t="s">
        <v>17</v>
      </c>
      <c r="AK943" t="s">
        <v>18</v>
      </c>
      <c r="AL943" t="s">
        <v>19</v>
      </c>
      <c r="AM943" t="s">
        <v>474</v>
      </c>
      <c r="AN943" t="s">
        <v>0</v>
      </c>
      <c r="AO943" t="s">
        <v>0</v>
      </c>
      <c r="AP943" t="s">
        <v>0</v>
      </c>
      <c r="AQ943" s="5">
        <v>25</v>
      </c>
      <c r="AR943" t="s">
        <v>11</v>
      </c>
      <c r="AS943" t="s">
        <v>0</v>
      </c>
      <c r="AT943" t="s">
        <v>17</v>
      </c>
      <c r="AU943" s="4">
        <v>0</v>
      </c>
      <c r="AV943" s="4">
        <v>0</v>
      </c>
      <c r="AW943" s="4">
        <v>0</v>
      </c>
      <c r="AX943" s="4">
        <v>0</v>
      </c>
      <c r="AY943" s="5">
        <v>0</v>
      </c>
      <c r="AZ943" s="5">
        <v>0</v>
      </c>
      <c r="BA943" s="5">
        <v>0</v>
      </c>
      <c r="BB943" s="2"/>
      <c r="BC943" t="s">
        <v>0</v>
      </c>
      <c r="BD943" s="5">
        <v>1</v>
      </c>
      <c r="BE943" t="s">
        <v>0</v>
      </c>
      <c r="BF943" t="s">
        <v>477</v>
      </c>
      <c r="BG943" t="s">
        <v>17</v>
      </c>
      <c r="BH943" t="s">
        <v>0</v>
      </c>
      <c r="BI943" t="s">
        <v>11</v>
      </c>
      <c r="BJ943" t="s">
        <v>0</v>
      </c>
      <c r="BK943" t="s">
        <v>0</v>
      </c>
      <c r="BL943" s="5">
        <v>0</v>
      </c>
      <c r="BM943" t="s">
        <v>0</v>
      </c>
      <c r="BN943" t="s">
        <v>0</v>
      </c>
      <c r="BO943" t="s">
        <v>0</v>
      </c>
      <c r="BP943" t="s">
        <v>17</v>
      </c>
      <c r="BQ943" t="s">
        <v>0</v>
      </c>
      <c r="BR943" t="s">
        <v>17</v>
      </c>
      <c r="BS943" t="s">
        <v>17</v>
      </c>
      <c r="BT943" t="s">
        <v>0</v>
      </c>
      <c r="BU943" t="s">
        <v>0</v>
      </c>
      <c r="BV943" t="s">
        <v>0</v>
      </c>
      <c r="BW943" t="s">
        <v>0</v>
      </c>
      <c r="BX943" t="s">
        <v>0</v>
      </c>
      <c r="BY943" t="s">
        <v>0</v>
      </c>
      <c r="BZ943" t="s">
        <v>0</v>
      </c>
      <c r="CA943" t="s">
        <v>0</v>
      </c>
      <c r="CB943" t="s">
        <v>0</v>
      </c>
    </row>
    <row r="944" spans="1:80" ht="13.95" customHeight="1" x14ac:dyDescent="0.25">
      <c r="A944" t="s">
        <v>473</v>
      </c>
      <c r="B944" s="2">
        <v>46034</v>
      </c>
      <c r="C944" s="2">
        <v>46034</v>
      </c>
      <c r="D944" s="2">
        <v>46065</v>
      </c>
      <c r="E944" t="s">
        <v>2</v>
      </c>
      <c r="F944" t="s">
        <v>3</v>
      </c>
      <c r="G944" t="s">
        <v>0</v>
      </c>
      <c r="H944" t="s">
        <v>4</v>
      </c>
      <c r="I944" t="s">
        <v>474</v>
      </c>
      <c r="J944" t="s">
        <v>6</v>
      </c>
      <c r="K944" t="s">
        <v>185</v>
      </c>
      <c r="L944" t="s">
        <v>43</v>
      </c>
      <c r="M944" t="s">
        <v>44</v>
      </c>
      <c r="N944" t="s">
        <v>10</v>
      </c>
      <c r="O944" t="s">
        <v>0</v>
      </c>
      <c r="P944" t="s">
        <v>11</v>
      </c>
      <c r="Q944" s="5">
        <v>25</v>
      </c>
      <c r="R944" s="4">
        <v>51800</v>
      </c>
      <c r="S944" s="5">
        <v>1</v>
      </c>
      <c r="T944" s="4">
        <v>1295000</v>
      </c>
      <c r="U944" s="5">
        <v>0</v>
      </c>
      <c r="V944" s="4">
        <v>0</v>
      </c>
      <c r="W944" s="5">
        <v>0</v>
      </c>
      <c r="X944" s="4">
        <v>0</v>
      </c>
      <c r="Y944" s="4">
        <f t="shared" si="28"/>
        <v>1295000</v>
      </c>
      <c r="Z944" s="6" t="s">
        <v>0</v>
      </c>
      <c r="AA944" t="s">
        <v>2</v>
      </c>
      <c r="AB944" t="s">
        <v>12</v>
      </c>
      <c r="AC944">
        <f>_xlfn.XLOOKUP(AB944,'[1]GST Codes'!$A:$A,'[1]GST Codes'!$C:$C,0,0)</f>
        <v>18</v>
      </c>
      <c r="AD944">
        <f t="shared" si="29"/>
        <v>1528100</v>
      </c>
      <c r="AE944" t="s">
        <v>13</v>
      </c>
      <c r="AF944" t="s">
        <v>0</v>
      </c>
      <c r="AG944" t="s">
        <v>14</v>
      </c>
      <c r="AH944" t="s">
        <v>15</v>
      </c>
      <c r="AI944" t="s">
        <v>85</v>
      </c>
      <c r="AJ944" t="s">
        <v>17</v>
      </c>
      <c r="AK944" t="s">
        <v>18</v>
      </c>
      <c r="AL944" t="s">
        <v>19</v>
      </c>
      <c r="AM944" t="s">
        <v>474</v>
      </c>
      <c r="AN944" t="s">
        <v>0</v>
      </c>
      <c r="AO944" t="s">
        <v>0</v>
      </c>
      <c r="AP944" t="s">
        <v>0</v>
      </c>
      <c r="AQ944" s="5">
        <v>25</v>
      </c>
      <c r="AR944" t="s">
        <v>11</v>
      </c>
      <c r="AS944" t="s">
        <v>0</v>
      </c>
      <c r="AT944" t="s">
        <v>17</v>
      </c>
      <c r="AU944" s="4">
        <v>0</v>
      </c>
      <c r="AV944" s="4">
        <v>0</v>
      </c>
      <c r="AW944" s="4">
        <v>0</v>
      </c>
      <c r="AX944" s="4">
        <v>0</v>
      </c>
      <c r="AY944" s="5">
        <v>0</v>
      </c>
      <c r="AZ944" s="5">
        <v>0</v>
      </c>
      <c r="BA944" s="5">
        <v>0</v>
      </c>
      <c r="BB944" s="2"/>
      <c r="BC944" t="s">
        <v>0</v>
      </c>
      <c r="BD944" s="5">
        <v>1</v>
      </c>
      <c r="BE944" t="s">
        <v>0</v>
      </c>
      <c r="BF944" t="s">
        <v>477</v>
      </c>
      <c r="BG944" t="s">
        <v>17</v>
      </c>
      <c r="BH944" t="s">
        <v>0</v>
      </c>
      <c r="BI944" t="s">
        <v>11</v>
      </c>
      <c r="BJ944" t="s">
        <v>0</v>
      </c>
      <c r="BK944" t="s">
        <v>0</v>
      </c>
      <c r="BL944" s="5">
        <v>0</v>
      </c>
      <c r="BM944" t="s">
        <v>0</v>
      </c>
      <c r="BN944" t="s">
        <v>0</v>
      </c>
      <c r="BO944" t="s">
        <v>0</v>
      </c>
      <c r="BP944" t="s">
        <v>17</v>
      </c>
      <c r="BQ944" t="s">
        <v>0</v>
      </c>
      <c r="BR944" t="s">
        <v>17</v>
      </c>
      <c r="BS944" t="s">
        <v>17</v>
      </c>
      <c r="BT944" t="s">
        <v>0</v>
      </c>
      <c r="BU944" t="s">
        <v>0</v>
      </c>
      <c r="BV944" t="s">
        <v>0</v>
      </c>
      <c r="BW944" t="s">
        <v>0</v>
      </c>
      <c r="BX944" t="s">
        <v>0</v>
      </c>
      <c r="BY944" t="s">
        <v>0</v>
      </c>
      <c r="BZ944" t="s">
        <v>0</v>
      </c>
      <c r="CA944" t="s">
        <v>0</v>
      </c>
      <c r="CB944" t="s">
        <v>0</v>
      </c>
    </row>
    <row r="945" spans="1:80" ht="13.95" customHeight="1" x14ac:dyDescent="0.25">
      <c r="A945" t="s">
        <v>473</v>
      </c>
      <c r="B945" s="2">
        <v>46034</v>
      </c>
      <c r="C945" s="2">
        <v>46034</v>
      </c>
      <c r="D945" s="2">
        <v>46065</v>
      </c>
      <c r="E945" t="s">
        <v>2</v>
      </c>
      <c r="F945" t="s">
        <v>3</v>
      </c>
      <c r="G945" t="s">
        <v>0</v>
      </c>
      <c r="H945" t="s">
        <v>4</v>
      </c>
      <c r="I945" t="s">
        <v>474</v>
      </c>
      <c r="J945" t="s">
        <v>6</v>
      </c>
      <c r="K945" t="s">
        <v>189</v>
      </c>
      <c r="L945" t="s">
        <v>43</v>
      </c>
      <c r="M945" t="s">
        <v>44</v>
      </c>
      <c r="N945" t="s">
        <v>10</v>
      </c>
      <c r="O945" t="s">
        <v>0</v>
      </c>
      <c r="P945" t="s">
        <v>11</v>
      </c>
      <c r="Q945" s="5">
        <v>25</v>
      </c>
      <c r="R945" s="4">
        <v>51800</v>
      </c>
      <c r="S945" s="5">
        <v>1</v>
      </c>
      <c r="T945" s="4">
        <v>1295000</v>
      </c>
      <c r="U945" s="5">
        <v>0</v>
      </c>
      <c r="V945" s="4">
        <v>0</v>
      </c>
      <c r="W945" s="5">
        <v>0</v>
      </c>
      <c r="X945" s="4">
        <v>0</v>
      </c>
      <c r="Y945" s="4">
        <f t="shared" si="28"/>
        <v>1295000</v>
      </c>
      <c r="Z945" s="6" t="s">
        <v>0</v>
      </c>
      <c r="AA945" t="s">
        <v>2</v>
      </c>
      <c r="AB945" t="s">
        <v>12</v>
      </c>
      <c r="AC945">
        <f>_xlfn.XLOOKUP(AB945,'[1]GST Codes'!$A:$A,'[1]GST Codes'!$C:$C,0,0)</f>
        <v>18</v>
      </c>
      <c r="AD945">
        <f t="shared" si="29"/>
        <v>1528100</v>
      </c>
      <c r="AE945" t="s">
        <v>13</v>
      </c>
      <c r="AF945" t="s">
        <v>0</v>
      </c>
      <c r="AG945" t="s">
        <v>14</v>
      </c>
      <c r="AH945" t="s">
        <v>15</v>
      </c>
      <c r="AI945" t="s">
        <v>85</v>
      </c>
      <c r="AJ945" t="s">
        <v>17</v>
      </c>
      <c r="AK945" t="s">
        <v>18</v>
      </c>
      <c r="AL945" t="s">
        <v>19</v>
      </c>
      <c r="AM945" t="s">
        <v>474</v>
      </c>
      <c r="AN945" t="s">
        <v>0</v>
      </c>
      <c r="AO945" t="s">
        <v>0</v>
      </c>
      <c r="AP945" t="s">
        <v>0</v>
      </c>
      <c r="AQ945" s="5">
        <v>25</v>
      </c>
      <c r="AR945" t="s">
        <v>11</v>
      </c>
      <c r="AS945" t="s">
        <v>0</v>
      </c>
      <c r="AT945" t="s">
        <v>17</v>
      </c>
      <c r="AU945" s="4">
        <v>0</v>
      </c>
      <c r="AV945" s="4">
        <v>0</v>
      </c>
      <c r="AW945" s="4">
        <v>0</v>
      </c>
      <c r="AX945" s="4">
        <v>0</v>
      </c>
      <c r="AY945" s="5">
        <v>0</v>
      </c>
      <c r="AZ945" s="5">
        <v>0</v>
      </c>
      <c r="BA945" s="5">
        <v>0</v>
      </c>
      <c r="BB945" s="2"/>
      <c r="BC945" t="s">
        <v>0</v>
      </c>
      <c r="BD945" s="5">
        <v>1</v>
      </c>
      <c r="BE945" t="s">
        <v>0</v>
      </c>
      <c r="BF945" t="s">
        <v>477</v>
      </c>
      <c r="BG945" t="s">
        <v>17</v>
      </c>
      <c r="BH945" t="s">
        <v>0</v>
      </c>
      <c r="BI945" t="s">
        <v>11</v>
      </c>
      <c r="BJ945" t="s">
        <v>0</v>
      </c>
      <c r="BK945" t="s">
        <v>0</v>
      </c>
      <c r="BL945" s="5">
        <v>0</v>
      </c>
      <c r="BM945" t="s">
        <v>0</v>
      </c>
      <c r="BN945" t="s">
        <v>0</v>
      </c>
      <c r="BO945" t="s">
        <v>0</v>
      </c>
      <c r="BP945" t="s">
        <v>17</v>
      </c>
      <c r="BQ945" t="s">
        <v>0</v>
      </c>
      <c r="BR945" t="s">
        <v>17</v>
      </c>
      <c r="BS945" t="s">
        <v>17</v>
      </c>
      <c r="BT945" t="s">
        <v>0</v>
      </c>
      <c r="BU945" t="s">
        <v>0</v>
      </c>
      <c r="BV945" t="s">
        <v>0</v>
      </c>
      <c r="BW945" t="s">
        <v>0</v>
      </c>
      <c r="BX945" t="s">
        <v>0</v>
      </c>
      <c r="BY945" t="s">
        <v>0</v>
      </c>
      <c r="BZ945" t="s">
        <v>0</v>
      </c>
      <c r="CA945" t="s">
        <v>0</v>
      </c>
      <c r="CB945" t="s">
        <v>0</v>
      </c>
    </row>
    <row r="946" spans="1:80" ht="13.95" customHeight="1" x14ac:dyDescent="0.25">
      <c r="A946" t="s">
        <v>473</v>
      </c>
      <c r="B946" s="2">
        <v>46034</v>
      </c>
      <c r="C946" s="2">
        <v>46034</v>
      </c>
      <c r="D946" s="2">
        <v>46065</v>
      </c>
      <c r="E946" t="s">
        <v>2</v>
      </c>
      <c r="F946" t="s">
        <v>3</v>
      </c>
      <c r="G946" t="s">
        <v>0</v>
      </c>
      <c r="H946" t="s">
        <v>4</v>
      </c>
      <c r="I946" t="s">
        <v>474</v>
      </c>
      <c r="J946" t="s">
        <v>6</v>
      </c>
      <c r="K946" t="s">
        <v>193</v>
      </c>
      <c r="L946" t="s">
        <v>43</v>
      </c>
      <c r="M946" t="s">
        <v>44</v>
      </c>
      <c r="N946" t="s">
        <v>10</v>
      </c>
      <c r="O946" t="s">
        <v>0</v>
      </c>
      <c r="P946" t="s">
        <v>11</v>
      </c>
      <c r="Q946" s="5">
        <v>25</v>
      </c>
      <c r="R946" s="4">
        <v>51800</v>
      </c>
      <c r="S946" s="5">
        <v>1</v>
      </c>
      <c r="T946" s="4">
        <v>1295000</v>
      </c>
      <c r="U946" s="5">
        <v>0</v>
      </c>
      <c r="V946" s="4">
        <v>0</v>
      </c>
      <c r="W946" s="5">
        <v>0</v>
      </c>
      <c r="X946" s="4">
        <v>0</v>
      </c>
      <c r="Y946" s="4">
        <f t="shared" si="28"/>
        <v>1295000</v>
      </c>
      <c r="Z946" s="6" t="s">
        <v>0</v>
      </c>
      <c r="AA946" t="s">
        <v>2</v>
      </c>
      <c r="AB946" t="s">
        <v>12</v>
      </c>
      <c r="AC946">
        <f>_xlfn.XLOOKUP(AB946,'[1]GST Codes'!$A:$A,'[1]GST Codes'!$C:$C,0,0)</f>
        <v>18</v>
      </c>
      <c r="AD946">
        <f t="shared" si="29"/>
        <v>1528100</v>
      </c>
      <c r="AE946" t="s">
        <v>13</v>
      </c>
      <c r="AF946" t="s">
        <v>0</v>
      </c>
      <c r="AG946" t="s">
        <v>14</v>
      </c>
      <c r="AH946" t="s">
        <v>15</v>
      </c>
      <c r="AI946" t="s">
        <v>85</v>
      </c>
      <c r="AJ946" t="s">
        <v>17</v>
      </c>
      <c r="AK946" t="s">
        <v>18</v>
      </c>
      <c r="AL946" t="s">
        <v>19</v>
      </c>
      <c r="AM946" t="s">
        <v>474</v>
      </c>
      <c r="AN946" t="s">
        <v>0</v>
      </c>
      <c r="AO946" t="s">
        <v>0</v>
      </c>
      <c r="AP946" t="s">
        <v>0</v>
      </c>
      <c r="AQ946" s="5">
        <v>25</v>
      </c>
      <c r="AR946" t="s">
        <v>11</v>
      </c>
      <c r="AS946" t="s">
        <v>0</v>
      </c>
      <c r="AT946" t="s">
        <v>17</v>
      </c>
      <c r="AU946" s="4">
        <v>0</v>
      </c>
      <c r="AV946" s="4">
        <v>0</v>
      </c>
      <c r="AW946" s="4">
        <v>0</v>
      </c>
      <c r="AX946" s="4">
        <v>0</v>
      </c>
      <c r="AY946" s="5">
        <v>0</v>
      </c>
      <c r="AZ946" s="5">
        <v>0</v>
      </c>
      <c r="BA946" s="5">
        <v>0</v>
      </c>
      <c r="BB946" s="2"/>
      <c r="BC946" t="s">
        <v>0</v>
      </c>
      <c r="BD946" s="5">
        <v>1</v>
      </c>
      <c r="BE946" t="s">
        <v>0</v>
      </c>
      <c r="BF946" t="s">
        <v>477</v>
      </c>
      <c r="BG946" t="s">
        <v>17</v>
      </c>
      <c r="BH946" t="s">
        <v>0</v>
      </c>
      <c r="BI946" t="s">
        <v>11</v>
      </c>
      <c r="BJ946" t="s">
        <v>0</v>
      </c>
      <c r="BK946" t="s">
        <v>0</v>
      </c>
      <c r="BL946" s="5">
        <v>0</v>
      </c>
      <c r="BM946" t="s">
        <v>0</v>
      </c>
      <c r="BN946" t="s">
        <v>0</v>
      </c>
      <c r="BO946" t="s">
        <v>0</v>
      </c>
      <c r="BP946" t="s">
        <v>17</v>
      </c>
      <c r="BQ946" t="s">
        <v>0</v>
      </c>
      <c r="BR946" t="s">
        <v>17</v>
      </c>
      <c r="BS946" t="s">
        <v>17</v>
      </c>
      <c r="BT946" t="s">
        <v>0</v>
      </c>
      <c r="BU946" t="s">
        <v>0</v>
      </c>
      <c r="BV946" t="s">
        <v>0</v>
      </c>
      <c r="BW946" t="s">
        <v>0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</row>
    <row r="947" spans="1:80" ht="13.95" customHeight="1" x14ac:dyDescent="0.25">
      <c r="A947" t="s">
        <v>473</v>
      </c>
      <c r="B947" s="2">
        <v>46034</v>
      </c>
      <c r="C947" s="2">
        <v>46034</v>
      </c>
      <c r="D947" s="2">
        <v>46065</v>
      </c>
      <c r="E947" t="s">
        <v>2</v>
      </c>
      <c r="F947" t="s">
        <v>3</v>
      </c>
      <c r="G947" t="s">
        <v>0</v>
      </c>
      <c r="H947" t="s">
        <v>4</v>
      </c>
      <c r="I947" t="s">
        <v>474</v>
      </c>
      <c r="J947" t="s">
        <v>6</v>
      </c>
      <c r="K947" t="s">
        <v>197</v>
      </c>
      <c r="L947" t="s">
        <v>43</v>
      </c>
      <c r="M947" t="s">
        <v>44</v>
      </c>
      <c r="N947" t="s">
        <v>10</v>
      </c>
      <c r="O947" t="s">
        <v>0</v>
      </c>
      <c r="P947" t="s">
        <v>11</v>
      </c>
      <c r="Q947" s="5">
        <v>25</v>
      </c>
      <c r="R947" s="4">
        <v>51800</v>
      </c>
      <c r="S947" s="5">
        <v>1</v>
      </c>
      <c r="T947" s="4">
        <v>1295000</v>
      </c>
      <c r="U947" s="5">
        <v>0</v>
      </c>
      <c r="V947" s="4">
        <v>0</v>
      </c>
      <c r="W947" s="5">
        <v>0</v>
      </c>
      <c r="X947" s="4">
        <v>0</v>
      </c>
      <c r="Y947" s="4">
        <f t="shared" si="28"/>
        <v>1295000</v>
      </c>
      <c r="Z947" s="6" t="s">
        <v>0</v>
      </c>
      <c r="AA947" t="s">
        <v>2</v>
      </c>
      <c r="AB947" t="s">
        <v>12</v>
      </c>
      <c r="AC947">
        <f>_xlfn.XLOOKUP(AB947,'[1]GST Codes'!$A:$A,'[1]GST Codes'!$C:$C,0,0)</f>
        <v>18</v>
      </c>
      <c r="AD947">
        <f t="shared" si="29"/>
        <v>1528100</v>
      </c>
      <c r="AE947" t="s">
        <v>13</v>
      </c>
      <c r="AF947" t="s">
        <v>0</v>
      </c>
      <c r="AG947" t="s">
        <v>14</v>
      </c>
      <c r="AH947" t="s">
        <v>15</v>
      </c>
      <c r="AI947" t="s">
        <v>85</v>
      </c>
      <c r="AJ947" t="s">
        <v>17</v>
      </c>
      <c r="AK947" t="s">
        <v>18</v>
      </c>
      <c r="AL947" t="s">
        <v>19</v>
      </c>
      <c r="AM947" t="s">
        <v>474</v>
      </c>
      <c r="AN947" t="s">
        <v>0</v>
      </c>
      <c r="AO947" t="s">
        <v>0</v>
      </c>
      <c r="AP947" t="s">
        <v>0</v>
      </c>
      <c r="AQ947" s="5">
        <v>25</v>
      </c>
      <c r="AR947" t="s">
        <v>11</v>
      </c>
      <c r="AS947" t="s">
        <v>0</v>
      </c>
      <c r="AT947" t="s">
        <v>17</v>
      </c>
      <c r="AU947" s="4">
        <v>0</v>
      </c>
      <c r="AV947" s="4">
        <v>0</v>
      </c>
      <c r="AW947" s="4">
        <v>0</v>
      </c>
      <c r="AX947" s="4">
        <v>0</v>
      </c>
      <c r="AY947" s="5">
        <v>0</v>
      </c>
      <c r="AZ947" s="5">
        <v>0</v>
      </c>
      <c r="BA947" s="5">
        <v>0</v>
      </c>
      <c r="BB947" s="2"/>
      <c r="BC947" t="s">
        <v>0</v>
      </c>
      <c r="BD947" s="5">
        <v>1</v>
      </c>
      <c r="BE947" t="s">
        <v>0</v>
      </c>
      <c r="BF947" t="s">
        <v>477</v>
      </c>
      <c r="BG947" t="s">
        <v>17</v>
      </c>
      <c r="BH947" t="s">
        <v>0</v>
      </c>
      <c r="BI947" t="s">
        <v>11</v>
      </c>
      <c r="BJ947" t="s">
        <v>0</v>
      </c>
      <c r="BK947" t="s">
        <v>0</v>
      </c>
      <c r="BL947" s="5">
        <v>0</v>
      </c>
      <c r="BM947" t="s">
        <v>0</v>
      </c>
      <c r="BN947" t="s">
        <v>0</v>
      </c>
      <c r="BO947" t="s">
        <v>0</v>
      </c>
      <c r="BP947" t="s">
        <v>17</v>
      </c>
      <c r="BQ947" t="s">
        <v>0</v>
      </c>
      <c r="BR947" t="s">
        <v>17</v>
      </c>
      <c r="BS947" t="s">
        <v>17</v>
      </c>
      <c r="BT947" t="s">
        <v>0</v>
      </c>
      <c r="BU947" t="s">
        <v>0</v>
      </c>
      <c r="BV947" t="s">
        <v>0</v>
      </c>
      <c r="BW947" t="s">
        <v>0</v>
      </c>
      <c r="BX947" t="s">
        <v>0</v>
      </c>
      <c r="BY947" t="s">
        <v>0</v>
      </c>
      <c r="BZ947" t="s">
        <v>0</v>
      </c>
      <c r="CA947" t="s">
        <v>0</v>
      </c>
      <c r="CB947" t="s">
        <v>0</v>
      </c>
    </row>
    <row r="948" spans="1:80" ht="13.95" customHeight="1" x14ac:dyDescent="0.25">
      <c r="A948" t="s">
        <v>473</v>
      </c>
      <c r="B948" s="2">
        <v>46034</v>
      </c>
      <c r="C948" s="2">
        <v>46034</v>
      </c>
      <c r="D948" s="2">
        <v>46065</v>
      </c>
      <c r="E948" t="s">
        <v>2</v>
      </c>
      <c r="F948" t="s">
        <v>3</v>
      </c>
      <c r="G948" t="s">
        <v>0</v>
      </c>
      <c r="H948" t="s">
        <v>4</v>
      </c>
      <c r="I948" t="s">
        <v>474</v>
      </c>
      <c r="J948" t="s">
        <v>6</v>
      </c>
      <c r="K948" t="s">
        <v>201</v>
      </c>
      <c r="L948" t="s">
        <v>354</v>
      </c>
      <c r="M948" t="s">
        <v>338</v>
      </c>
      <c r="N948" t="s">
        <v>10</v>
      </c>
      <c r="O948" t="s">
        <v>0</v>
      </c>
      <c r="P948" t="s">
        <v>11</v>
      </c>
      <c r="Q948" s="5">
        <v>10</v>
      </c>
      <c r="R948" s="4">
        <v>51800</v>
      </c>
      <c r="S948" s="5">
        <v>1</v>
      </c>
      <c r="T948" s="4">
        <v>518000</v>
      </c>
      <c r="U948" s="5">
        <v>0</v>
      </c>
      <c r="V948" s="4">
        <v>0</v>
      </c>
      <c r="W948" s="5">
        <v>0</v>
      </c>
      <c r="X948" s="4">
        <v>0</v>
      </c>
      <c r="Y948" s="4">
        <f t="shared" si="28"/>
        <v>518000</v>
      </c>
      <c r="Z948" s="6" t="s">
        <v>0</v>
      </c>
      <c r="AA948" t="s">
        <v>2</v>
      </c>
      <c r="AB948" t="s">
        <v>12</v>
      </c>
      <c r="AC948">
        <f>_xlfn.XLOOKUP(AB948,'[1]GST Codes'!$A:$A,'[1]GST Codes'!$C:$C,0,0)</f>
        <v>18</v>
      </c>
      <c r="AD948">
        <f t="shared" si="29"/>
        <v>611240</v>
      </c>
      <c r="AE948" t="s">
        <v>13</v>
      </c>
      <c r="AF948" t="s">
        <v>0</v>
      </c>
      <c r="AG948" t="s">
        <v>14</v>
      </c>
      <c r="AH948" t="s">
        <v>15</v>
      </c>
      <c r="AI948" t="s">
        <v>85</v>
      </c>
      <c r="AJ948" t="s">
        <v>17</v>
      </c>
      <c r="AK948" t="s">
        <v>18</v>
      </c>
      <c r="AL948" t="s">
        <v>19</v>
      </c>
      <c r="AM948" t="s">
        <v>474</v>
      </c>
      <c r="AN948" t="s">
        <v>0</v>
      </c>
      <c r="AO948" t="s">
        <v>0</v>
      </c>
      <c r="AP948" t="s">
        <v>0</v>
      </c>
      <c r="AQ948" s="5">
        <v>10</v>
      </c>
      <c r="AR948" t="s">
        <v>11</v>
      </c>
      <c r="AS948" t="s">
        <v>0</v>
      </c>
      <c r="AT948" t="s">
        <v>17</v>
      </c>
      <c r="AU948" s="4">
        <v>0</v>
      </c>
      <c r="AV948" s="4">
        <v>0</v>
      </c>
      <c r="AW948" s="4">
        <v>0</v>
      </c>
      <c r="AX948" s="4">
        <v>0</v>
      </c>
      <c r="AY948" s="5">
        <v>0</v>
      </c>
      <c r="AZ948" s="5">
        <v>0</v>
      </c>
      <c r="BA948" s="5">
        <v>0</v>
      </c>
      <c r="BB948" s="2"/>
      <c r="BC948" t="s">
        <v>0</v>
      </c>
      <c r="BD948" s="5">
        <v>1</v>
      </c>
      <c r="BE948" t="s">
        <v>0</v>
      </c>
      <c r="BF948" t="s">
        <v>478</v>
      </c>
      <c r="BG948" t="s">
        <v>17</v>
      </c>
      <c r="BH948" t="s">
        <v>0</v>
      </c>
      <c r="BI948" t="s">
        <v>11</v>
      </c>
      <c r="BJ948" t="s">
        <v>0</v>
      </c>
      <c r="BK948" t="s">
        <v>0</v>
      </c>
      <c r="BL948" s="5">
        <v>0</v>
      </c>
      <c r="BM948" t="s">
        <v>0</v>
      </c>
      <c r="BN948" t="s">
        <v>0</v>
      </c>
      <c r="BO948" t="s">
        <v>0</v>
      </c>
      <c r="BP948" t="s">
        <v>17</v>
      </c>
      <c r="BQ948" t="s">
        <v>0</v>
      </c>
      <c r="BR948" t="s">
        <v>17</v>
      </c>
      <c r="BS948" t="s">
        <v>17</v>
      </c>
      <c r="BT948" t="s">
        <v>0</v>
      </c>
      <c r="BU948" t="s">
        <v>0</v>
      </c>
      <c r="BV948" t="s">
        <v>0</v>
      </c>
      <c r="BW948" t="s">
        <v>0</v>
      </c>
      <c r="BX948" t="s">
        <v>0</v>
      </c>
      <c r="BY948" t="s">
        <v>0</v>
      </c>
      <c r="BZ948" t="s">
        <v>0</v>
      </c>
      <c r="CA948" t="s">
        <v>0</v>
      </c>
      <c r="CB948" t="s">
        <v>0</v>
      </c>
    </row>
    <row r="949" spans="1:80" ht="13.95" customHeight="1" x14ac:dyDescent="0.25">
      <c r="A949" t="s">
        <v>473</v>
      </c>
      <c r="B949" s="2">
        <v>46034</v>
      </c>
      <c r="C949" s="2">
        <v>46034</v>
      </c>
      <c r="D949" s="2">
        <v>46065</v>
      </c>
      <c r="E949" t="s">
        <v>2</v>
      </c>
      <c r="F949" t="s">
        <v>3</v>
      </c>
      <c r="G949" t="s">
        <v>0</v>
      </c>
      <c r="H949" t="s">
        <v>4</v>
      </c>
      <c r="I949" t="s">
        <v>474</v>
      </c>
      <c r="J949" t="s">
        <v>6</v>
      </c>
      <c r="K949" t="s">
        <v>205</v>
      </c>
      <c r="L949" t="s">
        <v>354</v>
      </c>
      <c r="M949" t="s">
        <v>338</v>
      </c>
      <c r="N949" t="s">
        <v>10</v>
      </c>
      <c r="O949" t="s">
        <v>0</v>
      </c>
      <c r="P949" t="s">
        <v>11</v>
      </c>
      <c r="Q949" s="5">
        <v>8</v>
      </c>
      <c r="R949" s="4">
        <v>51800</v>
      </c>
      <c r="S949" s="5">
        <v>1</v>
      </c>
      <c r="T949" s="4">
        <v>414400</v>
      </c>
      <c r="U949" s="5">
        <v>0</v>
      </c>
      <c r="V949" s="4">
        <v>0</v>
      </c>
      <c r="W949" s="5">
        <v>0</v>
      </c>
      <c r="X949" s="4">
        <v>0</v>
      </c>
      <c r="Y949" s="4">
        <f t="shared" si="28"/>
        <v>414400</v>
      </c>
      <c r="Z949" s="6" t="s">
        <v>0</v>
      </c>
      <c r="AA949" t="s">
        <v>2</v>
      </c>
      <c r="AB949" t="s">
        <v>12</v>
      </c>
      <c r="AC949">
        <f>_xlfn.XLOOKUP(AB949,'[1]GST Codes'!$A:$A,'[1]GST Codes'!$C:$C,0,0)</f>
        <v>18</v>
      </c>
      <c r="AD949">
        <f t="shared" si="29"/>
        <v>488992</v>
      </c>
      <c r="AE949" t="s">
        <v>13</v>
      </c>
      <c r="AF949" t="s">
        <v>0</v>
      </c>
      <c r="AG949" t="s">
        <v>14</v>
      </c>
      <c r="AH949" t="s">
        <v>15</v>
      </c>
      <c r="AI949" t="s">
        <v>85</v>
      </c>
      <c r="AJ949" t="s">
        <v>17</v>
      </c>
      <c r="AK949" t="s">
        <v>18</v>
      </c>
      <c r="AL949" t="s">
        <v>19</v>
      </c>
      <c r="AM949" t="s">
        <v>474</v>
      </c>
      <c r="AN949" t="s">
        <v>0</v>
      </c>
      <c r="AO949" t="s">
        <v>0</v>
      </c>
      <c r="AP949" t="s">
        <v>0</v>
      </c>
      <c r="AQ949" s="5">
        <v>8</v>
      </c>
      <c r="AR949" t="s">
        <v>11</v>
      </c>
      <c r="AS949" t="s">
        <v>0</v>
      </c>
      <c r="AT949" t="s">
        <v>17</v>
      </c>
      <c r="AU949" s="4">
        <v>0</v>
      </c>
      <c r="AV949" s="4">
        <v>0</v>
      </c>
      <c r="AW949" s="4">
        <v>0</v>
      </c>
      <c r="AX949" s="4">
        <v>0</v>
      </c>
      <c r="AY949" s="5">
        <v>0</v>
      </c>
      <c r="AZ949" s="5">
        <v>0</v>
      </c>
      <c r="BA949" s="5">
        <v>0</v>
      </c>
      <c r="BB949" s="2"/>
      <c r="BC949" t="s">
        <v>0</v>
      </c>
      <c r="BD949" s="5">
        <v>1</v>
      </c>
      <c r="BE949" t="s">
        <v>0</v>
      </c>
      <c r="BF949" t="s">
        <v>478</v>
      </c>
      <c r="BG949" t="s">
        <v>17</v>
      </c>
      <c r="BH949" t="s">
        <v>0</v>
      </c>
      <c r="BI949" t="s">
        <v>11</v>
      </c>
      <c r="BJ949" t="s">
        <v>0</v>
      </c>
      <c r="BK949" t="s">
        <v>0</v>
      </c>
      <c r="BL949" s="5">
        <v>0</v>
      </c>
      <c r="BM949" t="s">
        <v>0</v>
      </c>
      <c r="BN949" t="s">
        <v>0</v>
      </c>
      <c r="BO949" t="s">
        <v>0</v>
      </c>
      <c r="BP949" t="s">
        <v>17</v>
      </c>
      <c r="BQ949" t="s">
        <v>0</v>
      </c>
      <c r="BR949" t="s">
        <v>17</v>
      </c>
      <c r="BS949" t="s">
        <v>17</v>
      </c>
      <c r="BT949" t="s">
        <v>0</v>
      </c>
      <c r="BU949" t="s">
        <v>0</v>
      </c>
      <c r="BV949" t="s">
        <v>0</v>
      </c>
      <c r="BW949" t="s">
        <v>0</v>
      </c>
      <c r="BX949" t="s">
        <v>0</v>
      </c>
      <c r="BY949" t="s">
        <v>0</v>
      </c>
      <c r="BZ949" t="s">
        <v>0</v>
      </c>
      <c r="CA949" t="s">
        <v>0</v>
      </c>
      <c r="CB949" t="s">
        <v>0</v>
      </c>
    </row>
    <row r="950" spans="1:80" ht="13.95" customHeight="1" x14ac:dyDescent="0.25">
      <c r="A950" t="s">
        <v>473</v>
      </c>
      <c r="B950" s="2">
        <v>46034</v>
      </c>
      <c r="C950" s="2">
        <v>46034</v>
      </c>
      <c r="D950" s="2">
        <v>46065</v>
      </c>
      <c r="E950" t="s">
        <v>2</v>
      </c>
      <c r="F950" t="s">
        <v>3</v>
      </c>
      <c r="G950" t="s">
        <v>0</v>
      </c>
      <c r="H950" t="s">
        <v>4</v>
      </c>
      <c r="I950" t="s">
        <v>474</v>
      </c>
      <c r="J950" t="s">
        <v>6</v>
      </c>
      <c r="K950" t="s">
        <v>209</v>
      </c>
      <c r="L950" t="s">
        <v>354</v>
      </c>
      <c r="M950" t="s">
        <v>338</v>
      </c>
      <c r="N950" t="s">
        <v>10</v>
      </c>
      <c r="O950" t="s">
        <v>0</v>
      </c>
      <c r="P950" t="s">
        <v>11</v>
      </c>
      <c r="Q950" s="5">
        <v>8</v>
      </c>
      <c r="R950" s="4">
        <v>51800</v>
      </c>
      <c r="S950" s="5">
        <v>1</v>
      </c>
      <c r="T950" s="4">
        <v>414400</v>
      </c>
      <c r="U950" s="5">
        <v>0</v>
      </c>
      <c r="V950" s="4">
        <v>0</v>
      </c>
      <c r="W950" s="5">
        <v>0</v>
      </c>
      <c r="X950" s="4">
        <v>0</v>
      </c>
      <c r="Y950" s="4">
        <f t="shared" si="28"/>
        <v>414400</v>
      </c>
      <c r="Z950" s="6" t="s">
        <v>0</v>
      </c>
      <c r="AA950" t="s">
        <v>2</v>
      </c>
      <c r="AB950" t="s">
        <v>12</v>
      </c>
      <c r="AC950">
        <f>_xlfn.XLOOKUP(AB950,'[1]GST Codes'!$A:$A,'[1]GST Codes'!$C:$C,0,0)</f>
        <v>18</v>
      </c>
      <c r="AD950">
        <f t="shared" si="29"/>
        <v>488992</v>
      </c>
      <c r="AE950" t="s">
        <v>13</v>
      </c>
      <c r="AF950" t="s">
        <v>0</v>
      </c>
      <c r="AG950" t="s">
        <v>14</v>
      </c>
      <c r="AH950" t="s">
        <v>15</v>
      </c>
      <c r="AI950" t="s">
        <v>85</v>
      </c>
      <c r="AJ950" t="s">
        <v>17</v>
      </c>
      <c r="AK950" t="s">
        <v>18</v>
      </c>
      <c r="AL950" t="s">
        <v>19</v>
      </c>
      <c r="AM950" t="s">
        <v>474</v>
      </c>
      <c r="AN950" t="s">
        <v>0</v>
      </c>
      <c r="AO950" t="s">
        <v>0</v>
      </c>
      <c r="AP950" t="s">
        <v>0</v>
      </c>
      <c r="AQ950" s="5">
        <v>8</v>
      </c>
      <c r="AR950" t="s">
        <v>11</v>
      </c>
      <c r="AS950" t="s">
        <v>0</v>
      </c>
      <c r="AT950" t="s">
        <v>17</v>
      </c>
      <c r="AU950" s="4">
        <v>0</v>
      </c>
      <c r="AV950" s="4">
        <v>0</v>
      </c>
      <c r="AW950" s="4">
        <v>0</v>
      </c>
      <c r="AX950" s="4">
        <v>0</v>
      </c>
      <c r="AY950" s="5">
        <v>0</v>
      </c>
      <c r="AZ950" s="5">
        <v>0</v>
      </c>
      <c r="BA950" s="5">
        <v>0</v>
      </c>
      <c r="BB950" s="2"/>
      <c r="BC950" t="s">
        <v>0</v>
      </c>
      <c r="BD950" s="5">
        <v>1</v>
      </c>
      <c r="BE950" t="s">
        <v>0</v>
      </c>
      <c r="BF950" t="s">
        <v>478</v>
      </c>
      <c r="BG950" t="s">
        <v>17</v>
      </c>
      <c r="BH950" t="s">
        <v>0</v>
      </c>
      <c r="BI950" t="s">
        <v>11</v>
      </c>
      <c r="BJ950" t="s">
        <v>0</v>
      </c>
      <c r="BK950" t="s">
        <v>0</v>
      </c>
      <c r="BL950" s="5">
        <v>0</v>
      </c>
      <c r="BM950" t="s">
        <v>0</v>
      </c>
      <c r="BN950" t="s">
        <v>0</v>
      </c>
      <c r="BO950" t="s">
        <v>0</v>
      </c>
      <c r="BP950" t="s">
        <v>17</v>
      </c>
      <c r="BQ950" t="s">
        <v>0</v>
      </c>
      <c r="BR950" t="s">
        <v>17</v>
      </c>
      <c r="BS950" t="s">
        <v>17</v>
      </c>
      <c r="BT950" t="s">
        <v>0</v>
      </c>
      <c r="BU950" t="s">
        <v>0</v>
      </c>
      <c r="BV950" t="s">
        <v>0</v>
      </c>
      <c r="BW950" t="s">
        <v>0</v>
      </c>
      <c r="BX950" t="s">
        <v>0</v>
      </c>
      <c r="BY950" t="s">
        <v>0</v>
      </c>
      <c r="BZ950" t="s">
        <v>0</v>
      </c>
      <c r="CA950" t="s">
        <v>0</v>
      </c>
      <c r="CB950" t="s">
        <v>0</v>
      </c>
    </row>
    <row r="951" spans="1:80" ht="13.95" customHeight="1" x14ac:dyDescent="0.25">
      <c r="A951" t="s">
        <v>473</v>
      </c>
      <c r="B951" s="2">
        <v>46034</v>
      </c>
      <c r="C951" s="2">
        <v>46034</v>
      </c>
      <c r="D951" s="2">
        <v>46065</v>
      </c>
      <c r="E951" t="s">
        <v>2</v>
      </c>
      <c r="F951" t="s">
        <v>3</v>
      </c>
      <c r="G951" t="s">
        <v>0</v>
      </c>
      <c r="H951" t="s">
        <v>4</v>
      </c>
      <c r="I951" t="s">
        <v>474</v>
      </c>
      <c r="J951" t="s">
        <v>6</v>
      </c>
      <c r="K951" t="s">
        <v>213</v>
      </c>
      <c r="L951" t="s">
        <v>354</v>
      </c>
      <c r="M951" t="s">
        <v>338</v>
      </c>
      <c r="N951" t="s">
        <v>10</v>
      </c>
      <c r="O951" t="s">
        <v>0</v>
      </c>
      <c r="P951" t="s">
        <v>11</v>
      </c>
      <c r="Q951" s="5">
        <v>8</v>
      </c>
      <c r="R951" s="4">
        <v>51800</v>
      </c>
      <c r="S951" s="5">
        <v>1</v>
      </c>
      <c r="T951" s="4">
        <v>414400</v>
      </c>
      <c r="U951" s="5">
        <v>0</v>
      </c>
      <c r="V951" s="4">
        <v>0</v>
      </c>
      <c r="W951" s="5">
        <v>0</v>
      </c>
      <c r="X951" s="4">
        <v>0</v>
      </c>
      <c r="Y951" s="4">
        <f t="shared" si="28"/>
        <v>414400</v>
      </c>
      <c r="Z951" s="6" t="s">
        <v>0</v>
      </c>
      <c r="AA951" t="s">
        <v>2</v>
      </c>
      <c r="AB951" t="s">
        <v>12</v>
      </c>
      <c r="AC951">
        <f>_xlfn.XLOOKUP(AB951,'[1]GST Codes'!$A:$A,'[1]GST Codes'!$C:$C,0,0)</f>
        <v>18</v>
      </c>
      <c r="AD951">
        <f t="shared" si="29"/>
        <v>488992</v>
      </c>
      <c r="AE951" t="s">
        <v>13</v>
      </c>
      <c r="AF951" t="s">
        <v>0</v>
      </c>
      <c r="AG951" t="s">
        <v>14</v>
      </c>
      <c r="AH951" t="s">
        <v>15</v>
      </c>
      <c r="AI951" t="s">
        <v>85</v>
      </c>
      <c r="AJ951" t="s">
        <v>17</v>
      </c>
      <c r="AK951" t="s">
        <v>18</v>
      </c>
      <c r="AL951" t="s">
        <v>19</v>
      </c>
      <c r="AM951" t="s">
        <v>474</v>
      </c>
      <c r="AN951" t="s">
        <v>0</v>
      </c>
      <c r="AO951" t="s">
        <v>0</v>
      </c>
      <c r="AP951" t="s">
        <v>0</v>
      </c>
      <c r="AQ951" s="5">
        <v>8</v>
      </c>
      <c r="AR951" t="s">
        <v>11</v>
      </c>
      <c r="AS951" t="s">
        <v>0</v>
      </c>
      <c r="AT951" t="s">
        <v>17</v>
      </c>
      <c r="AU951" s="4">
        <v>0</v>
      </c>
      <c r="AV951" s="4">
        <v>0</v>
      </c>
      <c r="AW951" s="4">
        <v>0</v>
      </c>
      <c r="AX951" s="4">
        <v>0</v>
      </c>
      <c r="AY951" s="5">
        <v>0</v>
      </c>
      <c r="AZ951" s="5">
        <v>0</v>
      </c>
      <c r="BA951" s="5">
        <v>0</v>
      </c>
      <c r="BB951" s="2"/>
      <c r="BC951" t="s">
        <v>0</v>
      </c>
      <c r="BD951" s="5">
        <v>1</v>
      </c>
      <c r="BE951" t="s">
        <v>0</v>
      </c>
      <c r="BF951" t="s">
        <v>478</v>
      </c>
      <c r="BG951" t="s">
        <v>17</v>
      </c>
      <c r="BH951" t="s">
        <v>0</v>
      </c>
      <c r="BI951" t="s">
        <v>11</v>
      </c>
      <c r="BJ951" t="s">
        <v>0</v>
      </c>
      <c r="BK951" t="s">
        <v>0</v>
      </c>
      <c r="BL951" s="5">
        <v>0</v>
      </c>
      <c r="BM951" t="s">
        <v>0</v>
      </c>
      <c r="BN951" t="s">
        <v>0</v>
      </c>
      <c r="BO951" t="s">
        <v>0</v>
      </c>
      <c r="BP951" t="s">
        <v>17</v>
      </c>
      <c r="BQ951" t="s">
        <v>0</v>
      </c>
      <c r="BR951" t="s">
        <v>17</v>
      </c>
      <c r="BS951" t="s">
        <v>17</v>
      </c>
      <c r="BT951" t="s">
        <v>0</v>
      </c>
      <c r="BU951" t="s">
        <v>0</v>
      </c>
      <c r="BV951" t="s">
        <v>0</v>
      </c>
      <c r="BW951" t="s">
        <v>0</v>
      </c>
      <c r="BX951" t="s">
        <v>0</v>
      </c>
      <c r="BY951" t="s">
        <v>0</v>
      </c>
      <c r="BZ951" t="s">
        <v>0</v>
      </c>
      <c r="CA951" t="s">
        <v>0</v>
      </c>
      <c r="CB951" t="s">
        <v>0</v>
      </c>
    </row>
    <row r="952" spans="1:80" ht="13.95" customHeight="1" x14ac:dyDescent="0.25">
      <c r="A952" t="s">
        <v>473</v>
      </c>
      <c r="B952" s="2">
        <v>46034</v>
      </c>
      <c r="C952" s="2">
        <v>46034</v>
      </c>
      <c r="D952" s="2">
        <v>46065</v>
      </c>
      <c r="E952" t="s">
        <v>2</v>
      </c>
      <c r="F952" t="s">
        <v>3</v>
      </c>
      <c r="G952" t="s">
        <v>0</v>
      </c>
      <c r="H952" t="s">
        <v>4</v>
      </c>
      <c r="I952" t="s">
        <v>474</v>
      </c>
      <c r="J952" t="s">
        <v>6</v>
      </c>
      <c r="K952" t="s">
        <v>215</v>
      </c>
      <c r="L952" t="s">
        <v>354</v>
      </c>
      <c r="M952" t="s">
        <v>338</v>
      </c>
      <c r="N952" t="s">
        <v>10</v>
      </c>
      <c r="O952" t="s">
        <v>0</v>
      </c>
      <c r="P952" t="s">
        <v>11</v>
      </c>
      <c r="Q952" s="5">
        <v>8</v>
      </c>
      <c r="R952" s="4">
        <v>51800</v>
      </c>
      <c r="S952" s="5">
        <v>1</v>
      </c>
      <c r="T952" s="4">
        <v>414400</v>
      </c>
      <c r="U952" s="5">
        <v>0</v>
      </c>
      <c r="V952" s="4">
        <v>0</v>
      </c>
      <c r="W952" s="5">
        <v>0</v>
      </c>
      <c r="X952" s="4">
        <v>0</v>
      </c>
      <c r="Y952" s="4">
        <f t="shared" si="28"/>
        <v>414400</v>
      </c>
      <c r="Z952" s="6" t="s">
        <v>0</v>
      </c>
      <c r="AA952" t="s">
        <v>2</v>
      </c>
      <c r="AB952" t="s">
        <v>12</v>
      </c>
      <c r="AC952">
        <f>_xlfn.XLOOKUP(AB952,'[1]GST Codes'!$A:$A,'[1]GST Codes'!$C:$C,0,0)</f>
        <v>18</v>
      </c>
      <c r="AD952">
        <f t="shared" si="29"/>
        <v>488992</v>
      </c>
      <c r="AE952" t="s">
        <v>13</v>
      </c>
      <c r="AF952" t="s">
        <v>0</v>
      </c>
      <c r="AG952" t="s">
        <v>14</v>
      </c>
      <c r="AH952" t="s">
        <v>15</v>
      </c>
      <c r="AI952" t="s">
        <v>85</v>
      </c>
      <c r="AJ952" t="s">
        <v>17</v>
      </c>
      <c r="AK952" t="s">
        <v>18</v>
      </c>
      <c r="AL952" t="s">
        <v>19</v>
      </c>
      <c r="AM952" t="s">
        <v>474</v>
      </c>
      <c r="AN952" t="s">
        <v>0</v>
      </c>
      <c r="AO952" t="s">
        <v>0</v>
      </c>
      <c r="AP952" t="s">
        <v>0</v>
      </c>
      <c r="AQ952" s="5">
        <v>8</v>
      </c>
      <c r="AR952" t="s">
        <v>11</v>
      </c>
      <c r="AS952" t="s">
        <v>0</v>
      </c>
      <c r="AT952" t="s">
        <v>17</v>
      </c>
      <c r="AU952" s="4">
        <v>0</v>
      </c>
      <c r="AV952" s="4">
        <v>0</v>
      </c>
      <c r="AW952" s="4">
        <v>0</v>
      </c>
      <c r="AX952" s="4">
        <v>0</v>
      </c>
      <c r="AY952" s="5">
        <v>0</v>
      </c>
      <c r="AZ952" s="5">
        <v>0</v>
      </c>
      <c r="BA952" s="5">
        <v>0</v>
      </c>
      <c r="BB952" s="2"/>
      <c r="BC952" t="s">
        <v>0</v>
      </c>
      <c r="BD952" s="5">
        <v>1</v>
      </c>
      <c r="BE952" t="s">
        <v>0</v>
      </c>
      <c r="BF952" t="s">
        <v>478</v>
      </c>
      <c r="BG952" t="s">
        <v>17</v>
      </c>
      <c r="BH952" t="s">
        <v>0</v>
      </c>
      <c r="BI952" t="s">
        <v>11</v>
      </c>
      <c r="BJ952" t="s">
        <v>0</v>
      </c>
      <c r="BK952" t="s">
        <v>0</v>
      </c>
      <c r="BL952" s="5">
        <v>0</v>
      </c>
      <c r="BM952" t="s">
        <v>0</v>
      </c>
      <c r="BN952" t="s">
        <v>0</v>
      </c>
      <c r="BO952" t="s">
        <v>0</v>
      </c>
      <c r="BP952" t="s">
        <v>17</v>
      </c>
      <c r="BQ952" t="s">
        <v>0</v>
      </c>
      <c r="BR952" t="s">
        <v>17</v>
      </c>
      <c r="BS952" t="s">
        <v>17</v>
      </c>
      <c r="BT952" t="s">
        <v>0</v>
      </c>
      <c r="BU952" t="s">
        <v>0</v>
      </c>
      <c r="BV952" t="s">
        <v>0</v>
      </c>
      <c r="BW952" t="s">
        <v>0</v>
      </c>
      <c r="BX952" t="s">
        <v>0</v>
      </c>
      <c r="BY952" t="s">
        <v>0</v>
      </c>
      <c r="BZ952" t="s">
        <v>0</v>
      </c>
      <c r="CA952" t="s">
        <v>0</v>
      </c>
      <c r="CB952" t="s">
        <v>0</v>
      </c>
    </row>
    <row r="953" spans="1:80" x14ac:dyDescent="0.25">
      <c r="A953" t="s">
        <v>473</v>
      </c>
      <c r="B953" s="2">
        <v>46034</v>
      </c>
      <c r="C953" s="2">
        <v>46034</v>
      </c>
      <c r="D953" s="2">
        <v>46065</v>
      </c>
      <c r="E953" t="s">
        <v>2</v>
      </c>
      <c r="F953" t="s">
        <v>3</v>
      </c>
      <c r="G953" t="s">
        <v>0</v>
      </c>
      <c r="H953" t="s">
        <v>4</v>
      </c>
      <c r="I953" t="s">
        <v>474</v>
      </c>
      <c r="J953" t="s">
        <v>6</v>
      </c>
      <c r="K953" t="s">
        <v>216</v>
      </c>
      <c r="L953" t="s">
        <v>354</v>
      </c>
      <c r="M953" t="s">
        <v>338</v>
      </c>
      <c r="N953" t="s">
        <v>10</v>
      </c>
      <c r="O953" t="s">
        <v>0</v>
      </c>
      <c r="P953" t="s">
        <v>11</v>
      </c>
      <c r="Q953" s="5">
        <v>8</v>
      </c>
      <c r="R953" s="4">
        <v>51800</v>
      </c>
      <c r="S953" s="5">
        <v>1</v>
      </c>
      <c r="T953" s="4">
        <v>414400</v>
      </c>
      <c r="U953" s="5">
        <v>8</v>
      </c>
      <c r="V953" s="4">
        <v>414400</v>
      </c>
      <c r="W953" s="5">
        <v>8</v>
      </c>
      <c r="X953" s="4">
        <v>414400</v>
      </c>
      <c r="Y953" s="4">
        <f t="shared" si="28"/>
        <v>0</v>
      </c>
      <c r="Z953" t="s">
        <v>0</v>
      </c>
      <c r="AA953" t="s">
        <v>2</v>
      </c>
      <c r="AB953" t="s">
        <v>12</v>
      </c>
      <c r="AC953">
        <f>_xlfn.XLOOKUP(AB953,'[1]GST Codes'!$A:$A,'[1]GST Codes'!$C:$C,0,0)</f>
        <v>18</v>
      </c>
      <c r="AD953">
        <f t="shared" si="29"/>
        <v>0</v>
      </c>
      <c r="AE953" t="s">
        <v>13</v>
      </c>
      <c r="AF953" t="s">
        <v>0</v>
      </c>
      <c r="AG953" t="s">
        <v>14</v>
      </c>
      <c r="AH953" t="s">
        <v>15</v>
      </c>
      <c r="AI953" t="s">
        <v>85</v>
      </c>
      <c r="AJ953" t="s">
        <v>17</v>
      </c>
      <c r="AK953" t="s">
        <v>18</v>
      </c>
      <c r="AL953" t="s">
        <v>19</v>
      </c>
      <c r="AM953" t="s">
        <v>474</v>
      </c>
      <c r="AN953" t="s">
        <v>0</v>
      </c>
      <c r="AO953" t="s">
        <v>0</v>
      </c>
      <c r="AP953" t="s">
        <v>0</v>
      </c>
      <c r="AQ953" s="5">
        <v>8</v>
      </c>
      <c r="AR953" t="s">
        <v>11</v>
      </c>
      <c r="AS953" t="s">
        <v>0</v>
      </c>
      <c r="AT953" t="s">
        <v>17</v>
      </c>
      <c r="AU953" s="4">
        <v>0</v>
      </c>
      <c r="AV953" s="4">
        <v>0</v>
      </c>
      <c r="AW953" s="4">
        <v>0</v>
      </c>
      <c r="AX953" s="4">
        <v>0</v>
      </c>
      <c r="AY953" s="5">
        <v>0</v>
      </c>
      <c r="AZ953" s="5">
        <v>0</v>
      </c>
      <c r="BA953" s="5">
        <v>0</v>
      </c>
      <c r="BB953" s="2"/>
      <c r="BC953" t="s">
        <v>0</v>
      </c>
      <c r="BD953" s="5">
        <v>1</v>
      </c>
      <c r="BE953" t="s">
        <v>0</v>
      </c>
      <c r="BF953" t="s">
        <v>478</v>
      </c>
      <c r="BG953" t="s">
        <v>17</v>
      </c>
      <c r="BH953" t="s">
        <v>0</v>
      </c>
      <c r="BI953" t="s">
        <v>11</v>
      </c>
      <c r="BJ953" t="s">
        <v>0</v>
      </c>
      <c r="BK953" t="s">
        <v>0</v>
      </c>
      <c r="BL953" s="5">
        <v>0</v>
      </c>
      <c r="BM953" t="s">
        <v>0</v>
      </c>
      <c r="BN953" t="s">
        <v>0</v>
      </c>
      <c r="BO953" t="s">
        <v>0</v>
      </c>
      <c r="BP953" t="s">
        <v>17</v>
      </c>
      <c r="BQ953" t="s">
        <v>0</v>
      </c>
      <c r="BR953" t="s">
        <v>17</v>
      </c>
      <c r="BS953" t="s">
        <v>17</v>
      </c>
      <c r="BT953" t="s">
        <v>0</v>
      </c>
      <c r="BU953" t="s">
        <v>0</v>
      </c>
      <c r="BV953" t="s">
        <v>0</v>
      </c>
      <c r="BW953" t="s">
        <v>0</v>
      </c>
      <c r="BX953" t="s">
        <v>0</v>
      </c>
      <c r="BY953" t="s">
        <v>0</v>
      </c>
      <c r="BZ953" t="s">
        <v>0</v>
      </c>
      <c r="CA953" t="s">
        <v>0</v>
      </c>
      <c r="CB953" t="s">
        <v>0</v>
      </c>
    </row>
    <row r="954" spans="1:80" ht="13.95" customHeight="1" x14ac:dyDescent="0.25">
      <c r="A954" t="s">
        <v>479</v>
      </c>
      <c r="B954" s="2">
        <v>46092</v>
      </c>
      <c r="C954" s="2">
        <v>46092</v>
      </c>
      <c r="D954" s="2">
        <v>46123</v>
      </c>
      <c r="E954" t="s">
        <v>2</v>
      </c>
      <c r="F954" t="s">
        <v>3</v>
      </c>
      <c r="G954" t="s">
        <v>0</v>
      </c>
      <c r="H954" t="s">
        <v>4</v>
      </c>
      <c r="I954" t="s">
        <v>474</v>
      </c>
      <c r="J954" t="s">
        <v>6</v>
      </c>
      <c r="K954" t="s">
        <v>7</v>
      </c>
      <c r="L954" t="s">
        <v>74</v>
      </c>
      <c r="M954" t="s">
        <v>75</v>
      </c>
      <c r="N954" t="s">
        <v>10</v>
      </c>
      <c r="O954" t="s">
        <v>0</v>
      </c>
      <c r="P954" t="s">
        <v>11</v>
      </c>
      <c r="Q954" s="5">
        <v>37</v>
      </c>
      <c r="R954" s="4">
        <v>58250</v>
      </c>
      <c r="S954" s="5">
        <v>1</v>
      </c>
      <c r="T954" s="4">
        <v>2155250</v>
      </c>
      <c r="U954" s="5">
        <v>0</v>
      </c>
      <c r="V954" s="4">
        <v>0</v>
      </c>
      <c r="W954" s="5">
        <v>0</v>
      </c>
      <c r="X954" s="4">
        <v>0</v>
      </c>
      <c r="Y954" s="4">
        <f t="shared" si="28"/>
        <v>2155250</v>
      </c>
      <c r="Z954" s="6" t="s">
        <v>0</v>
      </c>
      <c r="AA954" t="s">
        <v>2</v>
      </c>
      <c r="AB954" t="s">
        <v>12</v>
      </c>
      <c r="AC954">
        <f>_xlfn.XLOOKUP(AB954,'[1]GST Codes'!$A:$A,'[1]GST Codes'!$C:$C,0,0)</f>
        <v>18</v>
      </c>
      <c r="AD954">
        <f t="shared" si="29"/>
        <v>2543195</v>
      </c>
      <c r="AE954" t="s">
        <v>13</v>
      </c>
      <c r="AF954" t="s">
        <v>0</v>
      </c>
      <c r="AG954" t="s">
        <v>14</v>
      </c>
      <c r="AH954" t="s">
        <v>15</v>
      </c>
      <c r="AI954" t="s">
        <v>85</v>
      </c>
      <c r="AJ954" t="s">
        <v>17</v>
      </c>
      <c r="AK954" t="s">
        <v>18</v>
      </c>
      <c r="AL954" t="s">
        <v>19</v>
      </c>
      <c r="AM954" t="s">
        <v>474</v>
      </c>
      <c r="AN954" t="s">
        <v>0</v>
      </c>
      <c r="AO954" t="s">
        <v>0</v>
      </c>
      <c r="AP954" t="s">
        <v>0</v>
      </c>
      <c r="AQ954" s="5">
        <v>37</v>
      </c>
      <c r="AR954" t="s">
        <v>11</v>
      </c>
      <c r="AS954" t="s">
        <v>0</v>
      </c>
      <c r="AT954" t="s">
        <v>17</v>
      </c>
      <c r="AU954" s="4">
        <v>0</v>
      </c>
      <c r="AV954" s="4">
        <v>0</v>
      </c>
      <c r="AW954" s="4">
        <v>0</v>
      </c>
      <c r="AX954" s="4">
        <v>0</v>
      </c>
      <c r="AY954" s="5">
        <v>0</v>
      </c>
      <c r="AZ954" s="5">
        <v>0</v>
      </c>
      <c r="BA954" s="5">
        <v>0</v>
      </c>
      <c r="BB954" s="2"/>
      <c r="BC954" t="s">
        <v>0</v>
      </c>
      <c r="BD954" s="5">
        <v>1</v>
      </c>
      <c r="BE954" t="s">
        <v>0</v>
      </c>
      <c r="BF954" t="s">
        <v>475</v>
      </c>
      <c r="BG954" t="s">
        <v>17</v>
      </c>
      <c r="BH954" t="s">
        <v>0</v>
      </c>
      <c r="BI954" t="s">
        <v>11</v>
      </c>
      <c r="BJ954" t="s">
        <v>0</v>
      </c>
      <c r="BK954" t="s">
        <v>0</v>
      </c>
      <c r="BL954" s="5">
        <v>0</v>
      </c>
      <c r="BM954" t="s">
        <v>0</v>
      </c>
      <c r="BN954" t="s">
        <v>0</v>
      </c>
      <c r="BO954" t="s">
        <v>0</v>
      </c>
      <c r="BP954" t="s">
        <v>17</v>
      </c>
      <c r="BQ954" t="s">
        <v>0</v>
      </c>
      <c r="BR954" t="s">
        <v>17</v>
      </c>
      <c r="BS954" t="s">
        <v>17</v>
      </c>
      <c r="BT954" t="s">
        <v>0</v>
      </c>
      <c r="BU954" t="s">
        <v>0</v>
      </c>
      <c r="BV954" t="s">
        <v>0</v>
      </c>
      <c r="BW954" t="s">
        <v>0</v>
      </c>
      <c r="BX954" t="s">
        <v>0</v>
      </c>
      <c r="BY954" t="s">
        <v>0</v>
      </c>
      <c r="BZ954" t="s">
        <v>0</v>
      </c>
      <c r="CA954" t="s">
        <v>0</v>
      </c>
      <c r="CB954" t="s">
        <v>0</v>
      </c>
    </row>
    <row r="955" spans="1:80" ht="13.95" customHeight="1" x14ac:dyDescent="0.25">
      <c r="A955" t="s">
        <v>479</v>
      </c>
      <c r="B955" s="2">
        <v>46092</v>
      </c>
      <c r="C955" s="2">
        <v>46092</v>
      </c>
      <c r="D955" s="2">
        <v>46123</v>
      </c>
      <c r="E955" t="s">
        <v>2</v>
      </c>
      <c r="F955" t="s">
        <v>3</v>
      </c>
      <c r="G955" t="s">
        <v>0</v>
      </c>
      <c r="H955" t="s">
        <v>4</v>
      </c>
      <c r="I955" t="s">
        <v>474</v>
      </c>
      <c r="J955" t="s">
        <v>6</v>
      </c>
      <c r="K955" t="s">
        <v>22</v>
      </c>
      <c r="L955" t="s">
        <v>74</v>
      </c>
      <c r="M955" t="s">
        <v>75</v>
      </c>
      <c r="N955" t="s">
        <v>10</v>
      </c>
      <c r="O955" t="s">
        <v>0</v>
      </c>
      <c r="P955" t="s">
        <v>11</v>
      </c>
      <c r="Q955" s="5">
        <v>37</v>
      </c>
      <c r="R955" s="4">
        <v>58250</v>
      </c>
      <c r="S955" s="5">
        <v>1</v>
      </c>
      <c r="T955" s="4">
        <v>2155250</v>
      </c>
      <c r="U955" s="5">
        <v>0</v>
      </c>
      <c r="V955" s="4">
        <v>0</v>
      </c>
      <c r="W955" s="5">
        <v>0</v>
      </c>
      <c r="X955" s="4">
        <v>0</v>
      </c>
      <c r="Y955" s="4">
        <f t="shared" si="28"/>
        <v>2155250</v>
      </c>
      <c r="Z955" s="6" t="s">
        <v>0</v>
      </c>
      <c r="AA955" t="s">
        <v>2</v>
      </c>
      <c r="AB955" t="s">
        <v>12</v>
      </c>
      <c r="AC955">
        <f>_xlfn.XLOOKUP(AB955,'[1]GST Codes'!$A:$A,'[1]GST Codes'!$C:$C,0,0)</f>
        <v>18</v>
      </c>
      <c r="AD955">
        <f t="shared" si="29"/>
        <v>2543195</v>
      </c>
      <c r="AE955" t="s">
        <v>13</v>
      </c>
      <c r="AF955" t="s">
        <v>0</v>
      </c>
      <c r="AG955" t="s">
        <v>14</v>
      </c>
      <c r="AH955" t="s">
        <v>15</v>
      </c>
      <c r="AI955" t="s">
        <v>85</v>
      </c>
      <c r="AJ955" t="s">
        <v>17</v>
      </c>
      <c r="AK955" t="s">
        <v>18</v>
      </c>
      <c r="AL955" t="s">
        <v>19</v>
      </c>
      <c r="AM955" t="s">
        <v>474</v>
      </c>
      <c r="AN955" t="s">
        <v>0</v>
      </c>
      <c r="AO955" t="s">
        <v>0</v>
      </c>
      <c r="AP955" t="s">
        <v>0</v>
      </c>
      <c r="AQ955" s="5">
        <v>37</v>
      </c>
      <c r="AR955" t="s">
        <v>11</v>
      </c>
      <c r="AS955" t="s">
        <v>0</v>
      </c>
      <c r="AT955" t="s">
        <v>17</v>
      </c>
      <c r="AU955" s="4">
        <v>0</v>
      </c>
      <c r="AV955" s="4">
        <v>0</v>
      </c>
      <c r="AW955" s="4">
        <v>0</v>
      </c>
      <c r="AX955" s="4">
        <v>0</v>
      </c>
      <c r="AY955" s="5">
        <v>0</v>
      </c>
      <c r="AZ955" s="5">
        <v>0</v>
      </c>
      <c r="BA955" s="5">
        <v>0</v>
      </c>
      <c r="BB955" s="2"/>
      <c r="BC955" t="s">
        <v>0</v>
      </c>
      <c r="BD955" s="5">
        <v>1</v>
      </c>
      <c r="BE955" t="s">
        <v>0</v>
      </c>
      <c r="BF955" t="s">
        <v>475</v>
      </c>
      <c r="BG955" t="s">
        <v>17</v>
      </c>
      <c r="BH955" t="s">
        <v>0</v>
      </c>
      <c r="BI955" t="s">
        <v>11</v>
      </c>
      <c r="BJ955" t="s">
        <v>0</v>
      </c>
      <c r="BK955" t="s">
        <v>0</v>
      </c>
      <c r="BL955" s="5">
        <v>0</v>
      </c>
      <c r="BM955" t="s">
        <v>0</v>
      </c>
      <c r="BN955" t="s">
        <v>0</v>
      </c>
      <c r="BO955" t="s">
        <v>0</v>
      </c>
      <c r="BP955" t="s">
        <v>17</v>
      </c>
      <c r="BQ955" t="s">
        <v>0</v>
      </c>
      <c r="BR955" t="s">
        <v>17</v>
      </c>
      <c r="BS955" t="s">
        <v>17</v>
      </c>
      <c r="BT955" t="s">
        <v>0</v>
      </c>
      <c r="BU955" t="s">
        <v>0</v>
      </c>
      <c r="BV955" t="s">
        <v>0</v>
      </c>
      <c r="BW955" t="s">
        <v>0</v>
      </c>
      <c r="BX955" t="s">
        <v>0</v>
      </c>
      <c r="BY955" t="s">
        <v>0</v>
      </c>
      <c r="BZ955" t="s">
        <v>0</v>
      </c>
      <c r="CA955" t="s">
        <v>0</v>
      </c>
      <c r="CB955" t="s">
        <v>0</v>
      </c>
    </row>
    <row r="956" spans="1:80" ht="13.95" customHeight="1" x14ac:dyDescent="0.25">
      <c r="A956" t="s">
        <v>479</v>
      </c>
      <c r="B956" s="2">
        <v>46092</v>
      </c>
      <c r="C956" s="2">
        <v>46092</v>
      </c>
      <c r="D956" s="2">
        <v>46123</v>
      </c>
      <c r="E956" t="s">
        <v>2</v>
      </c>
      <c r="F956" t="s">
        <v>3</v>
      </c>
      <c r="G956" t="s">
        <v>0</v>
      </c>
      <c r="H956" t="s">
        <v>4</v>
      </c>
      <c r="I956" t="s">
        <v>474</v>
      </c>
      <c r="J956" t="s">
        <v>6</v>
      </c>
      <c r="K956" t="s">
        <v>26</v>
      </c>
      <c r="L956" t="s">
        <v>74</v>
      </c>
      <c r="M956" t="s">
        <v>75</v>
      </c>
      <c r="N956" t="s">
        <v>10</v>
      </c>
      <c r="O956" t="s">
        <v>0</v>
      </c>
      <c r="P956" t="s">
        <v>11</v>
      </c>
      <c r="Q956" s="5">
        <v>37</v>
      </c>
      <c r="R956" s="4">
        <v>58250</v>
      </c>
      <c r="S956" s="5">
        <v>1</v>
      </c>
      <c r="T956" s="4">
        <v>2155250</v>
      </c>
      <c r="U956" s="5">
        <v>0</v>
      </c>
      <c r="V956" s="4">
        <v>0</v>
      </c>
      <c r="W956" s="5">
        <v>0</v>
      </c>
      <c r="X956" s="4">
        <v>0</v>
      </c>
      <c r="Y956" s="4">
        <f t="shared" si="28"/>
        <v>2155250</v>
      </c>
      <c r="Z956" s="6" t="s">
        <v>0</v>
      </c>
      <c r="AA956" t="s">
        <v>2</v>
      </c>
      <c r="AB956" t="s">
        <v>12</v>
      </c>
      <c r="AC956">
        <f>_xlfn.XLOOKUP(AB956,'[1]GST Codes'!$A:$A,'[1]GST Codes'!$C:$C,0,0)</f>
        <v>18</v>
      </c>
      <c r="AD956">
        <f t="shared" si="29"/>
        <v>2543195</v>
      </c>
      <c r="AE956" t="s">
        <v>13</v>
      </c>
      <c r="AF956" t="s">
        <v>0</v>
      </c>
      <c r="AG956" t="s">
        <v>14</v>
      </c>
      <c r="AH956" t="s">
        <v>15</v>
      </c>
      <c r="AI956" t="s">
        <v>85</v>
      </c>
      <c r="AJ956" t="s">
        <v>17</v>
      </c>
      <c r="AK956" t="s">
        <v>18</v>
      </c>
      <c r="AL956" t="s">
        <v>19</v>
      </c>
      <c r="AM956" t="s">
        <v>474</v>
      </c>
      <c r="AN956" t="s">
        <v>0</v>
      </c>
      <c r="AO956" t="s">
        <v>0</v>
      </c>
      <c r="AP956" t="s">
        <v>0</v>
      </c>
      <c r="AQ956" s="5">
        <v>37</v>
      </c>
      <c r="AR956" t="s">
        <v>11</v>
      </c>
      <c r="AS956" t="s">
        <v>0</v>
      </c>
      <c r="AT956" t="s">
        <v>17</v>
      </c>
      <c r="AU956" s="4">
        <v>0</v>
      </c>
      <c r="AV956" s="4">
        <v>0</v>
      </c>
      <c r="AW956" s="4">
        <v>0</v>
      </c>
      <c r="AX956" s="4">
        <v>0</v>
      </c>
      <c r="AY956" s="5">
        <v>0</v>
      </c>
      <c r="AZ956" s="5">
        <v>0</v>
      </c>
      <c r="BA956" s="5">
        <v>0</v>
      </c>
      <c r="BB956" s="2"/>
      <c r="BC956" t="s">
        <v>0</v>
      </c>
      <c r="BD956" s="5">
        <v>1</v>
      </c>
      <c r="BE956" t="s">
        <v>0</v>
      </c>
      <c r="BF956" t="s">
        <v>475</v>
      </c>
      <c r="BG956" t="s">
        <v>17</v>
      </c>
      <c r="BH956" t="s">
        <v>0</v>
      </c>
      <c r="BI956" t="s">
        <v>11</v>
      </c>
      <c r="BJ956" t="s">
        <v>0</v>
      </c>
      <c r="BK956" t="s">
        <v>0</v>
      </c>
      <c r="BL956" s="5">
        <v>0</v>
      </c>
      <c r="BM956" t="s">
        <v>0</v>
      </c>
      <c r="BN956" t="s">
        <v>0</v>
      </c>
      <c r="BO956" t="s">
        <v>0</v>
      </c>
      <c r="BP956" t="s">
        <v>17</v>
      </c>
      <c r="BQ956" t="s">
        <v>0</v>
      </c>
      <c r="BR956" t="s">
        <v>17</v>
      </c>
      <c r="BS956" t="s">
        <v>17</v>
      </c>
      <c r="BT956" t="s">
        <v>0</v>
      </c>
      <c r="BU956" t="s">
        <v>0</v>
      </c>
      <c r="BV956" t="s">
        <v>0</v>
      </c>
      <c r="BW956" t="s">
        <v>0</v>
      </c>
      <c r="BX956" t="s">
        <v>0</v>
      </c>
      <c r="BY956" t="s">
        <v>0</v>
      </c>
      <c r="BZ956" t="s">
        <v>0</v>
      </c>
      <c r="CA956" t="s">
        <v>0</v>
      </c>
      <c r="CB956" t="s">
        <v>0</v>
      </c>
    </row>
    <row r="957" spans="1:80" ht="13.95" customHeight="1" x14ac:dyDescent="0.25">
      <c r="A957" t="s">
        <v>479</v>
      </c>
      <c r="B957" s="2">
        <v>46092</v>
      </c>
      <c r="C957" s="2">
        <v>46092</v>
      </c>
      <c r="D957" s="2">
        <v>46123</v>
      </c>
      <c r="E957" t="s">
        <v>2</v>
      </c>
      <c r="F957" t="s">
        <v>3</v>
      </c>
      <c r="G957" t="s">
        <v>0</v>
      </c>
      <c r="H957" t="s">
        <v>4</v>
      </c>
      <c r="I957" t="s">
        <v>474</v>
      </c>
      <c r="J957" t="s">
        <v>6</v>
      </c>
      <c r="K957" t="s">
        <v>30</v>
      </c>
      <c r="L957" t="s">
        <v>74</v>
      </c>
      <c r="M957" t="s">
        <v>75</v>
      </c>
      <c r="N957" t="s">
        <v>10</v>
      </c>
      <c r="O957" t="s">
        <v>0</v>
      </c>
      <c r="P957" t="s">
        <v>11</v>
      </c>
      <c r="Q957" s="5">
        <v>37</v>
      </c>
      <c r="R957" s="4">
        <v>58250</v>
      </c>
      <c r="S957" s="5">
        <v>1</v>
      </c>
      <c r="T957" s="4">
        <v>2155250</v>
      </c>
      <c r="U957" s="5">
        <v>0</v>
      </c>
      <c r="V957" s="4">
        <v>0</v>
      </c>
      <c r="W957" s="5">
        <v>0</v>
      </c>
      <c r="X957" s="4">
        <v>0</v>
      </c>
      <c r="Y957" s="4">
        <f t="shared" si="28"/>
        <v>2155250</v>
      </c>
      <c r="Z957" s="6" t="s">
        <v>0</v>
      </c>
      <c r="AA957" t="s">
        <v>2</v>
      </c>
      <c r="AB957" t="s">
        <v>12</v>
      </c>
      <c r="AC957">
        <f>_xlfn.XLOOKUP(AB957,'[1]GST Codes'!$A:$A,'[1]GST Codes'!$C:$C,0,0)</f>
        <v>18</v>
      </c>
      <c r="AD957">
        <f t="shared" si="29"/>
        <v>2543195</v>
      </c>
      <c r="AE957" t="s">
        <v>13</v>
      </c>
      <c r="AF957" t="s">
        <v>0</v>
      </c>
      <c r="AG957" t="s">
        <v>14</v>
      </c>
      <c r="AH957" t="s">
        <v>15</v>
      </c>
      <c r="AI957" t="s">
        <v>85</v>
      </c>
      <c r="AJ957" t="s">
        <v>17</v>
      </c>
      <c r="AK957" t="s">
        <v>18</v>
      </c>
      <c r="AL957" t="s">
        <v>19</v>
      </c>
      <c r="AM957" t="s">
        <v>474</v>
      </c>
      <c r="AN957" t="s">
        <v>0</v>
      </c>
      <c r="AO957" t="s">
        <v>0</v>
      </c>
      <c r="AP957" t="s">
        <v>0</v>
      </c>
      <c r="AQ957" s="5">
        <v>37</v>
      </c>
      <c r="AR957" t="s">
        <v>11</v>
      </c>
      <c r="AS957" t="s">
        <v>0</v>
      </c>
      <c r="AT957" t="s">
        <v>17</v>
      </c>
      <c r="AU957" s="4">
        <v>0</v>
      </c>
      <c r="AV957" s="4">
        <v>0</v>
      </c>
      <c r="AW957" s="4">
        <v>0</v>
      </c>
      <c r="AX957" s="4">
        <v>0</v>
      </c>
      <c r="AY957" s="5">
        <v>0</v>
      </c>
      <c r="AZ957" s="5">
        <v>0</v>
      </c>
      <c r="BA957" s="5">
        <v>0</v>
      </c>
      <c r="BB957" s="2"/>
      <c r="BC957" t="s">
        <v>0</v>
      </c>
      <c r="BD957" s="5">
        <v>1</v>
      </c>
      <c r="BE957" t="s">
        <v>0</v>
      </c>
      <c r="BF957" t="s">
        <v>475</v>
      </c>
      <c r="BG957" t="s">
        <v>17</v>
      </c>
      <c r="BH957" t="s">
        <v>0</v>
      </c>
      <c r="BI957" t="s">
        <v>11</v>
      </c>
      <c r="BJ957" t="s">
        <v>0</v>
      </c>
      <c r="BK957" t="s">
        <v>0</v>
      </c>
      <c r="BL957" s="5">
        <v>0</v>
      </c>
      <c r="BM957" t="s">
        <v>0</v>
      </c>
      <c r="BN957" t="s">
        <v>0</v>
      </c>
      <c r="BO957" t="s">
        <v>0</v>
      </c>
      <c r="BP957" t="s">
        <v>17</v>
      </c>
      <c r="BQ957" t="s">
        <v>0</v>
      </c>
      <c r="BR957" t="s">
        <v>17</v>
      </c>
      <c r="BS957" t="s">
        <v>17</v>
      </c>
      <c r="BT957" t="s">
        <v>0</v>
      </c>
      <c r="BU957" t="s">
        <v>0</v>
      </c>
      <c r="BV957" t="s">
        <v>0</v>
      </c>
      <c r="BW957" t="s">
        <v>0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</row>
    <row r="958" spans="1:80" ht="13.95" customHeight="1" x14ac:dyDescent="0.25">
      <c r="A958" t="s">
        <v>479</v>
      </c>
      <c r="B958" s="2">
        <v>46092</v>
      </c>
      <c r="C958" s="2">
        <v>46092</v>
      </c>
      <c r="D958" s="2">
        <v>46123</v>
      </c>
      <c r="E958" t="s">
        <v>2</v>
      </c>
      <c r="F958" t="s">
        <v>3</v>
      </c>
      <c r="G958" t="s">
        <v>0</v>
      </c>
      <c r="H958" t="s">
        <v>4</v>
      </c>
      <c r="I958" t="s">
        <v>474</v>
      </c>
      <c r="J958" t="s">
        <v>6</v>
      </c>
      <c r="K958" t="s">
        <v>34</v>
      </c>
      <c r="L958" t="s">
        <v>74</v>
      </c>
      <c r="M958" t="s">
        <v>75</v>
      </c>
      <c r="N958" t="s">
        <v>10</v>
      </c>
      <c r="O958" t="s">
        <v>0</v>
      </c>
      <c r="P958" t="s">
        <v>11</v>
      </c>
      <c r="Q958" s="5">
        <v>37</v>
      </c>
      <c r="R958" s="4">
        <v>58250</v>
      </c>
      <c r="S958" s="5">
        <v>1</v>
      </c>
      <c r="T958" s="4">
        <v>2155250</v>
      </c>
      <c r="U958" s="5">
        <v>0</v>
      </c>
      <c r="V958" s="4">
        <v>0</v>
      </c>
      <c r="W958" s="5">
        <v>0</v>
      </c>
      <c r="X958" s="4">
        <v>0</v>
      </c>
      <c r="Y958" s="4">
        <f t="shared" si="28"/>
        <v>2155250</v>
      </c>
      <c r="Z958" s="6" t="s">
        <v>0</v>
      </c>
      <c r="AA958" t="s">
        <v>2</v>
      </c>
      <c r="AB958" t="s">
        <v>12</v>
      </c>
      <c r="AC958">
        <f>_xlfn.XLOOKUP(AB958,'[1]GST Codes'!$A:$A,'[1]GST Codes'!$C:$C,0,0)</f>
        <v>18</v>
      </c>
      <c r="AD958">
        <f t="shared" si="29"/>
        <v>2543195</v>
      </c>
      <c r="AE958" t="s">
        <v>13</v>
      </c>
      <c r="AF958" t="s">
        <v>0</v>
      </c>
      <c r="AG958" t="s">
        <v>14</v>
      </c>
      <c r="AH958" t="s">
        <v>15</v>
      </c>
      <c r="AI958" t="s">
        <v>85</v>
      </c>
      <c r="AJ958" t="s">
        <v>17</v>
      </c>
      <c r="AK958" t="s">
        <v>18</v>
      </c>
      <c r="AL958" t="s">
        <v>19</v>
      </c>
      <c r="AM958" t="s">
        <v>474</v>
      </c>
      <c r="AN958" t="s">
        <v>0</v>
      </c>
      <c r="AO958" t="s">
        <v>0</v>
      </c>
      <c r="AP958" t="s">
        <v>0</v>
      </c>
      <c r="AQ958" s="5">
        <v>37</v>
      </c>
      <c r="AR958" t="s">
        <v>11</v>
      </c>
      <c r="AS958" t="s">
        <v>0</v>
      </c>
      <c r="AT958" t="s">
        <v>17</v>
      </c>
      <c r="AU958" s="4">
        <v>0</v>
      </c>
      <c r="AV958" s="4">
        <v>0</v>
      </c>
      <c r="AW958" s="4">
        <v>0</v>
      </c>
      <c r="AX958" s="4">
        <v>0</v>
      </c>
      <c r="AY958" s="5">
        <v>0</v>
      </c>
      <c r="AZ958" s="5">
        <v>0</v>
      </c>
      <c r="BA958" s="5">
        <v>0</v>
      </c>
      <c r="BB958" s="2"/>
      <c r="BC958" t="s">
        <v>0</v>
      </c>
      <c r="BD958" s="5">
        <v>1</v>
      </c>
      <c r="BE958" t="s">
        <v>0</v>
      </c>
      <c r="BF958" t="s">
        <v>475</v>
      </c>
      <c r="BG958" t="s">
        <v>17</v>
      </c>
      <c r="BH958" t="s">
        <v>0</v>
      </c>
      <c r="BI958" t="s">
        <v>11</v>
      </c>
      <c r="BJ958" t="s">
        <v>0</v>
      </c>
      <c r="BK958" t="s">
        <v>0</v>
      </c>
      <c r="BL958" s="5">
        <v>0</v>
      </c>
      <c r="BM958" t="s">
        <v>0</v>
      </c>
      <c r="BN958" t="s">
        <v>0</v>
      </c>
      <c r="BO958" t="s">
        <v>0</v>
      </c>
      <c r="BP958" t="s">
        <v>17</v>
      </c>
      <c r="BQ958" t="s">
        <v>0</v>
      </c>
      <c r="BR958" t="s">
        <v>17</v>
      </c>
      <c r="BS958" t="s">
        <v>17</v>
      </c>
      <c r="BT958" t="s">
        <v>0</v>
      </c>
      <c r="BU958" t="s">
        <v>0</v>
      </c>
      <c r="BV958" t="s">
        <v>0</v>
      </c>
      <c r="BW958" t="s">
        <v>0</v>
      </c>
      <c r="BX958" t="s">
        <v>0</v>
      </c>
      <c r="BY958" t="s">
        <v>0</v>
      </c>
      <c r="BZ958" t="s">
        <v>0</v>
      </c>
      <c r="CA958" t="s">
        <v>0</v>
      </c>
      <c r="CB958" t="s">
        <v>0</v>
      </c>
    </row>
    <row r="959" spans="1:80" ht="13.95" customHeight="1" x14ac:dyDescent="0.25">
      <c r="A959" t="s">
        <v>479</v>
      </c>
      <c r="B959" s="2">
        <v>46092</v>
      </c>
      <c r="C959" s="2">
        <v>46092</v>
      </c>
      <c r="D959" s="2">
        <v>46123</v>
      </c>
      <c r="E959" t="s">
        <v>2</v>
      </c>
      <c r="F959" t="s">
        <v>3</v>
      </c>
      <c r="G959" t="s">
        <v>0</v>
      </c>
      <c r="H959" t="s">
        <v>4</v>
      </c>
      <c r="I959" t="s">
        <v>474</v>
      </c>
      <c r="J959" t="s">
        <v>6</v>
      </c>
      <c r="K959" t="s">
        <v>38</v>
      </c>
      <c r="L959" t="s">
        <v>74</v>
      </c>
      <c r="M959" t="s">
        <v>75</v>
      </c>
      <c r="N959" t="s">
        <v>10</v>
      </c>
      <c r="O959" t="s">
        <v>0</v>
      </c>
      <c r="P959" t="s">
        <v>11</v>
      </c>
      <c r="Q959" s="5">
        <v>37</v>
      </c>
      <c r="R959" s="4">
        <v>58250</v>
      </c>
      <c r="S959" s="5">
        <v>1</v>
      </c>
      <c r="T959" s="4">
        <v>2155250</v>
      </c>
      <c r="U959" s="5">
        <v>0</v>
      </c>
      <c r="V959" s="4">
        <v>0</v>
      </c>
      <c r="W959" s="5">
        <v>0</v>
      </c>
      <c r="X959" s="4">
        <v>0</v>
      </c>
      <c r="Y959" s="4">
        <f t="shared" si="28"/>
        <v>2155250</v>
      </c>
      <c r="Z959" s="6" t="s">
        <v>0</v>
      </c>
      <c r="AA959" t="s">
        <v>2</v>
      </c>
      <c r="AB959" t="s">
        <v>12</v>
      </c>
      <c r="AC959">
        <f>_xlfn.XLOOKUP(AB959,'[1]GST Codes'!$A:$A,'[1]GST Codes'!$C:$C,0,0)</f>
        <v>18</v>
      </c>
      <c r="AD959">
        <f t="shared" si="29"/>
        <v>2543195</v>
      </c>
      <c r="AE959" t="s">
        <v>13</v>
      </c>
      <c r="AF959" t="s">
        <v>0</v>
      </c>
      <c r="AG959" t="s">
        <v>14</v>
      </c>
      <c r="AH959" t="s">
        <v>15</v>
      </c>
      <c r="AI959" t="s">
        <v>85</v>
      </c>
      <c r="AJ959" t="s">
        <v>17</v>
      </c>
      <c r="AK959" t="s">
        <v>18</v>
      </c>
      <c r="AL959" t="s">
        <v>19</v>
      </c>
      <c r="AM959" t="s">
        <v>474</v>
      </c>
      <c r="AN959" t="s">
        <v>0</v>
      </c>
      <c r="AO959" t="s">
        <v>0</v>
      </c>
      <c r="AP959" t="s">
        <v>0</v>
      </c>
      <c r="AQ959" s="5">
        <v>37</v>
      </c>
      <c r="AR959" t="s">
        <v>11</v>
      </c>
      <c r="AS959" t="s">
        <v>0</v>
      </c>
      <c r="AT959" t="s">
        <v>17</v>
      </c>
      <c r="AU959" s="4">
        <v>0</v>
      </c>
      <c r="AV959" s="4">
        <v>0</v>
      </c>
      <c r="AW959" s="4">
        <v>0</v>
      </c>
      <c r="AX959" s="4">
        <v>0</v>
      </c>
      <c r="AY959" s="5">
        <v>0</v>
      </c>
      <c r="AZ959" s="5">
        <v>0</v>
      </c>
      <c r="BA959" s="5">
        <v>0</v>
      </c>
      <c r="BB959" s="2"/>
      <c r="BC959" t="s">
        <v>0</v>
      </c>
      <c r="BD959" s="5">
        <v>1</v>
      </c>
      <c r="BE959" t="s">
        <v>0</v>
      </c>
      <c r="BF959" t="s">
        <v>475</v>
      </c>
      <c r="BG959" t="s">
        <v>17</v>
      </c>
      <c r="BH959" t="s">
        <v>0</v>
      </c>
      <c r="BI959" t="s">
        <v>11</v>
      </c>
      <c r="BJ959" t="s">
        <v>0</v>
      </c>
      <c r="BK959" t="s">
        <v>0</v>
      </c>
      <c r="BL959" s="5">
        <v>0</v>
      </c>
      <c r="BM959" t="s">
        <v>0</v>
      </c>
      <c r="BN959" t="s">
        <v>0</v>
      </c>
      <c r="BO959" t="s">
        <v>0</v>
      </c>
      <c r="BP959" t="s">
        <v>17</v>
      </c>
      <c r="BQ959" t="s">
        <v>0</v>
      </c>
      <c r="BR959" t="s">
        <v>17</v>
      </c>
      <c r="BS959" t="s">
        <v>17</v>
      </c>
      <c r="BT959" t="s">
        <v>0</v>
      </c>
      <c r="BU959" t="s">
        <v>0</v>
      </c>
      <c r="BV959" t="s">
        <v>0</v>
      </c>
      <c r="BW959" t="s">
        <v>0</v>
      </c>
      <c r="BX959" t="s">
        <v>0</v>
      </c>
      <c r="BY959" t="s">
        <v>0</v>
      </c>
      <c r="BZ959" t="s">
        <v>0</v>
      </c>
      <c r="CA959" t="s">
        <v>0</v>
      </c>
      <c r="CB959" t="s">
        <v>0</v>
      </c>
    </row>
    <row r="960" spans="1:80" ht="13.95" customHeight="1" x14ac:dyDescent="0.25">
      <c r="A960" t="s">
        <v>479</v>
      </c>
      <c r="B960" s="2">
        <v>46092</v>
      </c>
      <c r="C960" s="2">
        <v>46092</v>
      </c>
      <c r="D960" s="2">
        <v>46123</v>
      </c>
      <c r="E960" t="s">
        <v>2</v>
      </c>
      <c r="F960" t="s">
        <v>3</v>
      </c>
      <c r="G960" t="s">
        <v>0</v>
      </c>
      <c r="H960" t="s">
        <v>4</v>
      </c>
      <c r="I960" t="s">
        <v>474</v>
      </c>
      <c r="J960" t="s">
        <v>6</v>
      </c>
      <c r="K960" t="s">
        <v>42</v>
      </c>
      <c r="L960" t="s">
        <v>39</v>
      </c>
      <c r="M960" t="s">
        <v>40</v>
      </c>
      <c r="N960" t="s">
        <v>10</v>
      </c>
      <c r="O960" t="s">
        <v>0</v>
      </c>
      <c r="P960" t="s">
        <v>11</v>
      </c>
      <c r="Q960" s="5">
        <v>30</v>
      </c>
      <c r="R960" s="4">
        <v>58250</v>
      </c>
      <c r="S960" s="5">
        <v>1</v>
      </c>
      <c r="T960" s="4">
        <v>1747500</v>
      </c>
      <c r="U960" s="5">
        <v>0</v>
      </c>
      <c r="V960" s="4">
        <v>0</v>
      </c>
      <c r="W960" s="5">
        <v>0</v>
      </c>
      <c r="X960" s="4">
        <v>0</v>
      </c>
      <c r="Y960" s="4">
        <f t="shared" si="28"/>
        <v>1747500</v>
      </c>
      <c r="Z960" s="6" t="s">
        <v>0</v>
      </c>
      <c r="AA960" t="s">
        <v>2</v>
      </c>
      <c r="AB960" t="s">
        <v>12</v>
      </c>
      <c r="AC960">
        <f>_xlfn.XLOOKUP(AB960,'[1]GST Codes'!$A:$A,'[1]GST Codes'!$C:$C,0,0)</f>
        <v>18</v>
      </c>
      <c r="AD960">
        <f t="shared" si="29"/>
        <v>2062050</v>
      </c>
      <c r="AE960" t="s">
        <v>13</v>
      </c>
      <c r="AF960" t="s">
        <v>0</v>
      </c>
      <c r="AG960" t="s">
        <v>14</v>
      </c>
      <c r="AH960" t="s">
        <v>15</v>
      </c>
      <c r="AI960" t="s">
        <v>85</v>
      </c>
      <c r="AJ960" t="s">
        <v>17</v>
      </c>
      <c r="AK960" t="s">
        <v>18</v>
      </c>
      <c r="AL960" t="s">
        <v>19</v>
      </c>
      <c r="AM960" t="s">
        <v>474</v>
      </c>
      <c r="AN960" t="s">
        <v>0</v>
      </c>
      <c r="AO960" t="s">
        <v>0</v>
      </c>
      <c r="AP960" t="s">
        <v>0</v>
      </c>
      <c r="AQ960" s="5">
        <v>30</v>
      </c>
      <c r="AR960" t="s">
        <v>11</v>
      </c>
      <c r="AS960" t="s">
        <v>0</v>
      </c>
      <c r="AT960" t="s">
        <v>17</v>
      </c>
      <c r="AU960" s="4">
        <v>0</v>
      </c>
      <c r="AV960" s="4">
        <v>0</v>
      </c>
      <c r="AW960" s="4">
        <v>0</v>
      </c>
      <c r="AX960" s="4">
        <v>0</v>
      </c>
      <c r="AY960" s="5">
        <v>0</v>
      </c>
      <c r="AZ960" s="5">
        <v>0</v>
      </c>
      <c r="BA960" s="5">
        <v>0</v>
      </c>
      <c r="BB960" s="2"/>
      <c r="BC960" t="s">
        <v>0</v>
      </c>
      <c r="BD960" s="5">
        <v>1</v>
      </c>
      <c r="BE960" t="s">
        <v>0</v>
      </c>
      <c r="BF960" t="s">
        <v>476</v>
      </c>
      <c r="BG960" t="s">
        <v>17</v>
      </c>
      <c r="BH960" t="s">
        <v>0</v>
      </c>
      <c r="BI960" t="s">
        <v>11</v>
      </c>
      <c r="BJ960" t="s">
        <v>0</v>
      </c>
      <c r="BK960" t="s">
        <v>0</v>
      </c>
      <c r="BL960" s="5">
        <v>0</v>
      </c>
      <c r="BM960" t="s">
        <v>0</v>
      </c>
      <c r="BN960" t="s">
        <v>0</v>
      </c>
      <c r="BO960" t="s">
        <v>0</v>
      </c>
      <c r="BP960" t="s">
        <v>17</v>
      </c>
      <c r="BQ960" t="s">
        <v>0</v>
      </c>
      <c r="BR960" t="s">
        <v>17</v>
      </c>
      <c r="BS960" t="s">
        <v>17</v>
      </c>
      <c r="BT960" t="s">
        <v>0</v>
      </c>
      <c r="BU960" t="s">
        <v>0</v>
      </c>
      <c r="BV960" t="s">
        <v>0</v>
      </c>
      <c r="BW960" t="s">
        <v>0</v>
      </c>
      <c r="BX960" t="s">
        <v>0</v>
      </c>
      <c r="BY960" t="s">
        <v>0</v>
      </c>
      <c r="BZ960" t="s">
        <v>0</v>
      </c>
      <c r="CA960" t="s">
        <v>0</v>
      </c>
      <c r="CB960" t="s">
        <v>0</v>
      </c>
    </row>
    <row r="961" spans="1:80" ht="13.95" customHeight="1" x14ac:dyDescent="0.25">
      <c r="A961" t="s">
        <v>479</v>
      </c>
      <c r="B961" s="2">
        <v>46092</v>
      </c>
      <c r="C961" s="2">
        <v>46092</v>
      </c>
      <c r="D961" s="2">
        <v>46123</v>
      </c>
      <c r="E961" t="s">
        <v>2</v>
      </c>
      <c r="F961" t="s">
        <v>3</v>
      </c>
      <c r="G961" t="s">
        <v>0</v>
      </c>
      <c r="H961" t="s">
        <v>4</v>
      </c>
      <c r="I961" t="s">
        <v>474</v>
      </c>
      <c r="J961" t="s">
        <v>6</v>
      </c>
      <c r="K961" t="s">
        <v>86</v>
      </c>
      <c r="L961" t="s">
        <v>39</v>
      </c>
      <c r="M961" t="s">
        <v>40</v>
      </c>
      <c r="N961" t="s">
        <v>10</v>
      </c>
      <c r="O961" t="s">
        <v>0</v>
      </c>
      <c r="P961" t="s">
        <v>11</v>
      </c>
      <c r="Q961" s="5">
        <v>30</v>
      </c>
      <c r="R961" s="4">
        <v>58250</v>
      </c>
      <c r="S961" s="5">
        <v>1</v>
      </c>
      <c r="T961" s="4">
        <v>1747500</v>
      </c>
      <c r="U961" s="5">
        <v>0</v>
      </c>
      <c r="V961" s="4">
        <v>0</v>
      </c>
      <c r="W961" s="5">
        <v>0</v>
      </c>
      <c r="X961" s="4">
        <v>0</v>
      </c>
      <c r="Y961" s="4">
        <f t="shared" si="28"/>
        <v>1747500</v>
      </c>
      <c r="Z961" s="6" t="s">
        <v>0</v>
      </c>
      <c r="AA961" t="s">
        <v>2</v>
      </c>
      <c r="AB961" t="s">
        <v>12</v>
      </c>
      <c r="AC961">
        <f>_xlfn.XLOOKUP(AB961,'[1]GST Codes'!$A:$A,'[1]GST Codes'!$C:$C,0,0)</f>
        <v>18</v>
      </c>
      <c r="AD961">
        <f t="shared" si="29"/>
        <v>2062050</v>
      </c>
      <c r="AE961" t="s">
        <v>13</v>
      </c>
      <c r="AF961" t="s">
        <v>0</v>
      </c>
      <c r="AG961" t="s">
        <v>14</v>
      </c>
      <c r="AH961" t="s">
        <v>15</v>
      </c>
      <c r="AI961" t="s">
        <v>85</v>
      </c>
      <c r="AJ961" t="s">
        <v>17</v>
      </c>
      <c r="AK961" t="s">
        <v>18</v>
      </c>
      <c r="AL961" t="s">
        <v>19</v>
      </c>
      <c r="AM961" t="s">
        <v>474</v>
      </c>
      <c r="AN961" t="s">
        <v>0</v>
      </c>
      <c r="AO961" t="s">
        <v>0</v>
      </c>
      <c r="AP961" t="s">
        <v>0</v>
      </c>
      <c r="AQ961" s="5">
        <v>30</v>
      </c>
      <c r="AR961" t="s">
        <v>11</v>
      </c>
      <c r="AS961" t="s">
        <v>0</v>
      </c>
      <c r="AT961" t="s">
        <v>17</v>
      </c>
      <c r="AU961" s="4">
        <v>0</v>
      </c>
      <c r="AV961" s="4">
        <v>0</v>
      </c>
      <c r="AW961" s="4">
        <v>0</v>
      </c>
      <c r="AX961" s="4">
        <v>0</v>
      </c>
      <c r="AY961" s="5">
        <v>0</v>
      </c>
      <c r="AZ961" s="5">
        <v>0</v>
      </c>
      <c r="BA961" s="5">
        <v>0</v>
      </c>
      <c r="BB961" s="2"/>
      <c r="BC961" t="s">
        <v>0</v>
      </c>
      <c r="BD961" s="5">
        <v>1</v>
      </c>
      <c r="BE961" t="s">
        <v>0</v>
      </c>
      <c r="BF961" t="s">
        <v>476</v>
      </c>
      <c r="BG961" t="s">
        <v>17</v>
      </c>
      <c r="BH961" t="s">
        <v>0</v>
      </c>
      <c r="BI961" t="s">
        <v>11</v>
      </c>
      <c r="BJ961" t="s">
        <v>0</v>
      </c>
      <c r="BK961" t="s">
        <v>0</v>
      </c>
      <c r="BL961" s="5">
        <v>0</v>
      </c>
      <c r="BM961" t="s">
        <v>0</v>
      </c>
      <c r="BN961" t="s">
        <v>0</v>
      </c>
      <c r="BO961" t="s">
        <v>0</v>
      </c>
      <c r="BP961" t="s">
        <v>17</v>
      </c>
      <c r="BQ961" t="s">
        <v>0</v>
      </c>
      <c r="BR961" t="s">
        <v>17</v>
      </c>
      <c r="BS961" t="s">
        <v>17</v>
      </c>
      <c r="BT961" t="s">
        <v>0</v>
      </c>
      <c r="BU961" t="s">
        <v>0</v>
      </c>
      <c r="BV961" t="s">
        <v>0</v>
      </c>
      <c r="BW961" t="s">
        <v>0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</row>
    <row r="962" spans="1:80" ht="13.95" customHeight="1" x14ac:dyDescent="0.25">
      <c r="A962" t="s">
        <v>479</v>
      </c>
      <c r="B962" s="2">
        <v>46092</v>
      </c>
      <c r="C962" s="2">
        <v>46092</v>
      </c>
      <c r="D962" s="2">
        <v>46123</v>
      </c>
      <c r="E962" t="s">
        <v>2</v>
      </c>
      <c r="F962" t="s">
        <v>3</v>
      </c>
      <c r="G962" t="s">
        <v>0</v>
      </c>
      <c r="H962" t="s">
        <v>4</v>
      </c>
      <c r="I962" t="s">
        <v>474</v>
      </c>
      <c r="J962" t="s">
        <v>6</v>
      </c>
      <c r="K962" t="s">
        <v>87</v>
      </c>
      <c r="L962" t="s">
        <v>39</v>
      </c>
      <c r="M962" t="s">
        <v>40</v>
      </c>
      <c r="N962" t="s">
        <v>10</v>
      </c>
      <c r="O962" t="s">
        <v>0</v>
      </c>
      <c r="P962" t="s">
        <v>11</v>
      </c>
      <c r="Q962" s="5">
        <v>30</v>
      </c>
      <c r="R962" s="4">
        <v>58250</v>
      </c>
      <c r="S962" s="5">
        <v>1</v>
      </c>
      <c r="T962" s="4">
        <v>1747500</v>
      </c>
      <c r="U962" s="5">
        <v>0</v>
      </c>
      <c r="V962" s="4">
        <v>0</v>
      </c>
      <c r="W962" s="5">
        <v>0</v>
      </c>
      <c r="X962" s="4">
        <v>0</v>
      </c>
      <c r="Y962" s="4">
        <f t="shared" si="28"/>
        <v>1747500</v>
      </c>
      <c r="Z962" s="6" t="s">
        <v>0</v>
      </c>
      <c r="AA962" t="s">
        <v>2</v>
      </c>
      <c r="AB962" t="s">
        <v>12</v>
      </c>
      <c r="AC962">
        <f>_xlfn.XLOOKUP(AB962,'[1]GST Codes'!$A:$A,'[1]GST Codes'!$C:$C,0,0)</f>
        <v>18</v>
      </c>
      <c r="AD962">
        <f t="shared" si="29"/>
        <v>2062050</v>
      </c>
      <c r="AE962" t="s">
        <v>13</v>
      </c>
      <c r="AF962" t="s">
        <v>0</v>
      </c>
      <c r="AG962" t="s">
        <v>14</v>
      </c>
      <c r="AH962" t="s">
        <v>15</v>
      </c>
      <c r="AI962" t="s">
        <v>85</v>
      </c>
      <c r="AJ962" t="s">
        <v>17</v>
      </c>
      <c r="AK962" t="s">
        <v>18</v>
      </c>
      <c r="AL962" t="s">
        <v>19</v>
      </c>
      <c r="AM962" t="s">
        <v>474</v>
      </c>
      <c r="AN962" t="s">
        <v>0</v>
      </c>
      <c r="AO962" t="s">
        <v>0</v>
      </c>
      <c r="AP962" t="s">
        <v>0</v>
      </c>
      <c r="AQ962" s="5">
        <v>30</v>
      </c>
      <c r="AR962" t="s">
        <v>11</v>
      </c>
      <c r="AS962" t="s">
        <v>0</v>
      </c>
      <c r="AT962" t="s">
        <v>17</v>
      </c>
      <c r="AU962" s="4">
        <v>0</v>
      </c>
      <c r="AV962" s="4">
        <v>0</v>
      </c>
      <c r="AW962" s="4">
        <v>0</v>
      </c>
      <c r="AX962" s="4">
        <v>0</v>
      </c>
      <c r="AY962" s="5">
        <v>0</v>
      </c>
      <c r="AZ962" s="5">
        <v>0</v>
      </c>
      <c r="BA962" s="5">
        <v>0</v>
      </c>
      <c r="BB962" s="2"/>
      <c r="BC962" t="s">
        <v>0</v>
      </c>
      <c r="BD962" s="5">
        <v>1</v>
      </c>
      <c r="BE962" t="s">
        <v>0</v>
      </c>
      <c r="BF962" t="s">
        <v>476</v>
      </c>
      <c r="BG962" t="s">
        <v>17</v>
      </c>
      <c r="BH962" t="s">
        <v>0</v>
      </c>
      <c r="BI962" t="s">
        <v>11</v>
      </c>
      <c r="BJ962" t="s">
        <v>0</v>
      </c>
      <c r="BK962" t="s">
        <v>0</v>
      </c>
      <c r="BL962" s="5">
        <v>0</v>
      </c>
      <c r="BM962" t="s">
        <v>0</v>
      </c>
      <c r="BN962" t="s">
        <v>0</v>
      </c>
      <c r="BO962" t="s">
        <v>0</v>
      </c>
      <c r="BP962" t="s">
        <v>17</v>
      </c>
      <c r="BQ962" t="s">
        <v>0</v>
      </c>
      <c r="BR962" t="s">
        <v>17</v>
      </c>
      <c r="BS962" t="s">
        <v>17</v>
      </c>
      <c r="BT962" t="s">
        <v>0</v>
      </c>
      <c r="BU962" t="s">
        <v>0</v>
      </c>
      <c r="BV962" t="s">
        <v>0</v>
      </c>
      <c r="BW962" t="s">
        <v>0</v>
      </c>
      <c r="BX962" t="s">
        <v>0</v>
      </c>
      <c r="BY962" t="s">
        <v>0</v>
      </c>
      <c r="BZ962" t="s">
        <v>0</v>
      </c>
      <c r="CA962" t="s">
        <v>0</v>
      </c>
      <c r="CB962" t="s">
        <v>0</v>
      </c>
    </row>
    <row r="963" spans="1:80" ht="13.95" customHeight="1" x14ac:dyDescent="0.25">
      <c r="A963" t="s">
        <v>479</v>
      </c>
      <c r="B963" s="2">
        <v>46092</v>
      </c>
      <c r="C963" s="2">
        <v>46092</v>
      </c>
      <c r="D963" s="2">
        <v>46123</v>
      </c>
      <c r="E963" t="s">
        <v>2</v>
      </c>
      <c r="F963" t="s">
        <v>3</v>
      </c>
      <c r="G963" t="s">
        <v>0</v>
      </c>
      <c r="H963" t="s">
        <v>4</v>
      </c>
      <c r="I963" t="s">
        <v>474</v>
      </c>
      <c r="J963" t="s">
        <v>6</v>
      </c>
      <c r="K963" t="s">
        <v>88</v>
      </c>
      <c r="L963" t="s">
        <v>39</v>
      </c>
      <c r="M963" t="s">
        <v>40</v>
      </c>
      <c r="N963" t="s">
        <v>10</v>
      </c>
      <c r="O963" t="s">
        <v>0</v>
      </c>
      <c r="P963" t="s">
        <v>11</v>
      </c>
      <c r="Q963" s="5">
        <v>30</v>
      </c>
      <c r="R963" s="4">
        <v>58250</v>
      </c>
      <c r="S963" s="5">
        <v>1</v>
      </c>
      <c r="T963" s="4">
        <v>1747500</v>
      </c>
      <c r="U963" s="5">
        <v>0</v>
      </c>
      <c r="V963" s="4">
        <v>0</v>
      </c>
      <c r="W963" s="5">
        <v>0</v>
      </c>
      <c r="X963" s="4">
        <v>0</v>
      </c>
      <c r="Y963" s="4">
        <f t="shared" ref="Y963:Y1026" si="30">T963-V963</f>
        <v>1747500</v>
      </c>
      <c r="Z963" s="6" t="s">
        <v>0</v>
      </c>
      <c r="AA963" t="s">
        <v>2</v>
      </c>
      <c r="AB963" t="s">
        <v>12</v>
      </c>
      <c r="AC963">
        <f>_xlfn.XLOOKUP(AB963,'[1]GST Codes'!$A:$A,'[1]GST Codes'!$C:$C,0,0)</f>
        <v>18</v>
      </c>
      <c r="AD963">
        <f t="shared" ref="AD963:AD1026" si="31">Y963+(Y963*AC963/100)</f>
        <v>2062050</v>
      </c>
      <c r="AE963" t="s">
        <v>13</v>
      </c>
      <c r="AF963" t="s">
        <v>0</v>
      </c>
      <c r="AG963" t="s">
        <v>14</v>
      </c>
      <c r="AH963" t="s">
        <v>15</v>
      </c>
      <c r="AI963" t="s">
        <v>85</v>
      </c>
      <c r="AJ963" t="s">
        <v>17</v>
      </c>
      <c r="AK963" t="s">
        <v>18</v>
      </c>
      <c r="AL963" t="s">
        <v>19</v>
      </c>
      <c r="AM963" t="s">
        <v>474</v>
      </c>
      <c r="AN963" t="s">
        <v>0</v>
      </c>
      <c r="AO963" t="s">
        <v>0</v>
      </c>
      <c r="AP963" t="s">
        <v>0</v>
      </c>
      <c r="AQ963" s="5">
        <v>30</v>
      </c>
      <c r="AR963" t="s">
        <v>11</v>
      </c>
      <c r="AS963" t="s">
        <v>0</v>
      </c>
      <c r="AT963" t="s">
        <v>17</v>
      </c>
      <c r="AU963" s="4">
        <v>0</v>
      </c>
      <c r="AV963" s="4">
        <v>0</v>
      </c>
      <c r="AW963" s="4">
        <v>0</v>
      </c>
      <c r="AX963" s="4">
        <v>0</v>
      </c>
      <c r="AY963" s="5">
        <v>0</v>
      </c>
      <c r="AZ963" s="5">
        <v>0</v>
      </c>
      <c r="BA963" s="5">
        <v>0</v>
      </c>
      <c r="BB963" s="2"/>
      <c r="BC963" t="s">
        <v>0</v>
      </c>
      <c r="BD963" s="5">
        <v>1</v>
      </c>
      <c r="BE963" t="s">
        <v>0</v>
      </c>
      <c r="BF963" t="s">
        <v>476</v>
      </c>
      <c r="BG963" t="s">
        <v>17</v>
      </c>
      <c r="BH963" t="s">
        <v>0</v>
      </c>
      <c r="BI963" t="s">
        <v>11</v>
      </c>
      <c r="BJ963" t="s">
        <v>0</v>
      </c>
      <c r="BK963" t="s">
        <v>0</v>
      </c>
      <c r="BL963" s="5">
        <v>0</v>
      </c>
      <c r="BM963" t="s">
        <v>0</v>
      </c>
      <c r="BN963" t="s">
        <v>0</v>
      </c>
      <c r="BO963" t="s">
        <v>0</v>
      </c>
      <c r="BP963" t="s">
        <v>17</v>
      </c>
      <c r="BQ963" t="s">
        <v>0</v>
      </c>
      <c r="BR963" t="s">
        <v>17</v>
      </c>
      <c r="BS963" t="s">
        <v>17</v>
      </c>
      <c r="BT963" t="s">
        <v>0</v>
      </c>
      <c r="BU963" t="s">
        <v>0</v>
      </c>
      <c r="BV963" t="s">
        <v>0</v>
      </c>
      <c r="BW963" t="s">
        <v>0</v>
      </c>
      <c r="BX963" t="s">
        <v>0</v>
      </c>
      <c r="BY963" t="s">
        <v>0</v>
      </c>
      <c r="BZ963" t="s">
        <v>0</v>
      </c>
      <c r="CA963" t="s">
        <v>0</v>
      </c>
      <c r="CB963" t="s">
        <v>0</v>
      </c>
    </row>
    <row r="964" spans="1:80" ht="13.95" customHeight="1" x14ac:dyDescent="0.25">
      <c r="A964" t="s">
        <v>479</v>
      </c>
      <c r="B964" s="2">
        <v>46092</v>
      </c>
      <c r="C964" s="2">
        <v>46092</v>
      </c>
      <c r="D964" s="2">
        <v>46123</v>
      </c>
      <c r="E964" t="s">
        <v>2</v>
      </c>
      <c r="F964" t="s">
        <v>3</v>
      </c>
      <c r="G964" t="s">
        <v>0</v>
      </c>
      <c r="H964" t="s">
        <v>4</v>
      </c>
      <c r="I964" t="s">
        <v>474</v>
      </c>
      <c r="J964" t="s">
        <v>6</v>
      </c>
      <c r="K964" t="s">
        <v>89</v>
      </c>
      <c r="L964" t="s">
        <v>39</v>
      </c>
      <c r="M964" t="s">
        <v>40</v>
      </c>
      <c r="N964" t="s">
        <v>10</v>
      </c>
      <c r="O964" t="s">
        <v>0</v>
      </c>
      <c r="P964" t="s">
        <v>11</v>
      </c>
      <c r="Q964" s="5">
        <v>30</v>
      </c>
      <c r="R964" s="4">
        <v>58250</v>
      </c>
      <c r="S964" s="5">
        <v>1</v>
      </c>
      <c r="T964" s="4">
        <v>1747500</v>
      </c>
      <c r="U964" s="5">
        <v>0</v>
      </c>
      <c r="V964" s="4">
        <v>0</v>
      </c>
      <c r="W964" s="5">
        <v>0</v>
      </c>
      <c r="X964" s="4">
        <v>0</v>
      </c>
      <c r="Y964" s="4">
        <f t="shared" si="30"/>
        <v>1747500</v>
      </c>
      <c r="Z964" s="6" t="s">
        <v>0</v>
      </c>
      <c r="AA964" t="s">
        <v>2</v>
      </c>
      <c r="AB964" t="s">
        <v>12</v>
      </c>
      <c r="AC964">
        <f>_xlfn.XLOOKUP(AB964,'[1]GST Codes'!$A:$A,'[1]GST Codes'!$C:$C,0,0)</f>
        <v>18</v>
      </c>
      <c r="AD964">
        <f t="shared" si="31"/>
        <v>2062050</v>
      </c>
      <c r="AE964" t="s">
        <v>13</v>
      </c>
      <c r="AF964" t="s">
        <v>0</v>
      </c>
      <c r="AG964" t="s">
        <v>14</v>
      </c>
      <c r="AH964" t="s">
        <v>15</v>
      </c>
      <c r="AI964" t="s">
        <v>85</v>
      </c>
      <c r="AJ964" t="s">
        <v>17</v>
      </c>
      <c r="AK964" t="s">
        <v>18</v>
      </c>
      <c r="AL964" t="s">
        <v>19</v>
      </c>
      <c r="AM964" t="s">
        <v>474</v>
      </c>
      <c r="AN964" t="s">
        <v>0</v>
      </c>
      <c r="AO964" t="s">
        <v>0</v>
      </c>
      <c r="AP964" t="s">
        <v>0</v>
      </c>
      <c r="AQ964" s="5">
        <v>30</v>
      </c>
      <c r="AR964" t="s">
        <v>11</v>
      </c>
      <c r="AS964" t="s">
        <v>0</v>
      </c>
      <c r="AT964" t="s">
        <v>17</v>
      </c>
      <c r="AU964" s="4">
        <v>0</v>
      </c>
      <c r="AV964" s="4">
        <v>0</v>
      </c>
      <c r="AW964" s="4">
        <v>0</v>
      </c>
      <c r="AX964" s="4">
        <v>0</v>
      </c>
      <c r="AY964" s="5">
        <v>0</v>
      </c>
      <c r="AZ964" s="5">
        <v>0</v>
      </c>
      <c r="BA964" s="5">
        <v>0</v>
      </c>
      <c r="BB964" s="2"/>
      <c r="BC964" t="s">
        <v>0</v>
      </c>
      <c r="BD964" s="5">
        <v>1</v>
      </c>
      <c r="BE964" t="s">
        <v>0</v>
      </c>
      <c r="BF964" t="s">
        <v>476</v>
      </c>
      <c r="BG964" t="s">
        <v>17</v>
      </c>
      <c r="BH964" t="s">
        <v>0</v>
      </c>
      <c r="BI964" t="s">
        <v>11</v>
      </c>
      <c r="BJ964" t="s">
        <v>0</v>
      </c>
      <c r="BK964" t="s">
        <v>0</v>
      </c>
      <c r="BL964" s="5">
        <v>0</v>
      </c>
      <c r="BM964" t="s">
        <v>0</v>
      </c>
      <c r="BN964" t="s">
        <v>0</v>
      </c>
      <c r="BO964" t="s">
        <v>0</v>
      </c>
      <c r="BP964" t="s">
        <v>17</v>
      </c>
      <c r="BQ964" t="s">
        <v>0</v>
      </c>
      <c r="BR964" t="s">
        <v>17</v>
      </c>
      <c r="BS964" t="s">
        <v>17</v>
      </c>
      <c r="BT964" t="s">
        <v>0</v>
      </c>
      <c r="BU964" t="s">
        <v>0</v>
      </c>
      <c r="BV964" t="s">
        <v>0</v>
      </c>
      <c r="BW964" t="s">
        <v>0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</row>
    <row r="965" spans="1:80" ht="13.95" customHeight="1" x14ac:dyDescent="0.25">
      <c r="A965" t="s">
        <v>479</v>
      </c>
      <c r="B965" s="2">
        <v>46092</v>
      </c>
      <c r="C965" s="2">
        <v>46092</v>
      </c>
      <c r="D965" s="2">
        <v>46123</v>
      </c>
      <c r="E965" t="s">
        <v>2</v>
      </c>
      <c r="F965" t="s">
        <v>3</v>
      </c>
      <c r="G965" t="s">
        <v>0</v>
      </c>
      <c r="H965" t="s">
        <v>4</v>
      </c>
      <c r="I965" t="s">
        <v>474</v>
      </c>
      <c r="J965" t="s">
        <v>6</v>
      </c>
      <c r="K965" t="s">
        <v>90</v>
      </c>
      <c r="L965" t="s">
        <v>39</v>
      </c>
      <c r="M965" t="s">
        <v>40</v>
      </c>
      <c r="N965" t="s">
        <v>10</v>
      </c>
      <c r="O965" t="s">
        <v>0</v>
      </c>
      <c r="P965" t="s">
        <v>11</v>
      </c>
      <c r="Q965" s="5">
        <v>30</v>
      </c>
      <c r="R965" s="4">
        <v>58250</v>
      </c>
      <c r="S965" s="5">
        <v>1</v>
      </c>
      <c r="T965" s="4">
        <v>1747500</v>
      </c>
      <c r="U965" s="5">
        <v>0</v>
      </c>
      <c r="V965" s="4">
        <v>0</v>
      </c>
      <c r="W965" s="5">
        <v>0</v>
      </c>
      <c r="X965" s="4">
        <v>0</v>
      </c>
      <c r="Y965" s="4">
        <f t="shared" si="30"/>
        <v>1747500</v>
      </c>
      <c r="Z965" s="6" t="s">
        <v>0</v>
      </c>
      <c r="AA965" t="s">
        <v>2</v>
      </c>
      <c r="AB965" t="s">
        <v>12</v>
      </c>
      <c r="AC965">
        <f>_xlfn.XLOOKUP(AB965,'[1]GST Codes'!$A:$A,'[1]GST Codes'!$C:$C,0,0)</f>
        <v>18</v>
      </c>
      <c r="AD965">
        <f t="shared" si="31"/>
        <v>2062050</v>
      </c>
      <c r="AE965" t="s">
        <v>13</v>
      </c>
      <c r="AF965" t="s">
        <v>0</v>
      </c>
      <c r="AG965" t="s">
        <v>14</v>
      </c>
      <c r="AH965" t="s">
        <v>15</v>
      </c>
      <c r="AI965" t="s">
        <v>85</v>
      </c>
      <c r="AJ965" t="s">
        <v>17</v>
      </c>
      <c r="AK965" t="s">
        <v>18</v>
      </c>
      <c r="AL965" t="s">
        <v>19</v>
      </c>
      <c r="AM965" t="s">
        <v>474</v>
      </c>
      <c r="AN965" t="s">
        <v>0</v>
      </c>
      <c r="AO965" t="s">
        <v>0</v>
      </c>
      <c r="AP965" t="s">
        <v>0</v>
      </c>
      <c r="AQ965" s="5">
        <v>30</v>
      </c>
      <c r="AR965" t="s">
        <v>11</v>
      </c>
      <c r="AS965" t="s">
        <v>0</v>
      </c>
      <c r="AT965" t="s">
        <v>17</v>
      </c>
      <c r="AU965" s="4">
        <v>0</v>
      </c>
      <c r="AV965" s="4">
        <v>0</v>
      </c>
      <c r="AW965" s="4">
        <v>0</v>
      </c>
      <c r="AX965" s="4">
        <v>0</v>
      </c>
      <c r="AY965" s="5">
        <v>0</v>
      </c>
      <c r="AZ965" s="5">
        <v>0</v>
      </c>
      <c r="BA965" s="5">
        <v>0</v>
      </c>
      <c r="BB965" s="2"/>
      <c r="BC965" t="s">
        <v>0</v>
      </c>
      <c r="BD965" s="5">
        <v>1</v>
      </c>
      <c r="BE965" t="s">
        <v>0</v>
      </c>
      <c r="BF965" t="s">
        <v>476</v>
      </c>
      <c r="BG965" t="s">
        <v>17</v>
      </c>
      <c r="BH965" t="s">
        <v>0</v>
      </c>
      <c r="BI965" t="s">
        <v>11</v>
      </c>
      <c r="BJ965" t="s">
        <v>0</v>
      </c>
      <c r="BK965" t="s">
        <v>0</v>
      </c>
      <c r="BL965" s="5">
        <v>0</v>
      </c>
      <c r="BM965" t="s">
        <v>0</v>
      </c>
      <c r="BN965" t="s">
        <v>0</v>
      </c>
      <c r="BO965" t="s">
        <v>0</v>
      </c>
      <c r="BP965" t="s">
        <v>17</v>
      </c>
      <c r="BQ965" t="s">
        <v>0</v>
      </c>
      <c r="BR965" t="s">
        <v>17</v>
      </c>
      <c r="BS965" t="s">
        <v>17</v>
      </c>
      <c r="BT965" t="s">
        <v>0</v>
      </c>
      <c r="BU965" t="s">
        <v>0</v>
      </c>
      <c r="BV965" t="s">
        <v>0</v>
      </c>
      <c r="BW965" t="s">
        <v>0</v>
      </c>
      <c r="BX965" t="s">
        <v>0</v>
      </c>
      <c r="BY965" t="s">
        <v>0</v>
      </c>
      <c r="BZ965" t="s">
        <v>0</v>
      </c>
      <c r="CA965" t="s">
        <v>0</v>
      </c>
      <c r="CB965" t="s">
        <v>0</v>
      </c>
    </row>
    <row r="966" spans="1:80" ht="13.95" customHeight="1" x14ac:dyDescent="0.25">
      <c r="A966" t="s">
        <v>479</v>
      </c>
      <c r="B966" s="2">
        <v>46092</v>
      </c>
      <c r="C966" s="2">
        <v>46092</v>
      </c>
      <c r="D966" s="2">
        <v>46123</v>
      </c>
      <c r="E966" t="s">
        <v>2</v>
      </c>
      <c r="F966" t="s">
        <v>3</v>
      </c>
      <c r="G966" t="s">
        <v>0</v>
      </c>
      <c r="H966" t="s">
        <v>4</v>
      </c>
      <c r="I966" t="s">
        <v>474</v>
      </c>
      <c r="J966" t="s">
        <v>6</v>
      </c>
      <c r="K966" t="s">
        <v>177</v>
      </c>
      <c r="L966" t="s">
        <v>43</v>
      </c>
      <c r="M966" t="s">
        <v>44</v>
      </c>
      <c r="N966" t="s">
        <v>10</v>
      </c>
      <c r="O966" t="s">
        <v>0</v>
      </c>
      <c r="P966" t="s">
        <v>11</v>
      </c>
      <c r="Q966" s="5">
        <v>27</v>
      </c>
      <c r="R966" s="4">
        <v>58250</v>
      </c>
      <c r="S966" s="5">
        <v>1</v>
      </c>
      <c r="T966" s="4">
        <v>1572750</v>
      </c>
      <c r="U966" s="5">
        <v>0</v>
      </c>
      <c r="V966" s="4">
        <v>0</v>
      </c>
      <c r="W966" s="5">
        <v>0</v>
      </c>
      <c r="X966" s="4">
        <v>0</v>
      </c>
      <c r="Y966" s="4">
        <f t="shared" si="30"/>
        <v>1572750</v>
      </c>
      <c r="Z966" s="6" t="s">
        <v>0</v>
      </c>
      <c r="AA966" t="s">
        <v>2</v>
      </c>
      <c r="AB966" t="s">
        <v>12</v>
      </c>
      <c r="AC966">
        <f>_xlfn.XLOOKUP(AB966,'[1]GST Codes'!$A:$A,'[1]GST Codes'!$C:$C,0,0)</f>
        <v>18</v>
      </c>
      <c r="AD966">
        <f t="shared" si="31"/>
        <v>1855845</v>
      </c>
      <c r="AE966" t="s">
        <v>13</v>
      </c>
      <c r="AF966" t="s">
        <v>0</v>
      </c>
      <c r="AG966" t="s">
        <v>14</v>
      </c>
      <c r="AH966" t="s">
        <v>15</v>
      </c>
      <c r="AI966" t="s">
        <v>85</v>
      </c>
      <c r="AJ966" t="s">
        <v>17</v>
      </c>
      <c r="AK966" t="s">
        <v>18</v>
      </c>
      <c r="AL966" t="s">
        <v>19</v>
      </c>
      <c r="AM966" t="s">
        <v>474</v>
      </c>
      <c r="AN966" t="s">
        <v>0</v>
      </c>
      <c r="AO966" t="s">
        <v>0</v>
      </c>
      <c r="AP966" t="s">
        <v>0</v>
      </c>
      <c r="AQ966" s="5">
        <v>27</v>
      </c>
      <c r="AR966" t="s">
        <v>11</v>
      </c>
      <c r="AS966" t="s">
        <v>0</v>
      </c>
      <c r="AT966" t="s">
        <v>17</v>
      </c>
      <c r="AU966" s="4">
        <v>0</v>
      </c>
      <c r="AV966" s="4">
        <v>0</v>
      </c>
      <c r="AW966" s="4">
        <v>0</v>
      </c>
      <c r="AX966" s="4">
        <v>0</v>
      </c>
      <c r="AY966" s="5">
        <v>0</v>
      </c>
      <c r="AZ966" s="5">
        <v>0</v>
      </c>
      <c r="BA966" s="5">
        <v>0</v>
      </c>
      <c r="BB966" s="2"/>
      <c r="BC966" t="s">
        <v>0</v>
      </c>
      <c r="BD966" s="5">
        <v>1</v>
      </c>
      <c r="BE966" t="s">
        <v>0</v>
      </c>
      <c r="BF966" t="s">
        <v>477</v>
      </c>
      <c r="BG966" t="s">
        <v>17</v>
      </c>
      <c r="BH966" t="s">
        <v>0</v>
      </c>
      <c r="BI966" t="s">
        <v>11</v>
      </c>
      <c r="BJ966" t="s">
        <v>0</v>
      </c>
      <c r="BK966" t="s">
        <v>0</v>
      </c>
      <c r="BL966" s="5">
        <v>0</v>
      </c>
      <c r="BM966" t="s">
        <v>0</v>
      </c>
      <c r="BN966" t="s">
        <v>0</v>
      </c>
      <c r="BO966" t="s">
        <v>0</v>
      </c>
      <c r="BP966" t="s">
        <v>17</v>
      </c>
      <c r="BQ966" t="s">
        <v>0</v>
      </c>
      <c r="BR966" t="s">
        <v>17</v>
      </c>
      <c r="BS966" t="s">
        <v>17</v>
      </c>
      <c r="BT966" t="s">
        <v>0</v>
      </c>
      <c r="BU966" t="s">
        <v>0</v>
      </c>
      <c r="BV966" t="s">
        <v>0</v>
      </c>
      <c r="BW966" t="s">
        <v>0</v>
      </c>
      <c r="BX966" t="s">
        <v>0</v>
      </c>
      <c r="BY966" t="s">
        <v>0</v>
      </c>
      <c r="BZ966" t="s">
        <v>0</v>
      </c>
      <c r="CA966" t="s">
        <v>0</v>
      </c>
      <c r="CB966" t="s">
        <v>0</v>
      </c>
    </row>
    <row r="967" spans="1:80" ht="13.95" customHeight="1" x14ac:dyDescent="0.25">
      <c r="A967" t="s">
        <v>479</v>
      </c>
      <c r="B967" s="2">
        <v>46092</v>
      </c>
      <c r="C967" s="2">
        <v>46092</v>
      </c>
      <c r="D967" s="2">
        <v>46123</v>
      </c>
      <c r="E967" t="s">
        <v>2</v>
      </c>
      <c r="F967" t="s">
        <v>3</v>
      </c>
      <c r="G967" t="s">
        <v>0</v>
      </c>
      <c r="H967" t="s">
        <v>4</v>
      </c>
      <c r="I967" t="s">
        <v>474</v>
      </c>
      <c r="J967" t="s">
        <v>6</v>
      </c>
      <c r="K967" t="s">
        <v>181</v>
      </c>
      <c r="L967" t="s">
        <v>43</v>
      </c>
      <c r="M967" t="s">
        <v>44</v>
      </c>
      <c r="N967" t="s">
        <v>10</v>
      </c>
      <c r="O967" t="s">
        <v>0</v>
      </c>
      <c r="P967" t="s">
        <v>11</v>
      </c>
      <c r="Q967" s="5">
        <v>27</v>
      </c>
      <c r="R967" s="4">
        <v>58250</v>
      </c>
      <c r="S967" s="5">
        <v>1</v>
      </c>
      <c r="T967" s="4">
        <v>1572750</v>
      </c>
      <c r="U967" s="5">
        <v>0</v>
      </c>
      <c r="V967" s="4">
        <v>0</v>
      </c>
      <c r="W967" s="5">
        <v>0</v>
      </c>
      <c r="X967" s="4">
        <v>0</v>
      </c>
      <c r="Y967" s="4">
        <f t="shared" si="30"/>
        <v>1572750</v>
      </c>
      <c r="Z967" s="6" t="s">
        <v>0</v>
      </c>
      <c r="AA967" t="s">
        <v>2</v>
      </c>
      <c r="AB967" t="s">
        <v>12</v>
      </c>
      <c r="AC967">
        <f>_xlfn.XLOOKUP(AB967,'[1]GST Codes'!$A:$A,'[1]GST Codes'!$C:$C,0,0)</f>
        <v>18</v>
      </c>
      <c r="AD967">
        <f t="shared" si="31"/>
        <v>1855845</v>
      </c>
      <c r="AE967" t="s">
        <v>13</v>
      </c>
      <c r="AF967" t="s">
        <v>0</v>
      </c>
      <c r="AG967" t="s">
        <v>14</v>
      </c>
      <c r="AH967" t="s">
        <v>15</v>
      </c>
      <c r="AI967" t="s">
        <v>85</v>
      </c>
      <c r="AJ967" t="s">
        <v>17</v>
      </c>
      <c r="AK967" t="s">
        <v>18</v>
      </c>
      <c r="AL967" t="s">
        <v>19</v>
      </c>
      <c r="AM967" t="s">
        <v>474</v>
      </c>
      <c r="AN967" t="s">
        <v>0</v>
      </c>
      <c r="AO967" t="s">
        <v>0</v>
      </c>
      <c r="AP967" t="s">
        <v>0</v>
      </c>
      <c r="AQ967" s="5">
        <v>27</v>
      </c>
      <c r="AR967" t="s">
        <v>11</v>
      </c>
      <c r="AS967" t="s">
        <v>0</v>
      </c>
      <c r="AT967" t="s">
        <v>17</v>
      </c>
      <c r="AU967" s="4">
        <v>0</v>
      </c>
      <c r="AV967" s="4">
        <v>0</v>
      </c>
      <c r="AW967" s="4">
        <v>0</v>
      </c>
      <c r="AX967" s="4">
        <v>0</v>
      </c>
      <c r="AY967" s="5">
        <v>0</v>
      </c>
      <c r="AZ967" s="5">
        <v>0</v>
      </c>
      <c r="BA967" s="5">
        <v>0</v>
      </c>
      <c r="BB967" s="2"/>
      <c r="BC967" t="s">
        <v>0</v>
      </c>
      <c r="BD967" s="5">
        <v>1</v>
      </c>
      <c r="BE967" t="s">
        <v>0</v>
      </c>
      <c r="BF967" t="s">
        <v>477</v>
      </c>
      <c r="BG967" t="s">
        <v>17</v>
      </c>
      <c r="BH967" t="s">
        <v>0</v>
      </c>
      <c r="BI967" t="s">
        <v>11</v>
      </c>
      <c r="BJ967" t="s">
        <v>0</v>
      </c>
      <c r="BK967" t="s">
        <v>0</v>
      </c>
      <c r="BL967" s="5">
        <v>0</v>
      </c>
      <c r="BM967" t="s">
        <v>0</v>
      </c>
      <c r="BN967" t="s">
        <v>0</v>
      </c>
      <c r="BO967" t="s">
        <v>0</v>
      </c>
      <c r="BP967" t="s">
        <v>17</v>
      </c>
      <c r="BQ967" t="s">
        <v>0</v>
      </c>
      <c r="BR967" t="s">
        <v>17</v>
      </c>
      <c r="BS967" t="s">
        <v>17</v>
      </c>
      <c r="BT967" t="s">
        <v>0</v>
      </c>
      <c r="BU967" t="s">
        <v>0</v>
      </c>
      <c r="BV967" t="s">
        <v>0</v>
      </c>
      <c r="BW967" t="s">
        <v>0</v>
      </c>
      <c r="BX967" t="s">
        <v>0</v>
      </c>
      <c r="BY967" t="s">
        <v>0</v>
      </c>
      <c r="BZ967" t="s">
        <v>0</v>
      </c>
      <c r="CA967" t="s">
        <v>0</v>
      </c>
      <c r="CB967" t="s">
        <v>0</v>
      </c>
    </row>
    <row r="968" spans="1:80" ht="13.95" customHeight="1" x14ac:dyDescent="0.25">
      <c r="A968" t="s">
        <v>479</v>
      </c>
      <c r="B968" s="2">
        <v>46092</v>
      </c>
      <c r="C968" s="2">
        <v>46092</v>
      </c>
      <c r="D968" s="2">
        <v>46123</v>
      </c>
      <c r="E968" t="s">
        <v>2</v>
      </c>
      <c r="F968" t="s">
        <v>3</v>
      </c>
      <c r="G968" t="s">
        <v>0</v>
      </c>
      <c r="H968" t="s">
        <v>4</v>
      </c>
      <c r="I968" t="s">
        <v>474</v>
      </c>
      <c r="J968" t="s">
        <v>6</v>
      </c>
      <c r="K968" t="s">
        <v>185</v>
      </c>
      <c r="L968" t="s">
        <v>43</v>
      </c>
      <c r="M968" t="s">
        <v>44</v>
      </c>
      <c r="N968" t="s">
        <v>10</v>
      </c>
      <c r="O968" t="s">
        <v>0</v>
      </c>
      <c r="P968" t="s">
        <v>11</v>
      </c>
      <c r="Q968" s="5">
        <v>27</v>
      </c>
      <c r="R968" s="4">
        <v>58250</v>
      </c>
      <c r="S968" s="5">
        <v>1</v>
      </c>
      <c r="T968" s="4">
        <v>1572750</v>
      </c>
      <c r="U968" s="5">
        <v>0</v>
      </c>
      <c r="V968" s="4">
        <v>0</v>
      </c>
      <c r="W968" s="5">
        <v>0</v>
      </c>
      <c r="X968" s="4">
        <v>0</v>
      </c>
      <c r="Y968" s="4">
        <f t="shared" si="30"/>
        <v>1572750</v>
      </c>
      <c r="Z968" s="6" t="s">
        <v>0</v>
      </c>
      <c r="AA968" t="s">
        <v>2</v>
      </c>
      <c r="AB968" t="s">
        <v>12</v>
      </c>
      <c r="AC968">
        <f>_xlfn.XLOOKUP(AB968,'[1]GST Codes'!$A:$A,'[1]GST Codes'!$C:$C,0,0)</f>
        <v>18</v>
      </c>
      <c r="AD968">
        <f t="shared" si="31"/>
        <v>1855845</v>
      </c>
      <c r="AE968" t="s">
        <v>13</v>
      </c>
      <c r="AF968" t="s">
        <v>0</v>
      </c>
      <c r="AG968" t="s">
        <v>14</v>
      </c>
      <c r="AH968" t="s">
        <v>15</v>
      </c>
      <c r="AI968" t="s">
        <v>85</v>
      </c>
      <c r="AJ968" t="s">
        <v>17</v>
      </c>
      <c r="AK968" t="s">
        <v>18</v>
      </c>
      <c r="AL968" t="s">
        <v>19</v>
      </c>
      <c r="AM968" t="s">
        <v>474</v>
      </c>
      <c r="AN968" t="s">
        <v>0</v>
      </c>
      <c r="AO968" t="s">
        <v>0</v>
      </c>
      <c r="AP968" t="s">
        <v>0</v>
      </c>
      <c r="AQ968" s="5">
        <v>27</v>
      </c>
      <c r="AR968" t="s">
        <v>11</v>
      </c>
      <c r="AS968" t="s">
        <v>0</v>
      </c>
      <c r="AT968" t="s">
        <v>17</v>
      </c>
      <c r="AU968" s="4">
        <v>0</v>
      </c>
      <c r="AV968" s="4">
        <v>0</v>
      </c>
      <c r="AW968" s="4">
        <v>0</v>
      </c>
      <c r="AX968" s="4">
        <v>0</v>
      </c>
      <c r="AY968" s="5">
        <v>0</v>
      </c>
      <c r="AZ968" s="5">
        <v>0</v>
      </c>
      <c r="BA968" s="5">
        <v>0</v>
      </c>
      <c r="BB968" s="2"/>
      <c r="BC968" t="s">
        <v>0</v>
      </c>
      <c r="BD968" s="5">
        <v>1</v>
      </c>
      <c r="BE968" t="s">
        <v>0</v>
      </c>
      <c r="BF968" t="s">
        <v>477</v>
      </c>
      <c r="BG968" t="s">
        <v>17</v>
      </c>
      <c r="BH968" t="s">
        <v>0</v>
      </c>
      <c r="BI968" t="s">
        <v>11</v>
      </c>
      <c r="BJ968" t="s">
        <v>0</v>
      </c>
      <c r="BK968" t="s">
        <v>0</v>
      </c>
      <c r="BL968" s="5">
        <v>0</v>
      </c>
      <c r="BM968" t="s">
        <v>0</v>
      </c>
      <c r="BN968" t="s">
        <v>0</v>
      </c>
      <c r="BO968" t="s">
        <v>0</v>
      </c>
      <c r="BP968" t="s">
        <v>17</v>
      </c>
      <c r="BQ968" t="s">
        <v>0</v>
      </c>
      <c r="BR968" t="s">
        <v>17</v>
      </c>
      <c r="BS968" t="s">
        <v>17</v>
      </c>
      <c r="BT968" t="s">
        <v>0</v>
      </c>
      <c r="BU968" t="s">
        <v>0</v>
      </c>
      <c r="BV968" t="s">
        <v>0</v>
      </c>
      <c r="BW968" t="s">
        <v>0</v>
      </c>
      <c r="BX968" t="s">
        <v>0</v>
      </c>
      <c r="BY968" t="s">
        <v>0</v>
      </c>
      <c r="BZ968" t="s">
        <v>0</v>
      </c>
      <c r="CA968" t="s">
        <v>0</v>
      </c>
      <c r="CB968" t="s">
        <v>0</v>
      </c>
    </row>
    <row r="969" spans="1:80" ht="13.95" customHeight="1" x14ac:dyDescent="0.25">
      <c r="A969" t="s">
        <v>479</v>
      </c>
      <c r="B969" s="2">
        <v>46092</v>
      </c>
      <c r="C969" s="2">
        <v>46092</v>
      </c>
      <c r="D969" s="2">
        <v>46123</v>
      </c>
      <c r="E969" t="s">
        <v>2</v>
      </c>
      <c r="F969" t="s">
        <v>3</v>
      </c>
      <c r="G969" t="s">
        <v>0</v>
      </c>
      <c r="H969" t="s">
        <v>4</v>
      </c>
      <c r="I969" t="s">
        <v>474</v>
      </c>
      <c r="J969" t="s">
        <v>6</v>
      </c>
      <c r="K969" t="s">
        <v>189</v>
      </c>
      <c r="L969" t="s">
        <v>43</v>
      </c>
      <c r="M969" t="s">
        <v>44</v>
      </c>
      <c r="N969" t="s">
        <v>10</v>
      </c>
      <c r="O969" t="s">
        <v>0</v>
      </c>
      <c r="P969" t="s">
        <v>11</v>
      </c>
      <c r="Q969" s="5">
        <v>27</v>
      </c>
      <c r="R969" s="4">
        <v>58250</v>
      </c>
      <c r="S969" s="5">
        <v>1</v>
      </c>
      <c r="T969" s="4">
        <v>1572750</v>
      </c>
      <c r="U969" s="5">
        <v>0</v>
      </c>
      <c r="V969" s="4">
        <v>0</v>
      </c>
      <c r="W969" s="5">
        <v>0</v>
      </c>
      <c r="X969" s="4">
        <v>0</v>
      </c>
      <c r="Y969" s="4">
        <f t="shared" si="30"/>
        <v>1572750</v>
      </c>
      <c r="Z969" s="6" t="s">
        <v>0</v>
      </c>
      <c r="AA969" t="s">
        <v>2</v>
      </c>
      <c r="AB969" t="s">
        <v>12</v>
      </c>
      <c r="AC969">
        <f>_xlfn.XLOOKUP(AB969,'[1]GST Codes'!$A:$A,'[1]GST Codes'!$C:$C,0,0)</f>
        <v>18</v>
      </c>
      <c r="AD969">
        <f t="shared" si="31"/>
        <v>1855845</v>
      </c>
      <c r="AE969" t="s">
        <v>13</v>
      </c>
      <c r="AF969" t="s">
        <v>0</v>
      </c>
      <c r="AG969" t="s">
        <v>14</v>
      </c>
      <c r="AH969" t="s">
        <v>15</v>
      </c>
      <c r="AI969" t="s">
        <v>85</v>
      </c>
      <c r="AJ969" t="s">
        <v>17</v>
      </c>
      <c r="AK969" t="s">
        <v>18</v>
      </c>
      <c r="AL969" t="s">
        <v>19</v>
      </c>
      <c r="AM969" t="s">
        <v>474</v>
      </c>
      <c r="AN969" t="s">
        <v>0</v>
      </c>
      <c r="AO969" t="s">
        <v>0</v>
      </c>
      <c r="AP969" t="s">
        <v>0</v>
      </c>
      <c r="AQ969" s="5">
        <v>27</v>
      </c>
      <c r="AR969" t="s">
        <v>11</v>
      </c>
      <c r="AS969" t="s">
        <v>0</v>
      </c>
      <c r="AT969" t="s">
        <v>17</v>
      </c>
      <c r="AU969" s="4">
        <v>0</v>
      </c>
      <c r="AV969" s="4">
        <v>0</v>
      </c>
      <c r="AW969" s="4">
        <v>0</v>
      </c>
      <c r="AX969" s="4">
        <v>0</v>
      </c>
      <c r="AY969" s="5">
        <v>0</v>
      </c>
      <c r="AZ969" s="5">
        <v>0</v>
      </c>
      <c r="BA969" s="5">
        <v>0</v>
      </c>
      <c r="BB969" s="2"/>
      <c r="BC969" t="s">
        <v>0</v>
      </c>
      <c r="BD969" s="5">
        <v>1</v>
      </c>
      <c r="BE969" t="s">
        <v>0</v>
      </c>
      <c r="BF969" t="s">
        <v>477</v>
      </c>
      <c r="BG969" t="s">
        <v>17</v>
      </c>
      <c r="BH969" t="s">
        <v>0</v>
      </c>
      <c r="BI969" t="s">
        <v>11</v>
      </c>
      <c r="BJ969" t="s">
        <v>0</v>
      </c>
      <c r="BK969" t="s">
        <v>0</v>
      </c>
      <c r="BL969" s="5">
        <v>0</v>
      </c>
      <c r="BM969" t="s">
        <v>0</v>
      </c>
      <c r="BN969" t="s">
        <v>0</v>
      </c>
      <c r="BO969" t="s">
        <v>0</v>
      </c>
      <c r="BP969" t="s">
        <v>17</v>
      </c>
      <c r="BQ969" t="s">
        <v>0</v>
      </c>
      <c r="BR969" t="s">
        <v>17</v>
      </c>
      <c r="BS969" t="s">
        <v>17</v>
      </c>
      <c r="BT969" t="s">
        <v>0</v>
      </c>
      <c r="BU969" t="s">
        <v>0</v>
      </c>
      <c r="BV969" t="s">
        <v>0</v>
      </c>
      <c r="BW969" t="s">
        <v>0</v>
      </c>
      <c r="BX969" t="s">
        <v>0</v>
      </c>
      <c r="BY969" t="s">
        <v>0</v>
      </c>
      <c r="BZ969" t="s">
        <v>0</v>
      </c>
      <c r="CA969" t="s">
        <v>0</v>
      </c>
      <c r="CB969" t="s">
        <v>0</v>
      </c>
    </row>
    <row r="970" spans="1:80" ht="13.95" customHeight="1" x14ac:dyDescent="0.25">
      <c r="A970" t="s">
        <v>479</v>
      </c>
      <c r="B970" s="2">
        <v>46092</v>
      </c>
      <c r="C970" s="2">
        <v>46092</v>
      </c>
      <c r="D970" s="2">
        <v>46123</v>
      </c>
      <c r="E970" t="s">
        <v>2</v>
      </c>
      <c r="F970" t="s">
        <v>3</v>
      </c>
      <c r="G970" t="s">
        <v>0</v>
      </c>
      <c r="H970" t="s">
        <v>4</v>
      </c>
      <c r="I970" t="s">
        <v>474</v>
      </c>
      <c r="J970" t="s">
        <v>6</v>
      </c>
      <c r="K970" t="s">
        <v>193</v>
      </c>
      <c r="L970" t="s">
        <v>43</v>
      </c>
      <c r="M970" t="s">
        <v>44</v>
      </c>
      <c r="N970" t="s">
        <v>10</v>
      </c>
      <c r="O970" t="s">
        <v>0</v>
      </c>
      <c r="P970" t="s">
        <v>11</v>
      </c>
      <c r="Q970" s="5">
        <v>27</v>
      </c>
      <c r="R970" s="4">
        <v>58250</v>
      </c>
      <c r="S970" s="5">
        <v>1</v>
      </c>
      <c r="T970" s="4">
        <v>1572750</v>
      </c>
      <c r="U970" s="5">
        <v>0</v>
      </c>
      <c r="V970" s="4">
        <v>0</v>
      </c>
      <c r="W970" s="5">
        <v>0</v>
      </c>
      <c r="X970" s="4">
        <v>0</v>
      </c>
      <c r="Y970" s="4">
        <f t="shared" si="30"/>
        <v>1572750</v>
      </c>
      <c r="Z970" s="6" t="s">
        <v>0</v>
      </c>
      <c r="AA970" t="s">
        <v>2</v>
      </c>
      <c r="AB970" t="s">
        <v>12</v>
      </c>
      <c r="AC970">
        <f>_xlfn.XLOOKUP(AB970,'[1]GST Codes'!$A:$A,'[1]GST Codes'!$C:$C,0,0)</f>
        <v>18</v>
      </c>
      <c r="AD970">
        <f t="shared" si="31"/>
        <v>1855845</v>
      </c>
      <c r="AE970" t="s">
        <v>13</v>
      </c>
      <c r="AF970" t="s">
        <v>0</v>
      </c>
      <c r="AG970" t="s">
        <v>14</v>
      </c>
      <c r="AH970" t="s">
        <v>15</v>
      </c>
      <c r="AI970" t="s">
        <v>85</v>
      </c>
      <c r="AJ970" t="s">
        <v>17</v>
      </c>
      <c r="AK970" t="s">
        <v>18</v>
      </c>
      <c r="AL970" t="s">
        <v>19</v>
      </c>
      <c r="AM970" t="s">
        <v>474</v>
      </c>
      <c r="AN970" t="s">
        <v>0</v>
      </c>
      <c r="AO970" t="s">
        <v>0</v>
      </c>
      <c r="AP970" t="s">
        <v>0</v>
      </c>
      <c r="AQ970" s="5">
        <v>27</v>
      </c>
      <c r="AR970" t="s">
        <v>11</v>
      </c>
      <c r="AS970" t="s">
        <v>0</v>
      </c>
      <c r="AT970" t="s">
        <v>17</v>
      </c>
      <c r="AU970" s="4">
        <v>0</v>
      </c>
      <c r="AV970" s="4">
        <v>0</v>
      </c>
      <c r="AW970" s="4">
        <v>0</v>
      </c>
      <c r="AX970" s="4">
        <v>0</v>
      </c>
      <c r="AY970" s="5">
        <v>0</v>
      </c>
      <c r="AZ970" s="5">
        <v>0</v>
      </c>
      <c r="BA970" s="5">
        <v>0</v>
      </c>
      <c r="BB970" s="2"/>
      <c r="BC970" t="s">
        <v>0</v>
      </c>
      <c r="BD970" s="5">
        <v>1</v>
      </c>
      <c r="BE970" t="s">
        <v>0</v>
      </c>
      <c r="BF970" t="s">
        <v>477</v>
      </c>
      <c r="BG970" t="s">
        <v>17</v>
      </c>
      <c r="BH970" t="s">
        <v>0</v>
      </c>
      <c r="BI970" t="s">
        <v>11</v>
      </c>
      <c r="BJ970" t="s">
        <v>0</v>
      </c>
      <c r="BK970" t="s">
        <v>0</v>
      </c>
      <c r="BL970" s="5">
        <v>0</v>
      </c>
      <c r="BM970" t="s">
        <v>0</v>
      </c>
      <c r="BN970" t="s">
        <v>0</v>
      </c>
      <c r="BO970" t="s">
        <v>0</v>
      </c>
      <c r="BP970" t="s">
        <v>17</v>
      </c>
      <c r="BQ970" t="s">
        <v>0</v>
      </c>
      <c r="BR970" t="s">
        <v>17</v>
      </c>
      <c r="BS970" t="s">
        <v>17</v>
      </c>
      <c r="BT970" t="s">
        <v>0</v>
      </c>
      <c r="BU970" t="s">
        <v>0</v>
      </c>
      <c r="BV970" t="s">
        <v>0</v>
      </c>
      <c r="BW970" t="s">
        <v>0</v>
      </c>
      <c r="BX970" t="s">
        <v>0</v>
      </c>
      <c r="BY970" t="s">
        <v>0</v>
      </c>
      <c r="BZ970" t="s">
        <v>0</v>
      </c>
      <c r="CA970" t="s">
        <v>0</v>
      </c>
      <c r="CB970" t="s">
        <v>0</v>
      </c>
    </row>
    <row r="971" spans="1:80" ht="13.95" customHeight="1" x14ac:dyDescent="0.25">
      <c r="A971" t="s">
        <v>479</v>
      </c>
      <c r="B971" s="2">
        <v>46092</v>
      </c>
      <c r="C971" s="2">
        <v>46092</v>
      </c>
      <c r="D971" s="2">
        <v>46123</v>
      </c>
      <c r="E971" t="s">
        <v>2</v>
      </c>
      <c r="F971" t="s">
        <v>3</v>
      </c>
      <c r="G971" t="s">
        <v>0</v>
      </c>
      <c r="H971" t="s">
        <v>4</v>
      </c>
      <c r="I971" t="s">
        <v>474</v>
      </c>
      <c r="J971" t="s">
        <v>6</v>
      </c>
      <c r="K971" t="s">
        <v>197</v>
      </c>
      <c r="L971" t="s">
        <v>43</v>
      </c>
      <c r="M971" t="s">
        <v>44</v>
      </c>
      <c r="N971" t="s">
        <v>10</v>
      </c>
      <c r="O971" t="s">
        <v>0</v>
      </c>
      <c r="P971" t="s">
        <v>11</v>
      </c>
      <c r="Q971" s="5">
        <v>27</v>
      </c>
      <c r="R971" s="4">
        <v>58250</v>
      </c>
      <c r="S971" s="5">
        <v>1</v>
      </c>
      <c r="T971" s="4">
        <v>1572750</v>
      </c>
      <c r="U971" s="3">
        <v>3.12</v>
      </c>
      <c r="V971" s="4">
        <v>181740</v>
      </c>
      <c r="W971" s="3">
        <v>3.12</v>
      </c>
      <c r="X971" s="4">
        <v>181740</v>
      </c>
      <c r="Y971" s="4">
        <f t="shared" si="30"/>
        <v>1391010</v>
      </c>
      <c r="Z971" s="6" t="s">
        <v>0</v>
      </c>
      <c r="AA971" t="s">
        <v>2</v>
      </c>
      <c r="AB971" t="s">
        <v>12</v>
      </c>
      <c r="AC971">
        <f>_xlfn.XLOOKUP(AB971,'[1]GST Codes'!$A:$A,'[1]GST Codes'!$C:$C,0,0)</f>
        <v>18</v>
      </c>
      <c r="AD971">
        <f t="shared" si="31"/>
        <v>1641391.8</v>
      </c>
      <c r="AE971" t="s">
        <v>13</v>
      </c>
      <c r="AF971" t="s">
        <v>0</v>
      </c>
      <c r="AG971" t="s">
        <v>14</v>
      </c>
      <c r="AH971" t="s">
        <v>15</v>
      </c>
      <c r="AI971" t="s">
        <v>85</v>
      </c>
      <c r="AJ971" t="s">
        <v>17</v>
      </c>
      <c r="AK971" t="s">
        <v>18</v>
      </c>
      <c r="AL971" t="s">
        <v>19</v>
      </c>
      <c r="AM971" t="s">
        <v>474</v>
      </c>
      <c r="AN971" t="s">
        <v>0</v>
      </c>
      <c r="AO971" t="s">
        <v>0</v>
      </c>
      <c r="AP971" t="s">
        <v>0</v>
      </c>
      <c r="AQ971" s="5">
        <v>27</v>
      </c>
      <c r="AR971" t="s">
        <v>11</v>
      </c>
      <c r="AS971" t="s">
        <v>0</v>
      </c>
      <c r="AT971" t="s">
        <v>17</v>
      </c>
      <c r="AU971" s="4">
        <v>0</v>
      </c>
      <c r="AV971" s="4">
        <v>0</v>
      </c>
      <c r="AW971" s="4">
        <v>0</v>
      </c>
      <c r="AX971" s="4">
        <v>0</v>
      </c>
      <c r="AY971" s="5">
        <v>0</v>
      </c>
      <c r="AZ971" s="5">
        <v>0</v>
      </c>
      <c r="BA971" s="5">
        <v>0</v>
      </c>
      <c r="BB971" s="2"/>
      <c r="BC971" t="s">
        <v>0</v>
      </c>
      <c r="BD971" s="5">
        <v>1</v>
      </c>
      <c r="BE971" t="s">
        <v>0</v>
      </c>
      <c r="BF971" t="s">
        <v>477</v>
      </c>
      <c r="BG971" t="s">
        <v>17</v>
      </c>
      <c r="BH971" t="s">
        <v>0</v>
      </c>
      <c r="BI971" t="s">
        <v>11</v>
      </c>
      <c r="BJ971" t="s">
        <v>0</v>
      </c>
      <c r="BK971" t="s">
        <v>0</v>
      </c>
      <c r="BL971" s="5">
        <v>0</v>
      </c>
      <c r="BM971" t="s">
        <v>0</v>
      </c>
      <c r="BN971" t="s">
        <v>0</v>
      </c>
      <c r="BO971" t="s">
        <v>0</v>
      </c>
      <c r="BP971" t="s">
        <v>17</v>
      </c>
      <c r="BQ971" t="s">
        <v>0</v>
      </c>
      <c r="BR971" t="s">
        <v>17</v>
      </c>
      <c r="BS971" t="s">
        <v>17</v>
      </c>
      <c r="BT971" t="s">
        <v>0</v>
      </c>
      <c r="BU971" t="s">
        <v>0</v>
      </c>
      <c r="BV971" t="s">
        <v>0</v>
      </c>
      <c r="BW971" t="s">
        <v>0</v>
      </c>
      <c r="BX971" t="s">
        <v>0</v>
      </c>
      <c r="BY971" t="s">
        <v>0</v>
      </c>
      <c r="BZ971" t="s">
        <v>0</v>
      </c>
      <c r="CA971" t="s">
        <v>0</v>
      </c>
      <c r="CB971" t="s">
        <v>0</v>
      </c>
    </row>
    <row r="972" spans="1:80" ht="13.95" customHeight="1" x14ac:dyDescent="0.25">
      <c r="A972" t="s">
        <v>479</v>
      </c>
      <c r="B972" s="2">
        <v>46092</v>
      </c>
      <c r="C972" s="2">
        <v>46092</v>
      </c>
      <c r="D972" s="2">
        <v>46123</v>
      </c>
      <c r="E972" t="s">
        <v>2</v>
      </c>
      <c r="F972" t="s">
        <v>3</v>
      </c>
      <c r="G972" t="s">
        <v>0</v>
      </c>
      <c r="H972" t="s">
        <v>4</v>
      </c>
      <c r="I972" t="s">
        <v>474</v>
      </c>
      <c r="J972" t="s">
        <v>6</v>
      </c>
      <c r="K972" t="s">
        <v>201</v>
      </c>
      <c r="L972" t="s">
        <v>354</v>
      </c>
      <c r="M972" t="s">
        <v>338</v>
      </c>
      <c r="N972" t="s">
        <v>10</v>
      </c>
      <c r="O972" t="s">
        <v>0</v>
      </c>
      <c r="P972" t="s">
        <v>11</v>
      </c>
      <c r="Q972" s="5">
        <v>25</v>
      </c>
      <c r="R972" s="4">
        <v>58250</v>
      </c>
      <c r="S972" s="5">
        <v>1</v>
      </c>
      <c r="T972" s="4">
        <v>1456250</v>
      </c>
      <c r="U972" s="5">
        <v>0</v>
      </c>
      <c r="V972" s="4">
        <v>0</v>
      </c>
      <c r="W972" s="5">
        <v>0</v>
      </c>
      <c r="X972" s="4">
        <v>0</v>
      </c>
      <c r="Y972" s="4">
        <f t="shared" si="30"/>
        <v>1456250</v>
      </c>
      <c r="Z972" s="6" t="s">
        <v>0</v>
      </c>
      <c r="AA972" t="s">
        <v>2</v>
      </c>
      <c r="AB972" t="s">
        <v>12</v>
      </c>
      <c r="AC972">
        <f>_xlfn.XLOOKUP(AB972,'[1]GST Codes'!$A:$A,'[1]GST Codes'!$C:$C,0,0)</f>
        <v>18</v>
      </c>
      <c r="AD972">
        <f t="shared" si="31"/>
        <v>1718375</v>
      </c>
      <c r="AE972" t="s">
        <v>13</v>
      </c>
      <c r="AF972" t="s">
        <v>0</v>
      </c>
      <c r="AG972" t="s">
        <v>14</v>
      </c>
      <c r="AH972" t="s">
        <v>15</v>
      </c>
      <c r="AI972" t="s">
        <v>85</v>
      </c>
      <c r="AJ972" t="s">
        <v>17</v>
      </c>
      <c r="AK972" t="s">
        <v>18</v>
      </c>
      <c r="AL972" t="s">
        <v>19</v>
      </c>
      <c r="AM972" t="s">
        <v>474</v>
      </c>
      <c r="AN972" t="s">
        <v>0</v>
      </c>
      <c r="AO972" t="s">
        <v>0</v>
      </c>
      <c r="AP972" t="s">
        <v>0</v>
      </c>
      <c r="AQ972" s="5">
        <v>25</v>
      </c>
      <c r="AR972" t="s">
        <v>11</v>
      </c>
      <c r="AS972" t="s">
        <v>0</v>
      </c>
      <c r="AT972" t="s">
        <v>17</v>
      </c>
      <c r="AU972" s="4">
        <v>0</v>
      </c>
      <c r="AV972" s="4">
        <v>0</v>
      </c>
      <c r="AW972" s="4">
        <v>0</v>
      </c>
      <c r="AX972" s="4">
        <v>0</v>
      </c>
      <c r="AY972" s="5">
        <v>0</v>
      </c>
      <c r="AZ972" s="5">
        <v>0</v>
      </c>
      <c r="BA972" s="5">
        <v>0</v>
      </c>
      <c r="BB972" s="2"/>
      <c r="BC972" t="s">
        <v>0</v>
      </c>
      <c r="BD972" s="5">
        <v>1</v>
      </c>
      <c r="BE972" t="s">
        <v>0</v>
      </c>
      <c r="BF972" t="s">
        <v>478</v>
      </c>
      <c r="BG972" t="s">
        <v>17</v>
      </c>
      <c r="BH972" t="s">
        <v>0</v>
      </c>
      <c r="BI972" t="s">
        <v>11</v>
      </c>
      <c r="BJ972" t="s">
        <v>0</v>
      </c>
      <c r="BK972" t="s">
        <v>0</v>
      </c>
      <c r="BL972" s="5">
        <v>0</v>
      </c>
      <c r="BM972" t="s">
        <v>0</v>
      </c>
      <c r="BN972" t="s">
        <v>0</v>
      </c>
      <c r="BO972" t="s">
        <v>0</v>
      </c>
      <c r="BP972" t="s">
        <v>17</v>
      </c>
      <c r="BQ972" t="s">
        <v>0</v>
      </c>
      <c r="BR972" t="s">
        <v>17</v>
      </c>
      <c r="BS972" t="s">
        <v>17</v>
      </c>
      <c r="BT972" t="s">
        <v>0</v>
      </c>
      <c r="BU972" t="s">
        <v>0</v>
      </c>
      <c r="BV972" t="s">
        <v>0</v>
      </c>
      <c r="BW972" t="s">
        <v>0</v>
      </c>
      <c r="BX972" t="s">
        <v>0</v>
      </c>
      <c r="BY972" t="s">
        <v>0</v>
      </c>
      <c r="BZ972" t="s">
        <v>0</v>
      </c>
      <c r="CA972" t="s">
        <v>0</v>
      </c>
      <c r="CB972" t="s">
        <v>0</v>
      </c>
    </row>
    <row r="973" spans="1:80" ht="13.95" customHeight="1" x14ac:dyDescent="0.25">
      <c r="A973" t="s">
        <v>479</v>
      </c>
      <c r="B973" s="2">
        <v>46092</v>
      </c>
      <c r="C973" s="2">
        <v>46092</v>
      </c>
      <c r="D973" s="2">
        <v>46123</v>
      </c>
      <c r="E973" t="s">
        <v>2</v>
      </c>
      <c r="F973" t="s">
        <v>3</v>
      </c>
      <c r="G973" t="s">
        <v>0</v>
      </c>
      <c r="H973" t="s">
        <v>4</v>
      </c>
      <c r="I973" t="s">
        <v>474</v>
      </c>
      <c r="J973" t="s">
        <v>6</v>
      </c>
      <c r="K973" t="s">
        <v>205</v>
      </c>
      <c r="L973" t="s">
        <v>354</v>
      </c>
      <c r="M973" t="s">
        <v>338</v>
      </c>
      <c r="N973" t="s">
        <v>10</v>
      </c>
      <c r="O973" t="s">
        <v>0</v>
      </c>
      <c r="P973" t="s">
        <v>11</v>
      </c>
      <c r="Q973" s="5">
        <v>25</v>
      </c>
      <c r="R973" s="4">
        <v>58250</v>
      </c>
      <c r="S973" s="5">
        <v>1</v>
      </c>
      <c r="T973" s="4">
        <v>1456250</v>
      </c>
      <c r="U973" s="5">
        <v>0</v>
      </c>
      <c r="V973" s="4">
        <v>0</v>
      </c>
      <c r="W973" s="5">
        <v>0</v>
      </c>
      <c r="X973" s="4">
        <v>0</v>
      </c>
      <c r="Y973" s="4">
        <f t="shared" si="30"/>
        <v>1456250</v>
      </c>
      <c r="Z973" s="6" t="s">
        <v>0</v>
      </c>
      <c r="AA973" t="s">
        <v>2</v>
      </c>
      <c r="AB973" t="s">
        <v>12</v>
      </c>
      <c r="AC973">
        <f>_xlfn.XLOOKUP(AB973,'[1]GST Codes'!$A:$A,'[1]GST Codes'!$C:$C,0,0)</f>
        <v>18</v>
      </c>
      <c r="AD973">
        <f t="shared" si="31"/>
        <v>1718375</v>
      </c>
      <c r="AE973" t="s">
        <v>13</v>
      </c>
      <c r="AF973" t="s">
        <v>0</v>
      </c>
      <c r="AG973" t="s">
        <v>14</v>
      </c>
      <c r="AH973" t="s">
        <v>15</v>
      </c>
      <c r="AI973" t="s">
        <v>85</v>
      </c>
      <c r="AJ973" t="s">
        <v>17</v>
      </c>
      <c r="AK973" t="s">
        <v>18</v>
      </c>
      <c r="AL973" t="s">
        <v>19</v>
      </c>
      <c r="AM973" t="s">
        <v>474</v>
      </c>
      <c r="AN973" t="s">
        <v>0</v>
      </c>
      <c r="AO973" t="s">
        <v>0</v>
      </c>
      <c r="AP973" t="s">
        <v>0</v>
      </c>
      <c r="AQ973" s="5">
        <v>25</v>
      </c>
      <c r="AR973" t="s">
        <v>11</v>
      </c>
      <c r="AS973" t="s">
        <v>0</v>
      </c>
      <c r="AT973" t="s">
        <v>17</v>
      </c>
      <c r="AU973" s="4">
        <v>0</v>
      </c>
      <c r="AV973" s="4">
        <v>0</v>
      </c>
      <c r="AW973" s="4">
        <v>0</v>
      </c>
      <c r="AX973" s="4">
        <v>0</v>
      </c>
      <c r="AY973" s="5">
        <v>0</v>
      </c>
      <c r="AZ973" s="5">
        <v>0</v>
      </c>
      <c r="BA973" s="5">
        <v>0</v>
      </c>
      <c r="BB973" s="2"/>
      <c r="BC973" t="s">
        <v>0</v>
      </c>
      <c r="BD973" s="5">
        <v>1</v>
      </c>
      <c r="BE973" t="s">
        <v>0</v>
      </c>
      <c r="BF973" t="s">
        <v>478</v>
      </c>
      <c r="BG973" t="s">
        <v>17</v>
      </c>
      <c r="BH973" t="s">
        <v>0</v>
      </c>
      <c r="BI973" t="s">
        <v>11</v>
      </c>
      <c r="BJ973" t="s">
        <v>0</v>
      </c>
      <c r="BK973" t="s">
        <v>0</v>
      </c>
      <c r="BL973" s="5">
        <v>0</v>
      </c>
      <c r="BM973" t="s">
        <v>0</v>
      </c>
      <c r="BN973" t="s">
        <v>0</v>
      </c>
      <c r="BO973" t="s">
        <v>0</v>
      </c>
      <c r="BP973" t="s">
        <v>17</v>
      </c>
      <c r="BQ973" t="s">
        <v>0</v>
      </c>
      <c r="BR973" t="s">
        <v>17</v>
      </c>
      <c r="BS973" t="s">
        <v>17</v>
      </c>
      <c r="BT973" t="s">
        <v>0</v>
      </c>
      <c r="BU973" t="s">
        <v>0</v>
      </c>
      <c r="BV973" t="s">
        <v>0</v>
      </c>
      <c r="BW973" t="s">
        <v>0</v>
      </c>
      <c r="BX973" t="s">
        <v>0</v>
      </c>
      <c r="BY973" t="s">
        <v>0</v>
      </c>
      <c r="BZ973" t="s">
        <v>0</v>
      </c>
      <c r="CA973" t="s">
        <v>0</v>
      </c>
      <c r="CB973" t="s">
        <v>0</v>
      </c>
    </row>
    <row r="974" spans="1:80" ht="13.95" customHeight="1" x14ac:dyDescent="0.25">
      <c r="A974" t="s">
        <v>479</v>
      </c>
      <c r="B974" s="2">
        <v>46092</v>
      </c>
      <c r="C974" s="2">
        <v>46092</v>
      </c>
      <c r="D974" s="2">
        <v>46123</v>
      </c>
      <c r="E974" t="s">
        <v>2</v>
      </c>
      <c r="F974" t="s">
        <v>3</v>
      </c>
      <c r="G974" t="s">
        <v>0</v>
      </c>
      <c r="H974" t="s">
        <v>4</v>
      </c>
      <c r="I974" t="s">
        <v>474</v>
      </c>
      <c r="J974" t="s">
        <v>6</v>
      </c>
      <c r="K974" t="s">
        <v>209</v>
      </c>
      <c r="L974" t="s">
        <v>354</v>
      </c>
      <c r="M974" t="s">
        <v>338</v>
      </c>
      <c r="N974" t="s">
        <v>10</v>
      </c>
      <c r="O974" t="s">
        <v>0</v>
      </c>
      <c r="P974" t="s">
        <v>11</v>
      </c>
      <c r="Q974" s="5">
        <v>25</v>
      </c>
      <c r="R974" s="4">
        <v>58250</v>
      </c>
      <c r="S974" s="5">
        <v>1</v>
      </c>
      <c r="T974" s="4">
        <v>1456250</v>
      </c>
      <c r="U974" s="5">
        <v>0</v>
      </c>
      <c r="V974" s="4">
        <v>0</v>
      </c>
      <c r="W974" s="5">
        <v>0</v>
      </c>
      <c r="X974" s="4">
        <v>0</v>
      </c>
      <c r="Y974" s="4">
        <f t="shared" si="30"/>
        <v>1456250</v>
      </c>
      <c r="Z974" s="6" t="s">
        <v>0</v>
      </c>
      <c r="AA974" t="s">
        <v>2</v>
      </c>
      <c r="AB974" t="s">
        <v>12</v>
      </c>
      <c r="AC974">
        <f>_xlfn.XLOOKUP(AB974,'[1]GST Codes'!$A:$A,'[1]GST Codes'!$C:$C,0,0)</f>
        <v>18</v>
      </c>
      <c r="AD974">
        <f t="shared" si="31"/>
        <v>1718375</v>
      </c>
      <c r="AE974" t="s">
        <v>13</v>
      </c>
      <c r="AF974" t="s">
        <v>0</v>
      </c>
      <c r="AG974" t="s">
        <v>14</v>
      </c>
      <c r="AH974" t="s">
        <v>15</v>
      </c>
      <c r="AI974" t="s">
        <v>85</v>
      </c>
      <c r="AJ974" t="s">
        <v>17</v>
      </c>
      <c r="AK974" t="s">
        <v>18</v>
      </c>
      <c r="AL974" t="s">
        <v>19</v>
      </c>
      <c r="AM974" t="s">
        <v>474</v>
      </c>
      <c r="AN974" t="s">
        <v>0</v>
      </c>
      <c r="AO974" t="s">
        <v>0</v>
      </c>
      <c r="AP974" t="s">
        <v>0</v>
      </c>
      <c r="AQ974" s="5">
        <v>25</v>
      </c>
      <c r="AR974" t="s">
        <v>11</v>
      </c>
      <c r="AS974" t="s">
        <v>0</v>
      </c>
      <c r="AT974" t="s">
        <v>17</v>
      </c>
      <c r="AU974" s="4">
        <v>0</v>
      </c>
      <c r="AV974" s="4">
        <v>0</v>
      </c>
      <c r="AW974" s="4">
        <v>0</v>
      </c>
      <c r="AX974" s="4">
        <v>0</v>
      </c>
      <c r="AY974" s="5">
        <v>0</v>
      </c>
      <c r="AZ974" s="5">
        <v>0</v>
      </c>
      <c r="BA974" s="5">
        <v>0</v>
      </c>
      <c r="BB974" s="2"/>
      <c r="BC974" t="s">
        <v>0</v>
      </c>
      <c r="BD974" s="5">
        <v>1</v>
      </c>
      <c r="BE974" t="s">
        <v>0</v>
      </c>
      <c r="BF974" t="s">
        <v>478</v>
      </c>
      <c r="BG974" t="s">
        <v>17</v>
      </c>
      <c r="BH974" t="s">
        <v>0</v>
      </c>
      <c r="BI974" t="s">
        <v>11</v>
      </c>
      <c r="BJ974" t="s">
        <v>0</v>
      </c>
      <c r="BK974" t="s">
        <v>0</v>
      </c>
      <c r="BL974" s="5">
        <v>0</v>
      </c>
      <c r="BM974" t="s">
        <v>0</v>
      </c>
      <c r="BN974" t="s">
        <v>0</v>
      </c>
      <c r="BO974" t="s">
        <v>0</v>
      </c>
      <c r="BP974" t="s">
        <v>17</v>
      </c>
      <c r="BQ974" t="s">
        <v>0</v>
      </c>
      <c r="BR974" t="s">
        <v>17</v>
      </c>
      <c r="BS974" t="s">
        <v>17</v>
      </c>
      <c r="BT974" t="s">
        <v>0</v>
      </c>
      <c r="BU974" t="s">
        <v>0</v>
      </c>
      <c r="BV974" t="s">
        <v>0</v>
      </c>
      <c r="BW974" t="s">
        <v>0</v>
      </c>
      <c r="BX974" t="s">
        <v>0</v>
      </c>
      <c r="BY974" t="s">
        <v>0</v>
      </c>
      <c r="BZ974" t="s">
        <v>0</v>
      </c>
      <c r="CA974" t="s">
        <v>0</v>
      </c>
      <c r="CB974" t="s">
        <v>0</v>
      </c>
    </row>
    <row r="975" spans="1:80" ht="13.95" customHeight="1" x14ac:dyDescent="0.25">
      <c r="A975" t="s">
        <v>479</v>
      </c>
      <c r="B975" s="2">
        <v>46092</v>
      </c>
      <c r="C975" s="2">
        <v>46092</v>
      </c>
      <c r="D975" s="2">
        <v>46123</v>
      </c>
      <c r="E975" t="s">
        <v>2</v>
      </c>
      <c r="F975" t="s">
        <v>3</v>
      </c>
      <c r="G975" t="s">
        <v>0</v>
      </c>
      <c r="H975" t="s">
        <v>4</v>
      </c>
      <c r="I975" t="s">
        <v>474</v>
      </c>
      <c r="J975" t="s">
        <v>6</v>
      </c>
      <c r="K975" t="s">
        <v>213</v>
      </c>
      <c r="L975" t="s">
        <v>354</v>
      </c>
      <c r="M975" t="s">
        <v>338</v>
      </c>
      <c r="N975" t="s">
        <v>10</v>
      </c>
      <c r="O975" t="s">
        <v>0</v>
      </c>
      <c r="P975" t="s">
        <v>11</v>
      </c>
      <c r="Q975" s="5">
        <v>25</v>
      </c>
      <c r="R975" s="4">
        <v>58250</v>
      </c>
      <c r="S975" s="5">
        <v>1</v>
      </c>
      <c r="T975" s="4">
        <v>1456250</v>
      </c>
      <c r="U975" s="5">
        <v>0</v>
      </c>
      <c r="V975" s="4">
        <v>0</v>
      </c>
      <c r="W975" s="5">
        <v>0</v>
      </c>
      <c r="X975" s="4">
        <v>0</v>
      </c>
      <c r="Y975" s="4">
        <f t="shared" si="30"/>
        <v>1456250</v>
      </c>
      <c r="Z975" s="6" t="s">
        <v>0</v>
      </c>
      <c r="AA975" t="s">
        <v>2</v>
      </c>
      <c r="AB975" t="s">
        <v>12</v>
      </c>
      <c r="AC975">
        <f>_xlfn.XLOOKUP(AB975,'[1]GST Codes'!$A:$A,'[1]GST Codes'!$C:$C,0,0)</f>
        <v>18</v>
      </c>
      <c r="AD975">
        <f t="shared" si="31"/>
        <v>1718375</v>
      </c>
      <c r="AE975" t="s">
        <v>13</v>
      </c>
      <c r="AF975" t="s">
        <v>0</v>
      </c>
      <c r="AG975" t="s">
        <v>14</v>
      </c>
      <c r="AH975" t="s">
        <v>15</v>
      </c>
      <c r="AI975" t="s">
        <v>85</v>
      </c>
      <c r="AJ975" t="s">
        <v>17</v>
      </c>
      <c r="AK975" t="s">
        <v>18</v>
      </c>
      <c r="AL975" t="s">
        <v>19</v>
      </c>
      <c r="AM975" t="s">
        <v>474</v>
      </c>
      <c r="AN975" t="s">
        <v>0</v>
      </c>
      <c r="AO975" t="s">
        <v>0</v>
      </c>
      <c r="AP975" t="s">
        <v>0</v>
      </c>
      <c r="AQ975" s="5">
        <v>25</v>
      </c>
      <c r="AR975" t="s">
        <v>11</v>
      </c>
      <c r="AS975" t="s">
        <v>0</v>
      </c>
      <c r="AT975" t="s">
        <v>17</v>
      </c>
      <c r="AU975" s="4">
        <v>0</v>
      </c>
      <c r="AV975" s="4">
        <v>0</v>
      </c>
      <c r="AW975" s="4">
        <v>0</v>
      </c>
      <c r="AX975" s="4">
        <v>0</v>
      </c>
      <c r="AY975" s="5">
        <v>0</v>
      </c>
      <c r="AZ975" s="5">
        <v>0</v>
      </c>
      <c r="BA975" s="5">
        <v>0</v>
      </c>
      <c r="BB975" s="2"/>
      <c r="BC975" t="s">
        <v>0</v>
      </c>
      <c r="BD975" s="5">
        <v>1</v>
      </c>
      <c r="BE975" t="s">
        <v>0</v>
      </c>
      <c r="BF975" t="s">
        <v>478</v>
      </c>
      <c r="BG975" t="s">
        <v>17</v>
      </c>
      <c r="BH975" t="s">
        <v>0</v>
      </c>
      <c r="BI975" t="s">
        <v>11</v>
      </c>
      <c r="BJ975" t="s">
        <v>0</v>
      </c>
      <c r="BK975" t="s">
        <v>0</v>
      </c>
      <c r="BL975" s="5">
        <v>0</v>
      </c>
      <c r="BM975" t="s">
        <v>0</v>
      </c>
      <c r="BN975" t="s">
        <v>0</v>
      </c>
      <c r="BO975" t="s">
        <v>0</v>
      </c>
      <c r="BP975" t="s">
        <v>17</v>
      </c>
      <c r="BQ975" t="s">
        <v>0</v>
      </c>
      <c r="BR975" t="s">
        <v>17</v>
      </c>
      <c r="BS975" t="s">
        <v>17</v>
      </c>
      <c r="BT975" t="s">
        <v>0</v>
      </c>
      <c r="BU975" t="s">
        <v>0</v>
      </c>
      <c r="BV975" t="s">
        <v>0</v>
      </c>
      <c r="BW975" t="s">
        <v>0</v>
      </c>
      <c r="BX975" t="s">
        <v>0</v>
      </c>
      <c r="BY975" t="s">
        <v>0</v>
      </c>
      <c r="BZ975" t="s">
        <v>0</v>
      </c>
      <c r="CA975" t="s">
        <v>0</v>
      </c>
      <c r="CB975" t="s">
        <v>0</v>
      </c>
    </row>
    <row r="976" spans="1:80" ht="13.95" customHeight="1" x14ac:dyDescent="0.25">
      <c r="A976" t="s">
        <v>479</v>
      </c>
      <c r="B976" s="2">
        <v>46092</v>
      </c>
      <c r="C976" s="2">
        <v>46092</v>
      </c>
      <c r="D976" s="2">
        <v>46123</v>
      </c>
      <c r="E976" t="s">
        <v>2</v>
      </c>
      <c r="F976" t="s">
        <v>3</v>
      </c>
      <c r="G976" t="s">
        <v>0</v>
      </c>
      <c r="H976" t="s">
        <v>4</v>
      </c>
      <c r="I976" t="s">
        <v>474</v>
      </c>
      <c r="J976" t="s">
        <v>6</v>
      </c>
      <c r="K976" t="s">
        <v>215</v>
      </c>
      <c r="L976" t="s">
        <v>354</v>
      </c>
      <c r="M976" t="s">
        <v>338</v>
      </c>
      <c r="N976" t="s">
        <v>10</v>
      </c>
      <c r="O976" t="s">
        <v>0</v>
      </c>
      <c r="P976" t="s">
        <v>11</v>
      </c>
      <c r="Q976" s="5">
        <v>25</v>
      </c>
      <c r="R976" s="4">
        <v>58250</v>
      </c>
      <c r="S976" s="5">
        <v>1</v>
      </c>
      <c r="T976" s="4">
        <v>1456250</v>
      </c>
      <c r="U976" s="5">
        <v>0</v>
      </c>
      <c r="V976" s="4">
        <v>0</v>
      </c>
      <c r="W976" s="5">
        <v>0</v>
      </c>
      <c r="X976" s="4">
        <v>0</v>
      </c>
      <c r="Y976" s="4">
        <f t="shared" si="30"/>
        <v>1456250</v>
      </c>
      <c r="Z976" s="6" t="s">
        <v>0</v>
      </c>
      <c r="AA976" t="s">
        <v>2</v>
      </c>
      <c r="AB976" t="s">
        <v>12</v>
      </c>
      <c r="AC976">
        <f>_xlfn.XLOOKUP(AB976,'[1]GST Codes'!$A:$A,'[1]GST Codes'!$C:$C,0,0)</f>
        <v>18</v>
      </c>
      <c r="AD976">
        <f t="shared" si="31"/>
        <v>1718375</v>
      </c>
      <c r="AE976" t="s">
        <v>13</v>
      </c>
      <c r="AF976" t="s">
        <v>0</v>
      </c>
      <c r="AG976" t="s">
        <v>14</v>
      </c>
      <c r="AH976" t="s">
        <v>15</v>
      </c>
      <c r="AI976" t="s">
        <v>85</v>
      </c>
      <c r="AJ976" t="s">
        <v>17</v>
      </c>
      <c r="AK976" t="s">
        <v>18</v>
      </c>
      <c r="AL976" t="s">
        <v>19</v>
      </c>
      <c r="AM976" t="s">
        <v>474</v>
      </c>
      <c r="AN976" t="s">
        <v>0</v>
      </c>
      <c r="AO976" t="s">
        <v>0</v>
      </c>
      <c r="AP976" t="s">
        <v>0</v>
      </c>
      <c r="AQ976" s="5">
        <v>25</v>
      </c>
      <c r="AR976" t="s">
        <v>11</v>
      </c>
      <c r="AS976" t="s">
        <v>0</v>
      </c>
      <c r="AT976" t="s">
        <v>17</v>
      </c>
      <c r="AU976" s="4">
        <v>0</v>
      </c>
      <c r="AV976" s="4">
        <v>0</v>
      </c>
      <c r="AW976" s="4">
        <v>0</v>
      </c>
      <c r="AX976" s="4">
        <v>0</v>
      </c>
      <c r="AY976" s="5">
        <v>0</v>
      </c>
      <c r="AZ976" s="5">
        <v>0</v>
      </c>
      <c r="BA976" s="5">
        <v>0</v>
      </c>
      <c r="BB976" s="2"/>
      <c r="BC976" t="s">
        <v>0</v>
      </c>
      <c r="BD976" s="5">
        <v>1</v>
      </c>
      <c r="BE976" t="s">
        <v>0</v>
      </c>
      <c r="BF976" t="s">
        <v>478</v>
      </c>
      <c r="BG976" t="s">
        <v>17</v>
      </c>
      <c r="BH976" t="s">
        <v>0</v>
      </c>
      <c r="BI976" t="s">
        <v>11</v>
      </c>
      <c r="BJ976" t="s">
        <v>0</v>
      </c>
      <c r="BK976" t="s">
        <v>0</v>
      </c>
      <c r="BL976" s="5">
        <v>0</v>
      </c>
      <c r="BM976" t="s">
        <v>0</v>
      </c>
      <c r="BN976" t="s">
        <v>0</v>
      </c>
      <c r="BO976" t="s">
        <v>0</v>
      </c>
      <c r="BP976" t="s">
        <v>17</v>
      </c>
      <c r="BQ976" t="s">
        <v>0</v>
      </c>
      <c r="BR976" t="s">
        <v>17</v>
      </c>
      <c r="BS976" t="s">
        <v>17</v>
      </c>
      <c r="BT976" t="s">
        <v>0</v>
      </c>
      <c r="BU976" t="s">
        <v>0</v>
      </c>
      <c r="BV976" t="s">
        <v>0</v>
      </c>
      <c r="BW976" t="s">
        <v>0</v>
      </c>
      <c r="BX976" t="s">
        <v>0</v>
      </c>
      <c r="BY976" t="s">
        <v>0</v>
      </c>
      <c r="BZ976" t="s">
        <v>0</v>
      </c>
      <c r="CA976" t="s">
        <v>0</v>
      </c>
      <c r="CB976" t="s">
        <v>0</v>
      </c>
    </row>
    <row r="977" spans="1:80" ht="13.95" customHeight="1" x14ac:dyDescent="0.25">
      <c r="A977" t="s">
        <v>479</v>
      </c>
      <c r="B977" s="2">
        <v>46092</v>
      </c>
      <c r="C977" s="2">
        <v>46092</v>
      </c>
      <c r="D977" s="2">
        <v>46123</v>
      </c>
      <c r="E977" t="s">
        <v>2</v>
      </c>
      <c r="F977" t="s">
        <v>3</v>
      </c>
      <c r="G977" t="s">
        <v>0</v>
      </c>
      <c r="H977" t="s">
        <v>4</v>
      </c>
      <c r="I977" t="s">
        <v>474</v>
      </c>
      <c r="J977" t="s">
        <v>6</v>
      </c>
      <c r="K977" t="s">
        <v>216</v>
      </c>
      <c r="L977" t="s">
        <v>354</v>
      </c>
      <c r="M977" t="s">
        <v>338</v>
      </c>
      <c r="N977" t="s">
        <v>10</v>
      </c>
      <c r="O977" t="s">
        <v>0</v>
      </c>
      <c r="P977" t="s">
        <v>11</v>
      </c>
      <c r="Q977" s="5">
        <v>25</v>
      </c>
      <c r="R977" s="4">
        <v>58250</v>
      </c>
      <c r="S977" s="5">
        <v>1</v>
      </c>
      <c r="T977" s="4">
        <v>1456250</v>
      </c>
      <c r="U977" s="5">
        <v>0</v>
      </c>
      <c r="V977" s="4">
        <v>0</v>
      </c>
      <c r="W977" s="5">
        <v>0</v>
      </c>
      <c r="X977" s="4">
        <v>0</v>
      </c>
      <c r="Y977" s="4">
        <f t="shared" si="30"/>
        <v>1456250</v>
      </c>
      <c r="Z977" s="6" t="s">
        <v>0</v>
      </c>
      <c r="AA977" t="s">
        <v>2</v>
      </c>
      <c r="AB977" t="s">
        <v>12</v>
      </c>
      <c r="AC977">
        <f>_xlfn.XLOOKUP(AB977,'[1]GST Codes'!$A:$A,'[1]GST Codes'!$C:$C,0,0)</f>
        <v>18</v>
      </c>
      <c r="AD977">
        <f t="shared" si="31"/>
        <v>1718375</v>
      </c>
      <c r="AE977" t="s">
        <v>13</v>
      </c>
      <c r="AF977" t="s">
        <v>0</v>
      </c>
      <c r="AG977" t="s">
        <v>14</v>
      </c>
      <c r="AH977" t="s">
        <v>15</v>
      </c>
      <c r="AI977" t="s">
        <v>85</v>
      </c>
      <c r="AJ977" t="s">
        <v>17</v>
      </c>
      <c r="AK977" t="s">
        <v>18</v>
      </c>
      <c r="AL977" t="s">
        <v>19</v>
      </c>
      <c r="AM977" t="s">
        <v>474</v>
      </c>
      <c r="AN977" t="s">
        <v>0</v>
      </c>
      <c r="AO977" t="s">
        <v>0</v>
      </c>
      <c r="AP977" t="s">
        <v>0</v>
      </c>
      <c r="AQ977" s="5">
        <v>25</v>
      </c>
      <c r="AR977" t="s">
        <v>11</v>
      </c>
      <c r="AS977" t="s">
        <v>0</v>
      </c>
      <c r="AT977" t="s">
        <v>17</v>
      </c>
      <c r="AU977" s="4">
        <v>0</v>
      </c>
      <c r="AV977" s="4">
        <v>0</v>
      </c>
      <c r="AW977" s="4">
        <v>0</v>
      </c>
      <c r="AX977" s="4">
        <v>0</v>
      </c>
      <c r="AY977" s="5">
        <v>0</v>
      </c>
      <c r="AZ977" s="5">
        <v>0</v>
      </c>
      <c r="BA977" s="5">
        <v>0</v>
      </c>
      <c r="BB977" s="2"/>
      <c r="BC977" t="s">
        <v>0</v>
      </c>
      <c r="BD977" s="5">
        <v>1</v>
      </c>
      <c r="BE977" t="s">
        <v>0</v>
      </c>
      <c r="BF977" t="s">
        <v>478</v>
      </c>
      <c r="BG977" t="s">
        <v>17</v>
      </c>
      <c r="BH977" t="s">
        <v>0</v>
      </c>
      <c r="BI977" t="s">
        <v>11</v>
      </c>
      <c r="BJ977" t="s">
        <v>0</v>
      </c>
      <c r="BK977" t="s">
        <v>0</v>
      </c>
      <c r="BL977" s="5">
        <v>0</v>
      </c>
      <c r="BM977" t="s">
        <v>0</v>
      </c>
      <c r="BN977" t="s">
        <v>0</v>
      </c>
      <c r="BO977" t="s">
        <v>0</v>
      </c>
      <c r="BP977" t="s">
        <v>17</v>
      </c>
      <c r="BQ977" t="s">
        <v>0</v>
      </c>
      <c r="BR977" t="s">
        <v>17</v>
      </c>
      <c r="BS977" t="s">
        <v>17</v>
      </c>
      <c r="BT977" t="s">
        <v>0</v>
      </c>
      <c r="BU977" t="s">
        <v>0</v>
      </c>
      <c r="BV977" t="s">
        <v>0</v>
      </c>
      <c r="BW977" t="s">
        <v>0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</row>
    <row r="978" spans="1:80" ht="13.95" customHeight="1" x14ac:dyDescent="0.25">
      <c r="A978" t="s">
        <v>480</v>
      </c>
      <c r="B978" s="2">
        <v>46122</v>
      </c>
      <c r="C978" s="2">
        <v>46122</v>
      </c>
      <c r="D978" s="2">
        <v>46152</v>
      </c>
      <c r="E978" t="s">
        <v>2</v>
      </c>
      <c r="F978" t="s">
        <v>3</v>
      </c>
      <c r="G978" t="s">
        <v>0</v>
      </c>
      <c r="H978" t="s">
        <v>4</v>
      </c>
      <c r="I978" t="s">
        <v>474</v>
      </c>
      <c r="J978" t="s">
        <v>6</v>
      </c>
      <c r="K978" t="s">
        <v>7</v>
      </c>
      <c r="L978" t="s">
        <v>74</v>
      </c>
      <c r="M978" t="s">
        <v>75</v>
      </c>
      <c r="N978" t="s">
        <v>10</v>
      </c>
      <c r="O978" t="s">
        <v>0</v>
      </c>
      <c r="P978" t="s">
        <v>11</v>
      </c>
      <c r="Q978" s="5">
        <v>43</v>
      </c>
      <c r="R978" s="4">
        <v>60500</v>
      </c>
      <c r="S978" s="5">
        <v>1</v>
      </c>
      <c r="T978" s="4">
        <v>2601500</v>
      </c>
      <c r="U978" s="5">
        <v>0</v>
      </c>
      <c r="V978" s="4">
        <v>0</v>
      </c>
      <c r="W978" s="5">
        <v>0</v>
      </c>
      <c r="X978" s="4">
        <v>0</v>
      </c>
      <c r="Y978" s="4">
        <f t="shared" si="30"/>
        <v>2601500</v>
      </c>
      <c r="Z978" s="6" t="s">
        <v>0</v>
      </c>
      <c r="AA978" t="s">
        <v>2</v>
      </c>
      <c r="AB978" t="s">
        <v>12</v>
      </c>
      <c r="AC978">
        <f>_xlfn.XLOOKUP(AB978,'[1]GST Codes'!$A:$A,'[1]GST Codes'!$C:$C,0,0)</f>
        <v>18</v>
      </c>
      <c r="AD978">
        <f t="shared" si="31"/>
        <v>3069770</v>
      </c>
      <c r="AE978" t="s">
        <v>13</v>
      </c>
      <c r="AF978" t="s">
        <v>0</v>
      </c>
      <c r="AG978" t="s">
        <v>14</v>
      </c>
      <c r="AH978" t="s">
        <v>15</v>
      </c>
      <c r="AI978" t="s">
        <v>85</v>
      </c>
      <c r="AJ978" t="s">
        <v>17</v>
      </c>
      <c r="AK978" t="s">
        <v>18</v>
      </c>
      <c r="AL978" t="s">
        <v>19</v>
      </c>
      <c r="AM978" t="s">
        <v>474</v>
      </c>
      <c r="AN978" t="s">
        <v>0</v>
      </c>
      <c r="AO978" t="s">
        <v>0</v>
      </c>
      <c r="AP978" t="s">
        <v>0</v>
      </c>
      <c r="AQ978" s="5">
        <v>43</v>
      </c>
      <c r="AR978" t="s">
        <v>11</v>
      </c>
      <c r="AS978" t="s">
        <v>0</v>
      </c>
      <c r="AT978" t="s">
        <v>17</v>
      </c>
      <c r="AU978" s="4">
        <v>0</v>
      </c>
      <c r="AV978" s="4">
        <v>0</v>
      </c>
      <c r="AW978" s="4">
        <v>0</v>
      </c>
      <c r="AX978" s="4">
        <v>0</v>
      </c>
      <c r="AY978" s="5">
        <v>0</v>
      </c>
      <c r="AZ978" s="5">
        <v>0</v>
      </c>
      <c r="BA978" s="5">
        <v>0</v>
      </c>
      <c r="BB978" s="2"/>
      <c r="BC978" t="s">
        <v>0</v>
      </c>
      <c r="BD978" s="5">
        <v>1</v>
      </c>
      <c r="BE978" t="s">
        <v>0</v>
      </c>
      <c r="BF978" t="s">
        <v>475</v>
      </c>
      <c r="BG978" t="s">
        <v>17</v>
      </c>
      <c r="BH978" t="s">
        <v>0</v>
      </c>
      <c r="BI978" t="s">
        <v>11</v>
      </c>
      <c r="BJ978" t="s">
        <v>0</v>
      </c>
      <c r="BK978" t="s">
        <v>0</v>
      </c>
      <c r="BL978" s="5">
        <v>0</v>
      </c>
      <c r="BM978" t="s">
        <v>0</v>
      </c>
      <c r="BN978" t="s">
        <v>0</v>
      </c>
      <c r="BO978" t="s">
        <v>0</v>
      </c>
      <c r="BP978" t="s">
        <v>17</v>
      </c>
      <c r="BQ978" t="s">
        <v>0</v>
      </c>
      <c r="BR978" t="s">
        <v>17</v>
      </c>
      <c r="BS978" t="s">
        <v>17</v>
      </c>
      <c r="BT978" t="s">
        <v>0</v>
      </c>
      <c r="BU978" t="s">
        <v>0</v>
      </c>
      <c r="BV978" t="s">
        <v>0</v>
      </c>
      <c r="BW978" t="s">
        <v>0</v>
      </c>
      <c r="BX978" t="s">
        <v>0</v>
      </c>
      <c r="BY978" t="s">
        <v>0</v>
      </c>
      <c r="BZ978" t="s">
        <v>0</v>
      </c>
      <c r="CA978" t="s">
        <v>0</v>
      </c>
      <c r="CB978" t="s">
        <v>0</v>
      </c>
    </row>
    <row r="979" spans="1:80" ht="13.95" customHeight="1" x14ac:dyDescent="0.25">
      <c r="A979" t="s">
        <v>480</v>
      </c>
      <c r="B979" s="2">
        <v>46122</v>
      </c>
      <c r="C979" s="2">
        <v>46122</v>
      </c>
      <c r="D979" s="2">
        <v>46152</v>
      </c>
      <c r="E979" t="s">
        <v>2</v>
      </c>
      <c r="F979" t="s">
        <v>3</v>
      </c>
      <c r="G979" t="s">
        <v>0</v>
      </c>
      <c r="H979" t="s">
        <v>4</v>
      </c>
      <c r="I979" t="s">
        <v>474</v>
      </c>
      <c r="J979" t="s">
        <v>6</v>
      </c>
      <c r="K979" t="s">
        <v>22</v>
      </c>
      <c r="L979" t="s">
        <v>74</v>
      </c>
      <c r="M979" t="s">
        <v>75</v>
      </c>
      <c r="N979" t="s">
        <v>10</v>
      </c>
      <c r="O979" t="s">
        <v>0</v>
      </c>
      <c r="P979" t="s">
        <v>11</v>
      </c>
      <c r="Q979" s="5">
        <v>43</v>
      </c>
      <c r="R979" s="4">
        <v>60500</v>
      </c>
      <c r="S979" s="5">
        <v>1</v>
      </c>
      <c r="T979" s="4">
        <v>2601500</v>
      </c>
      <c r="U979" s="5">
        <v>0</v>
      </c>
      <c r="V979" s="4">
        <v>0</v>
      </c>
      <c r="W979" s="5">
        <v>0</v>
      </c>
      <c r="X979" s="4">
        <v>0</v>
      </c>
      <c r="Y979" s="4">
        <f t="shared" si="30"/>
        <v>2601500</v>
      </c>
      <c r="Z979" s="6" t="s">
        <v>0</v>
      </c>
      <c r="AA979" t="s">
        <v>2</v>
      </c>
      <c r="AB979" t="s">
        <v>12</v>
      </c>
      <c r="AC979">
        <f>_xlfn.XLOOKUP(AB979,'[1]GST Codes'!$A:$A,'[1]GST Codes'!$C:$C,0,0)</f>
        <v>18</v>
      </c>
      <c r="AD979">
        <f t="shared" si="31"/>
        <v>3069770</v>
      </c>
      <c r="AE979" t="s">
        <v>13</v>
      </c>
      <c r="AF979" t="s">
        <v>0</v>
      </c>
      <c r="AG979" t="s">
        <v>14</v>
      </c>
      <c r="AH979" t="s">
        <v>15</v>
      </c>
      <c r="AI979" t="s">
        <v>85</v>
      </c>
      <c r="AJ979" t="s">
        <v>17</v>
      </c>
      <c r="AK979" t="s">
        <v>18</v>
      </c>
      <c r="AL979" t="s">
        <v>19</v>
      </c>
      <c r="AM979" t="s">
        <v>474</v>
      </c>
      <c r="AN979" t="s">
        <v>0</v>
      </c>
      <c r="AO979" t="s">
        <v>0</v>
      </c>
      <c r="AP979" t="s">
        <v>0</v>
      </c>
      <c r="AQ979" s="5">
        <v>43</v>
      </c>
      <c r="AR979" t="s">
        <v>11</v>
      </c>
      <c r="AS979" t="s">
        <v>0</v>
      </c>
      <c r="AT979" t="s">
        <v>17</v>
      </c>
      <c r="AU979" s="4">
        <v>0</v>
      </c>
      <c r="AV979" s="4">
        <v>0</v>
      </c>
      <c r="AW979" s="4">
        <v>0</v>
      </c>
      <c r="AX979" s="4">
        <v>0</v>
      </c>
      <c r="AY979" s="5">
        <v>0</v>
      </c>
      <c r="AZ979" s="5">
        <v>0</v>
      </c>
      <c r="BA979" s="5">
        <v>0</v>
      </c>
      <c r="BB979" s="2"/>
      <c r="BC979" t="s">
        <v>0</v>
      </c>
      <c r="BD979" s="5">
        <v>1</v>
      </c>
      <c r="BE979" t="s">
        <v>0</v>
      </c>
      <c r="BF979" t="s">
        <v>475</v>
      </c>
      <c r="BG979" t="s">
        <v>17</v>
      </c>
      <c r="BH979" t="s">
        <v>0</v>
      </c>
      <c r="BI979" t="s">
        <v>11</v>
      </c>
      <c r="BJ979" t="s">
        <v>0</v>
      </c>
      <c r="BK979" t="s">
        <v>0</v>
      </c>
      <c r="BL979" s="5">
        <v>0</v>
      </c>
      <c r="BM979" t="s">
        <v>0</v>
      </c>
      <c r="BN979" t="s">
        <v>0</v>
      </c>
      <c r="BO979" t="s">
        <v>0</v>
      </c>
      <c r="BP979" t="s">
        <v>17</v>
      </c>
      <c r="BQ979" t="s">
        <v>0</v>
      </c>
      <c r="BR979" t="s">
        <v>17</v>
      </c>
      <c r="BS979" t="s">
        <v>17</v>
      </c>
      <c r="BT979" t="s">
        <v>0</v>
      </c>
      <c r="BU979" t="s">
        <v>0</v>
      </c>
      <c r="BV979" t="s">
        <v>0</v>
      </c>
      <c r="BW979" t="s">
        <v>0</v>
      </c>
      <c r="BX979" t="s">
        <v>0</v>
      </c>
      <c r="BY979" t="s">
        <v>0</v>
      </c>
      <c r="BZ979" t="s">
        <v>0</v>
      </c>
      <c r="CA979" t="s">
        <v>0</v>
      </c>
      <c r="CB979" t="s">
        <v>0</v>
      </c>
    </row>
    <row r="980" spans="1:80" ht="13.95" customHeight="1" x14ac:dyDescent="0.25">
      <c r="A980" t="s">
        <v>480</v>
      </c>
      <c r="B980" s="2">
        <v>46122</v>
      </c>
      <c r="C980" s="2">
        <v>46122</v>
      </c>
      <c r="D980" s="2">
        <v>46152</v>
      </c>
      <c r="E980" t="s">
        <v>2</v>
      </c>
      <c r="F980" t="s">
        <v>3</v>
      </c>
      <c r="G980" t="s">
        <v>0</v>
      </c>
      <c r="H980" t="s">
        <v>4</v>
      </c>
      <c r="I980" t="s">
        <v>474</v>
      </c>
      <c r="J980" t="s">
        <v>6</v>
      </c>
      <c r="K980" t="s">
        <v>26</v>
      </c>
      <c r="L980" t="s">
        <v>74</v>
      </c>
      <c r="M980" t="s">
        <v>75</v>
      </c>
      <c r="N980" t="s">
        <v>10</v>
      </c>
      <c r="O980" t="s">
        <v>0</v>
      </c>
      <c r="P980" t="s">
        <v>11</v>
      </c>
      <c r="Q980" s="5">
        <v>43</v>
      </c>
      <c r="R980" s="4">
        <v>60500</v>
      </c>
      <c r="S980" s="5">
        <v>1</v>
      </c>
      <c r="T980" s="4">
        <v>2601500</v>
      </c>
      <c r="U980" s="5">
        <v>0</v>
      </c>
      <c r="V980" s="4">
        <v>0</v>
      </c>
      <c r="W980" s="5">
        <v>0</v>
      </c>
      <c r="X980" s="4">
        <v>0</v>
      </c>
      <c r="Y980" s="4">
        <f t="shared" si="30"/>
        <v>2601500</v>
      </c>
      <c r="Z980" s="6" t="s">
        <v>0</v>
      </c>
      <c r="AA980" t="s">
        <v>2</v>
      </c>
      <c r="AB980" t="s">
        <v>12</v>
      </c>
      <c r="AC980">
        <f>_xlfn.XLOOKUP(AB980,'[1]GST Codes'!$A:$A,'[1]GST Codes'!$C:$C,0,0)</f>
        <v>18</v>
      </c>
      <c r="AD980">
        <f t="shared" si="31"/>
        <v>3069770</v>
      </c>
      <c r="AE980" t="s">
        <v>13</v>
      </c>
      <c r="AF980" t="s">
        <v>0</v>
      </c>
      <c r="AG980" t="s">
        <v>14</v>
      </c>
      <c r="AH980" t="s">
        <v>15</v>
      </c>
      <c r="AI980" t="s">
        <v>85</v>
      </c>
      <c r="AJ980" t="s">
        <v>17</v>
      </c>
      <c r="AK980" t="s">
        <v>18</v>
      </c>
      <c r="AL980" t="s">
        <v>19</v>
      </c>
      <c r="AM980" t="s">
        <v>474</v>
      </c>
      <c r="AN980" t="s">
        <v>0</v>
      </c>
      <c r="AO980" t="s">
        <v>0</v>
      </c>
      <c r="AP980" t="s">
        <v>0</v>
      </c>
      <c r="AQ980" s="5">
        <v>43</v>
      </c>
      <c r="AR980" t="s">
        <v>11</v>
      </c>
      <c r="AS980" t="s">
        <v>0</v>
      </c>
      <c r="AT980" t="s">
        <v>17</v>
      </c>
      <c r="AU980" s="4">
        <v>0</v>
      </c>
      <c r="AV980" s="4">
        <v>0</v>
      </c>
      <c r="AW980" s="4">
        <v>0</v>
      </c>
      <c r="AX980" s="4">
        <v>0</v>
      </c>
      <c r="AY980" s="5">
        <v>0</v>
      </c>
      <c r="AZ980" s="5">
        <v>0</v>
      </c>
      <c r="BA980" s="5">
        <v>0</v>
      </c>
      <c r="BB980" s="2"/>
      <c r="BC980" t="s">
        <v>0</v>
      </c>
      <c r="BD980" s="5">
        <v>1</v>
      </c>
      <c r="BE980" t="s">
        <v>0</v>
      </c>
      <c r="BF980" t="s">
        <v>475</v>
      </c>
      <c r="BG980" t="s">
        <v>17</v>
      </c>
      <c r="BH980" t="s">
        <v>0</v>
      </c>
      <c r="BI980" t="s">
        <v>11</v>
      </c>
      <c r="BJ980" t="s">
        <v>0</v>
      </c>
      <c r="BK980" t="s">
        <v>0</v>
      </c>
      <c r="BL980" s="5">
        <v>0</v>
      </c>
      <c r="BM980" t="s">
        <v>0</v>
      </c>
      <c r="BN980" t="s">
        <v>0</v>
      </c>
      <c r="BO980" t="s">
        <v>0</v>
      </c>
      <c r="BP980" t="s">
        <v>17</v>
      </c>
      <c r="BQ980" t="s">
        <v>0</v>
      </c>
      <c r="BR980" t="s">
        <v>17</v>
      </c>
      <c r="BS980" t="s">
        <v>17</v>
      </c>
      <c r="BT980" t="s">
        <v>0</v>
      </c>
      <c r="BU980" t="s">
        <v>0</v>
      </c>
      <c r="BV980" t="s">
        <v>0</v>
      </c>
      <c r="BW980" t="s">
        <v>0</v>
      </c>
      <c r="BX980" t="s">
        <v>0</v>
      </c>
      <c r="BY980" t="s">
        <v>0</v>
      </c>
      <c r="BZ980" t="s">
        <v>0</v>
      </c>
      <c r="CA980" t="s">
        <v>0</v>
      </c>
      <c r="CB980" t="s">
        <v>0</v>
      </c>
    </row>
    <row r="981" spans="1:80" ht="13.95" customHeight="1" x14ac:dyDescent="0.25">
      <c r="A981" t="s">
        <v>480</v>
      </c>
      <c r="B981" s="2">
        <v>46122</v>
      </c>
      <c r="C981" s="2">
        <v>46122</v>
      </c>
      <c r="D981" s="2">
        <v>46152</v>
      </c>
      <c r="E981" t="s">
        <v>2</v>
      </c>
      <c r="F981" t="s">
        <v>3</v>
      </c>
      <c r="G981" t="s">
        <v>0</v>
      </c>
      <c r="H981" t="s">
        <v>4</v>
      </c>
      <c r="I981" t="s">
        <v>474</v>
      </c>
      <c r="J981" t="s">
        <v>6</v>
      </c>
      <c r="K981" t="s">
        <v>30</v>
      </c>
      <c r="L981" t="s">
        <v>74</v>
      </c>
      <c r="M981" t="s">
        <v>75</v>
      </c>
      <c r="N981" t="s">
        <v>10</v>
      </c>
      <c r="O981" t="s">
        <v>0</v>
      </c>
      <c r="P981" t="s">
        <v>11</v>
      </c>
      <c r="Q981" s="5">
        <v>43</v>
      </c>
      <c r="R981" s="4">
        <v>60500</v>
      </c>
      <c r="S981" s="5">
        <v>1</v>
      </c>
      <c r="T981" s="4">
        <v>2601500</v>
      </c>
      <c r="U981" s="5">
        <v>0</v>
      </c>
      <c r="V981" s="4">
        <v>0</v>
      </c>
      <c r="W981" s="5">
        <v>0</v>
      </c>
      <c r="X981" s="4">
        <v>0</v>
      </c>
      <c r="Y981" s="4">
        <f t="shared" si="30"/>
        <v>2601500</v>
      </c>
      <c r="Z981" s="6" t="s">
        <v>0</v>
      </c>
      <c r="AA981" t="s">
        <v>2</v>
      </c>
      <c r="AB981" t="s">
        <v>12</v>
      </c>
      <c r="AC981">
        <f>_xlfn.XLOOKUP(AB981,'[1]GST Codes'!$A:$A,'[1]GST Codes'!$C:$C,0,0)</f>
        <v>18</v>
      </c>
      <c r="AD981">
        <f t="shared" si="31"/>
        <v>3069770</v>
      </c>
      <c r="AE981" t="s">
        <v>13</v>
      </c>
      <c r="AF981" t="s">
        <v>0</v>
      </c>
      <c r="AG981" t="s">
        <v>14</v>
      </c>
      <c r="AH981" t="s">
        <v>15</v>
      </c>
      <c r="AI981" t="s">
        <v>85</v>
      </c>
      <c r="AJ981" t="s">
        <v>17</v>
      </c>
      <c r="AK981" t="s">
        <v>18</v>
      </c>
      <c r="AL981" t="s">
        <v>19</v>
      </c>
      <c r="AM981" t="s">
        <v>474</v>
      </c>
      <c r="AN981" t="s">
        <v>0</v>
      </c>
      <c r="AO981" t="s">
        <v>0</v>
      </c>
      <c r="AP981" t="s">
        <v>0</v>
      </c>
      <c r="AQ981" s="5">
        <v>43</v>
      </c>
      <c r="AR981" t="s">
        <v>11</v>
      </c>
      <c r="AS981" t="s">
        <v>0</v>
      </c>
      <c r="AT981" t="s">
        <v>17</v>
      </c>
      <c r="AU981" s="4">
        <v>0</v>
      </c>
      <c r="AV981" s="4">
        <v>0</v>
      </c>
      <c r="AW981" s="4">
        <v>0</v>
      </c>
      <c r="AX981" s="4">
        <v>0</v>
      </c>
      <c r="AY981" s="5">
        <v>0</v>
      </c>
      <c r="AZ981" s="5">
        <v>0</v>
      </c>
      <c r="BA981" s="5">
        <v>0</v>
      </c>
      <c r="BB981" s="2"/>
      <c r="BC981" t="s">
        <v>0</v>
      </c>
      <c r="BD981" s="5">
        <v>1</v>
      </c>
      <c r="BE981" t="s">
        <v>0</v>
      </c>
      <c r="BF981" t="s">
        <v>475</v>
      </c>
      <c r="BG981" t="s">
        <v>17</v>
      </c>
      <c r="BH981" t="s">
        <v>0</v>
      </c>
      <c r="BI981" t="s">
        <v>11</v>
      </c>
      <c r="BJ981" t="s">
        <v>0</v>
      </c>
      <c r="BK981" t="s">
        <v>0</v>
      </c>
      <c r="BL981" s="5">
        <v>0</v>
      </c>
      <c r="BM981" t="s">
        <v>0</v>
      </c>
      <c r="BN981" t="s">
        <v>0</v>
      </c>
      <c r="BO981" t="s">
        <v>0</v>
      </c>
      <c r="BP981" t="s">
        <v>17</v>
      </c>
      <c r="BQ981" t="s">
        <v>0</v>
      </c>
      <c r="BR981" t="s">
        <v>17</v>
      </c>
      <c r="BS981" t="s">
        <v>17</v>
      </c>
      <c r="BT981" t="s">
        <v>0</v>
      </c>
      <c r="BU981" t="s">
        <v>0</v>
      </c>
      <c r="BV981" t="s">
        <v>0</v>
      </c>
      <c r="BW981" t="s">
        <v>0</v>
      </c>
      <c r="BX981" t="s">
        <v>0</v>
      </c>
      <c r="BY981" t="s">
        <v>0</v>
      </c>
      <c r="BZ981" t="s">
        <v>0</v>
      </c>
      <c r="CA981" t="s">
        <v>0</v>
      </c>
      <c r="CB981" t="s">
        <v>0</v>
      </c>
    </row>
    <row r="982" spans="1:80" ht="13.95" customHeight="1" x14ac:dyDescent="0.25">
      <c r="A982" t="s">
        <v>480</v>
      </c>
      <c r="B982" s="2">
        <v>46122</v>
      </c>
      <c r="C982" s="2">
        <v>46122</v>
      </c>
      <c r="D982" s="2">
        <v>46152</v>
      </c>
      <c r="E982" t="s">
        <v>2</v>
      </c>
      <c r="F982" t="s">
        <v>3</v>
      </c>
      <c r="G982" t="s">
        <v>0</v>
      </c>
      <c r="H982" t="s">
        <v>4</v>
      </c>
      <c r="I982" t="s">
        <v>474</v>
      </c>
      <c r="J982" t="s">
        <v>6</v>
      </c>
      <c r="K982" t="s">
        <v>34</v>
      </c>
      <c r="L982" t="s">
        <v>74</v>
      </c>
      <c r="M982" t="s">
        <v>75</v>
      </c>
      <c r="N982" t="s">
        <v>10</v>
      </c>
      <c r="O982" t="s">
        <v>0</v>
      </c>
      <c r="P982" t="s">
        <v>11</v>
      </c>
      <c r="Q982" s="5">
        <v>44</v>
      </c>
      <c r="R982" s="4">
        <v>60500</v>
      </c>
      <c r="S982" s="5">
        <v>1</v>
      </c>
      <c r="T982" s="4">
        <v>2662000</v>
      </c>
      <c r="U982" s="5">
        <v>0</v>
      </c>
      <c r="V982" s="4">
        <v>0</v>
      </c>
      <c r="W982" s="5">
        <v>0</v>
      </c>
      <c r="X982" s="4">
        <v>0</v>
      </c>
      <c r="Y982" s="4">
        <f t="shared" si="30"/>
        <v>2662000</v>
      </c>
      <c r="Z982" s="6" t="s">
        <v>0</v>
      </c>
      <c r="AA982" t="s">
        <v>2</v>
      </c>
      <c r="AB982" t="s">
        <v>12</v>
      </c>
      <c r="AC982">
        <f>_xlfn.XLOOKUP(AB982,'[1]GST Codes'!$A:$A,'[1]GST Codes'!$C:$C,0,0)</f>
        <v>18</v>
      </c>
      <c r="AD982">
        <f t="shared" si="31"/>
        <v>3141160</v>
      </c>
      <c r="AE982" t="s">
        <v>13</v>
      </c>
      <c r="AF982" t="s">
        <v>0</v>
      </c>
      <c r="AG982" t="s">
        <v>14</v>
      </c>
      <c r="AH982" t="s">
        <v>15</v>
      </c>
      <c r="AI982" t="s">
        <v>85</v>
      </c>
      <c r="AJ982" t="s">
        <v>17</v>
      </c>
      <c r="AK982" t="s">
        <v>18</v>
      </c>
      <c r="AL982" t="s">
        <v>19</v>
      </c>
      <c r="AM982" t="s">
        <v>474</v>
      </c>
      <c r="AN982" t="s">
        <v>0</v>
      </c>
      <c r="AO982" t="s">
        <v>0</v>
      </c>
      <c r="AP982" t="s">
        <v>0</v>
      </c>
      <c r="AQ982" s="5">
        <v>44</v>
      </c>
      <c r="AR982" t="s">
        <v>11</v>
      </c>
      <c r="AS982" t="s">
        <v>0</v>
      </c>
      <c r="AT982" t="s">
        <v>17</v>
      </c>
      <c r="AU982" s="4">
        <v>0</v>
      </c>
      <c r="AV982" s="4">
        <v>0</v>
      </c>
      <c r="AW982" s="4">
        <v>0</v>
      </c>
      <c r="AX982" s="4">
        <v>0</v>
      </c>
      <c r="AY982" s="5">
        <v>0</v>
      </c>
      <c r="AZ982" s="5">
        <v>0</v>
      </c>
      <c r="BA982" s="5">
        <v>0</v>
      </c>
      <c r="BB982" s="2"/>
      <c r="BC982" t="s">
        <v>0</v>
      </c>
      <c r="BD982" s="5">
        <v>1</v>
      </c>
      <c r="BE982" t="s">
        <v>0</v>
      </c>
      <c r="BF982" t="s">
        <v>475</v>
      </c>
      <c r="BG982" t="s">
        <v>17</v>
      </c>
      <c r="BH982" t="s">
        <v>0</v>
      </c>
      <c r="BI982" t="s">
        <v>11</v>
      </c>
      <c r="BJ982" t="s">
        <v>0</v>
      </c>
      <c r="BK982" t="s">
        <v>0</v>
      </c>
      <c r="BL982" s="5">
        <v>0</v>
      </c>
      <c r="BM982" t="s">
        <v>0</v>
      </c>
      <c r="BN982" t="s">
        <v>0</v>
      </c>
      <c r="BO982" t="s">
        <v>0</v>
      </c>
      <c r="BP982" t="s">
        <v>17</v>
      </c>
      <c r="BQ982" t="s">
        <v>0</v>
      </c>
      <c r="BR982" t="s">
        <v>17</v>
      </c>
      <c r="BS982" t="s">
        <v>17</v>
      </c>
      <c r="BT982" t="s">
        <v>0</v>
      </c>
      <c r="BU982" t="s">
        <v>0</v>
      </c>
      <c r="BV982" t="s">
        <v>0</v>
      </c>
      <c r="BW982" t="s">
        <v>0</v>
      </c>
      <c r="BX982" t="s">
        <v>0</v>
      </c>
      <c r="BY982" t="s">
        <v>0</v>
      </c>
      <c r="BZ982" t="s">
        <v>0</v>
      </c>
      <c r="CA982" t="s">
        <v>0</v>
      </c>
      <c r="CB982" t="s">
        <v>0</v>
      </c>
    </row>
    <row r="983" spans="1:80" ht="13.95" customHeight="1" x14ac:dyDescent="0.25">
      <c r="A983" t="s">
        <v>480</v>
      </c>
      <c r="B983" s="2">
        <v>46122</v>
      </c>
      <c r="C983" s="2">
        <v>46122</v>
      </c>
      <c r="D983" s="2">
        <v>46152</v>
      </c>
      <c r="E983" t="s">
        <v>2</v>
      </c>
      <c r="F983" t="s">
        <v>3</v>
      </c>
      <c r="G983" t="s">
        <v>0</v>
      </c>
      <c r="H983" t="s">
        <v>4</v>
      </c>
      <c r="I983" t="s">
        <v>474</v>
      </c>
      <c r="J983" t="s">
        <v>6</v>
      </c>
      <c r="K983" t="s">
        <v>38</v>
      </c>
      <c r="L983" t="s">
        <v>74</v>
      </c>
      <c r="M983" t="s">
        <v>75</v>
      </c>
      <c r="N983" t="s">
        <v>10</v>
      </c>
      <c r="O983" t="s">
        <v>0</v>
      </c>
      <c r="P983" t="s">
        <v>11</v>
      </c>
      <c r="Q983" s="5">
        <v>44</v>
      </c>
      <c r="R983" s="4">
        <v>60500</v>
      </c>
      <c r="S983" s="5">
        <v>1</v>
      </c>
      <c r="T983" s="4">
        <v>2662000</v>
      </c>
      <c r="U983" s="5">
        <v>0</v>
      </c>
      <c r="V983" s="4">
        <v>0</v>
      </c>
      <c r="W983" s="5">
        <v>0</v>
      </c>
      <c r="X983" s="4">
        <v>0</v>
      </c>
      <c r="Y983" s="4">
        <f t="shared" si="30"/>
        <v>2662000</v>
      </c>
      <c r="Z983" s="6" t="s">
        <v>0</v>
      </c>
      <c r="AA983" t="s">
        <v>2</v>
      </c>
      <c r="AB983" t="s">
        <v>12</v>
      </c>
      <c r="AC983">
        <f>_xlfn.XLOOKUP(AB983,'[1]GST Codes'!$A:$A,'[1]GST Codes'!$C:$C,0,0)</f>
        <v>18</v>
      </c>
      <c r="AD983">
        <f t="shared" si="31"/>
        <v>3141160</v>
      </c>
      <c r="AE983" t="s">
        <v>13</v>
      </c>
      <c r="AF983" t="s">
        <v>0</v>
      </c>
      <c r="AG983" t="s">
        <v>14</v>
      </c>
      <c r="AH983" t="s">
        <v>15</v>
      </c>
      <c r="AI983" t="s">
        <v>85</v>
      </c>
      <c r="AJ983" t="s">
        <v>17</v>
      </c>
      <c r="AK983" t="s">
        <v>18</v>
      </c>
      <c r="AL983" t="s">
        <v>19</v>
      </c>
      <c r="AM983" t="s">
        <v>474</v>
      </c>
      <c r="AN983" t="s">
        <v>0</v>
      </c>
      <c r="AO983" t="s">
        <v>0</v>
      </c>
      <c r="AP983" t="s">
        <v>0</v>
      </c>
      <c r="AQ983" s="5">
        <v>44</v>
      </c>
      <c r="AR983" t="s">
        <v>11</v>
      </c>
      <c r="AS983" t="s">
        <v>0</v>
      </c>
      <c r="AT983" t="s">
        <v>17</v>
      </c>
      <c r="AU983" s="4">
        <v>0</v>
      </c>
      <c r="AV983" s="4">
        <v>0</v>
      </c>
      <c r="AW983" s="4">
        <v>0</v>
      </c>
      <c r="AX983" s="4">
        <v>0</v>
      </c>
      <c r="AY983" s="5">
        <v>0</v>
      </c>
      <c r="AZ983" s="5">
        <v>0</v>
      </c>
      <c r="BA983" s="5">
        <v>0</v>
      </c>
      <c r="BB983" s="2"/>
      <c r="BC983" t="s">
        <v>0</v>
      </c>
      <c r="BD983" s="5">
        <v>1</v>
      </c>
      <c r="BE983" t="s">
        <v>0</v>
      </c>
      <c r="BF983" t="s">
        <v>475</v>
      </c>
      <c r="BG983" t="s">
        <v>17</v>
      </c>
      <c r="BH983" t="s">
        <v>0</v>
      </c>
      <c r="BI983" t="s">
        <v>11</v>
      </c>
      <c r="BJ983" t="s">
        <v>0</v>
      </c>
      <c r="BK983" t="s">
        <v>0</v>
      </c>
      <c r="BL983" s="5">
        <v>0</v>
      </c>
      <c r="BM983" t="s">
        <v>0</v>
      </c>
      <c r="BN983" t="s">
        <v>0</v>
      </c>
      <c r="BO983" t="s">
        <v>0</v>
      </c>
      <c r="BP983" t="s">
        <v>17</v>
      </c>
      <c r="BQ983" t="s">
        <v>0</v>
      </c>
      <c r="BR983" t="s">
        <v>17</v>
      </c>
      <c r="BS983" t="s">
        <v>17</v>
      </c>
      <c r="BT983" t="s">
        <v>0</v>
      </c>
      <c r="BU983" t="s">
        <v>0</v>
      </c>
      <c r="BV983" t="s">
        <v>0</v>
      </c>
      <c r="BW983" t="s">
        <v>0</v>
      </c>
      <c r="BX983" t="s">
        <v>0</v>
      </c>
      <c r="BY983" t="s">
        <v>0</v>
      </c>
      <c r="BZ983" t="s">
        <v>0</v>
      </c>
      <c r="CA983" t="s">
        <v>0</v>
      </c>
      <c r="CB983" t="s">
        <v>0</v>
      </c>
    </row>
    <row r="984" spans="1:80" ht="13.95" customHeight="1" x14ac:dyDescent="0.25">
      <c r="A984" t="s">
        <v>480</v>
      </c>
      <c r="B984" s="2">
        <v>46122</v>
      </c>
      <c r="C984" s="2">
        <v>46122</v>
      </c>
      <c r="D984" s="2">
        <v>46152</v>
      </c>
      <c r="E984" t="s">
        <v>2</v>
      </c>
      <c r="F984" t="s">
        <v>3</v>
      </c>
      <c r="G984" t="s">
        <v>0</v>
      </c>
      <c r="H984" t="s">
        <v>4</v>
      </c>
      <c r="I984" t="s">
        <v>474</v>
      </c>
      <c r="J984" t="s">
        <v>6</v>
      </c>
      <c r="K984" t="s">
        <v>42</v>
      </c>
      <c r="L984" t="s">
        <v>39</v>
      </c>
      <c r="M984" t="s">
        <v>40</v>
      </c>
      <c r="N984" t="s">
        <v>10</v>
      </c>
      <c r="O984" t="s">
        <v>0</v>
      </c>
      <c r="P984" t="s">
        <v>11</v>
      </c>
      <c r="Q984" s="3">
        <v>8.5</v>
      </c>
      <c r="R984" s="4">
        <v>60500</v>
      </c>
      <c r="S984" s="5">
        <v>1</v>
      </c>
      <c r="T984" s="4">
        <v>514250</v>
      </c>
      <c r="U984" s="5">
        <v>0</v>
      </c>
      <c r="V984" s="4">
        <v>0</v>
      </c>
      <c r="W984" s="5">
        <v>0</v>
      </c>
      <c r="X984" s="4">
        <v>0</v>
      </c>
      <c r="Y984" s="4">
        <f t="shared" si="30"/>
        <v>514250</v>
      </c>
      <c r="Z984" s="6" t="s">
        <v>0</v>
      </c>
      <c r="AA984" t="s">
        <v>2</v>
      </c>
      <c r="AB984" t="s">
        <v>12</v>
      </c>
      <c r="AC984">
        <f>_xlfn.XLOOKUP(AB984,'[1]GST Codes'!$A:$A,'[1]GST Codes'!$C:$C,0,0)</f>
        <v>18</v>
      </c>
      <c r="AD984">
        <f t="shared" si="31"/>
        <v>606815</v>
      </c>
      <c r="AE984" t="s">
        <v>13</v>
      </c>
      <c r="AF984" t="s">
        <v>0</v>
      </c>
      <c r="AG984" t="s">
        <v>14</v>
      </c>
      <c r="AH984" t="s">
        <v>15</v>
      </c>
      <c r="AI984" t="s">
        <v>85</v>
      </c>
      <c r="AJ984" t="s">
        <v>17</v>
      </c>
      <c r="AK984" t="s">
        <v>18</v>
      </c>
      <c r="AL984" t="s">
        <v>19</v>
      </c>
      <c r="AM984" t="s">
        <v>474</v>
      </c>
      <c r="AN984" t="s">
        <v>0</v>
      </c>
      <c r="AO984" t="s">
        <v>0</v>
      </c>
      <c r="AP984" t="s">
        <v>0</v>
      </c>
      <c r="AQ984" s="3">
        <v>8.5</v>
      </c>
      <c r="AR984" t="s">
        <v>11</v>
      </c>
      <c r="AS984" t="s">
        <v>0</v>
      </c>
      <c r="AT984" t="s">
        <v>17</v>
      </c>
      <c r="AU984" s="4">
        <v>0</v>
      </c>
      <c r="AV984" s="4">
        <v>0</v>
      </c>
      <c r="AW984" s="4">
        <v>0</v>
      </c>
      <c r="AX984" s="4">
        <v>0</v>
      </c>
      <c r="AY984" s="5">
        <v>0</v>
      </c>
      <c r="AZ984" s="5">
        <v>0</v>
      </c>
      <c r="BA984" s="5">
        <v>0</v>
      </c>
      <c r="BB984" s="2"/>
      <c r="BC984" t="s">
        <v>0</v>
      </c>
      <c r="BD984" s="5">
        <v>1</v>
      </c>
      <c r="BE984" t="s">
        <v>0</v>
      </c>
      <c r="BF984" t="s">
        <v>476</v>
      </c>
      <c r="BG984" t="s">
        <v>17</v>
      </c>
      <c r="BH984" t="s">
        <v>0</v>
      </c>
      <c r="BI984" t="s">
        <v>11</v>
      </c>
      <c r="BJ984" t="s">
        <v>0</v>
      </c>
      <c r="BK984" t="s">
        <v>0</v>
      </c>
      <c r="BL984" s="5">
        <v>0</v>
      </c>
      <c r="BM984" t="s">
        <v>0</v>
      </c>
      <c r="BN984" t="s">
        <v>0</v>
      </c>
      <c r="BO984" t="s">
        <v>0</v>
      </c>
      <c r="BP984" t="s">
        <v>17</v>
      </c>
      <c r="BQ984" t="s">
        <v>0</v>
      </c>
      <c r="BR984" t="s">
        <v>17</v>
      </c>
      <c r="BS984" t="s">
        <v>17</v>
      </c>
      <c r="BT984" t="s">
        <v>0</v>
      </c>
      <c r="BU984" t="s">
        <v>0</v>
      </c>
      <c r="BV984" t="s">
        <v>0</v>
      </c>
      <c r="BW984" t="s">
        <v>0</v>
      </c>
      <c r="BX984" t="s">
        <v>0</v>
      </c>
      <c r="BY984" t="s">
        <v>0</v>
      </c>
      <c r="BZ984" t="s">
        <v>0</v>
      </c>
      <c r="CA984" t="s">
        <v>0</v>
      </c>
      <c r="CB984" t="s">
        <v>0</v>
      </c>
    </row>
    <row r="985" spans="1:80" ht="13.95" customHeight="1" x14ac:dyDescent="0.25">
      <c r="A985" t="s">
        <v>480</v>
      </c>
      <c r="B985" s="2">
        <v>46122</v>
      </c>
      <c r="C985" s="2">
        <v>46122</v>
      </c>
      <c r="D985" s="2">
        <v>46152</v>
      </c>
      <c r="E985" t="s">
        <v>2</v>
      </c>
      <c r="F985" t="s">
        <v>3</v>
      </c>
      <c r="G985" t="s">
        <v>0</v>
      </c>
      <c r="H985" t="s">
        <v>4</v>
      </c>
      <c r="I985" t="s">
        <v>474</v>
      </c>
      <c r="J985" t="s">
        <v>6</v>
      </c>
      <c r="K985" t="s">
        <v>86</v>
      </c>
      <c r="L985" t="s">
        <v>39</v>
      </c>
      <c r="M985" t="s">
        <v>40</v>
      </c>
      <c r="N985" t="s">
        <v>10</v>
      </c>
      <c r="O985" t="s">
        <v>0</v>
      </c>
      <c r="P985" t="s">
        <v>11</v>
      </c>
      <c r="Q985" s="3">
        <v>8.5</v>
      </c>
      <c r="R985" s="4">
        <v>60500</v>
      </c>
      <c r="S985" s="5">
        <v>1</v>
      </c>
      <c r="T985" s="4">
        <v>514250</v>
      </c>
      <c r="U985" s="5">
        <v>0</v>
      </c>
      <c r="V985" s="4">
        <v>0</v>
      </c>
      <c r="W985" s="5">
        <v>0</v>
      </c>
      <c r="X985" s="4">
        <v>0</v>
      </c>
      <c r="Y985" s="4">
        <f t="shared" si="30"/>
        <v>514250</v>
      </c>
      <c r="Z985" s="6" t="s">
        <v>0</v>
      </c>
      <c r="AA985" t="s">
        <v>2</v>
      </c>
      <c r="AB985" t="s">
        <v>12</v>
      </c>
      <c r="AC985">
        <f>_xlfn.XLOOKUP(AB985,'[1]GST Codes'!$A:$A,'[1]GST Codes'!$C:$C,0,0)</f>
        <v>18</v>
      </c>
      <c r="AD985">
        <f t="shared" si="31"/>
        <v>606815</v>
      </c>
      <c r="AE985" t="s">
        <v>13</v>
      </c>
      <c r="AF985" t="s">
        <v>0</v>
      </c>
      <c r="AG985" t="s">
        <v>14</v>
      </c>
      <c r="AH985" t="s">
        <v>15</v>
      </c>
      <c r="AI985" t="s">
        <v>85</v>
      </c>
      <c r="AJ985" t="s">
        <v>17</v>
      </c>
      <c r="AK985" t="s">
        <v>18</v>
      </c>
      <c r="AL985" t="s">
        <v>19</v>
      </c>
      <c r="AM985" t="s">
        <v>474</v>
      </c>
      <c r="AN985" t="s">
        <v>0</v>
      </c>
      <c r="AO985" t="s">
        <v>0</v>
      </c>
      <c r="AP985" t="s">
        <v>0</v>
      </c>
      <c r="AQ985" s="3">
        <v>8.5</v>
      </c>
      <c r="AR985" t="s">
        <v>11</v>
      </c>
      <c r="AS985" t="s">
        <v>0</v>
      </c>
      <c r="AT985" t="s">
        <v>17</v>
      </c>
      <c r="AU985" s="4">
        <v>0</v>
      </c>
      <c r="AV985" s="4">
        <v>0</v>
      </c>
      <c r="AW985" s="4">
        <v>0</v>
      </c>
      <c r="AX985" s="4">
        <v>0</v>
      </c>
      <c r="AY985" s="5">
        <v>0</v>
      </c>
      <c r="AZ985" s="5">
        <v>0</v>
      </c>
      <c r="BA985" s="5">
        <v>0</v>
      </c>
      <c r="BB985" s="2"/>
      <c r="BC985" t="s">
        <v>0</v>
      </c>
      <c r="BD985" s="5">
        <v>1</v>
      </c>
      <c r="BE985" t="s">
        <v>0</v>
      </c>
      <c r="BF985" t="s">
        <v>476</v>
      </c>
      <c r="BG985" t="s">
        <v>17</v>
      </c>
      <c r="BH985" t="s">
        <v>0</v>
      </c>
      <c r="BI985" t="s">
        <v>11</v>
      </c>
      <c r="BJ985" t="s">
        <v>0</v>
      </c>
      <c r="BK985" t="s">
        <v>0</v>
      </c>
      <c r="BL985" s="5">
        <v>0</v>
      </c>
      <c r="BM985" t="s">
        <v>0</v>
      </c>
      <c r="BN985" t="s">
        <v>0</v>
      </c>
      <c r="BO985" t="s">
        <v>0</v>
      </c>
      <c r="BP985" t="s">
        <v>17</v>
      </c>
      <c r="BQ985" t="s">
        <v>0</v>
      </c>
      <c r="BR985" t="s">
        <v>17</v>
      </c>
      <c r="BS985" t="s">
        <v>17</v>
      </c>
      <c r="BT985" t="s">
        <v>0</v>
      </c>
      <c r="BU985" t="s">
        <v>0</v>
      </c>
      <c r="BV985" t="s">
        <v>0</v>
      </c>
      <c r="BW985" t="s">
        <v>0</v>
      </c>
      <c r="BX985" t="s">
        <v>0</v>
      </c>
      <c r="BY985" t="s">
        <v>0</v>
      </c>
      <c r="BZ985" t="s">
        <v>0</v>
      </c>
      <c r="CA985" t="s">
        <v>0</v>
      </c>
      <c r="CB985" t="s">
        <v>0</v>
      </c>
    </row>
    <row r="986" spans="1:80" ht="13.95" customHeight="1" x14ac:dyDescent="0.25">
      <c r="A986" t="s">
        <v>480</v>
      </c>
      <c r="B986" s="2">
        <v>46122</v>
      </c>
      <c r="C986" s="2">
        <v>46122</v>
      </c>
      <c r="D986" s="2">
        <v>46152</v>
      </c>
      <c r="E986" t="s">
        <v>2</v>
      </c>
      <c r="F986" t="s">
        <v>3</v>
      </c>
      <c r="G986" t="s">
        <v>0</v>
      </c>
      <c r="H986" t="s">
        <v>4</v>
      </c>
      <c r="I986" t="s">
        <v>474</v>
      </c>
      <c r="J986" t="s">
        <v>6</v>
      </c>
      <c r="K986" t="s">
        <v>87</v>
      </c>
      <c r="L986" t="s">
        <v>39</v>
      </c>
      <c r="M986" t="s">
        <v>40</v>
      </c>
      <c r="N986" t="s">
        <v>10</v>
      </c>
      <c r="O986" t="s">
        <v>0</v>
      </c>
      <c r="P986" t="s">
        <v>11</v>
      </c>
      <c r="Q986" s="3">
        <v>8.5</v>
      </c>
      <c r="R986" s="4">
        <v>60500</v>
      </c>
      <c r="S986" s="5">
        <v>1</v>
      </c>
      <c r="T986" s="4">
        <v>514250</v>
      </c>
      <c r="U986" s="5">
        <v>0</v>
      </c>
      <c r="V986" s="4">
        <v>0</v>
      </c>
      <c r="W986" s="5">
        <v>0</v>
      </c>
      <c r="X986" s="4">
        <v>0</v>
      </c>
      <c r="Y986" s="4">
        <f t="shared" si="30"/>
        <v>514250</v>
      </c>
      <c r="Z986" s="6" t="s">
        <v>0</v>
      </c>
      <c r="AA986" t="s">
        <v>2</v>
      </c>
      <c r="AB986" t="s">
        <v>12</v>
      </c>
      <c r="AC986">
        <f>_xlfn.XLOOKUP(AB986,'[1]GST Codes'!$A:$A,'[1]GST Codes'!$C:$C,0,0)</f>
        <v>18</v>
      </c>
      <c r="AD986">
        <f t="shared" si="31"/>
        <v>606815</v>
      </c>
      <c r="AE986" t="s">
        <v>13</v>
      </c>
      <c r="AF986" t="s">
        <v>0</v>
      </c>
      <c r="AG986" t="s">
        <v>14</v>
      </c>
      <c r="AH986" t="s">
        <v>15</v>
      </c>
      <c r="AI986" t="s">
        <v>85</v>
      </c>
      <c r="AJ986" t="s">
        <v>17</v>
      </c>
      <c r="AK986" t="s">
        <v>18</v>
      </c>
      <c r="AL986" t="s">
        <v>19</v>
      </c>
      <c r="AM986" t="s">
        <v>474</v>
      </c>
      <c r="AN986" t="s">
        <v>0</v>
      </c>
      <c r="AO986" t="s">
        <v>0</v>
      </c>
      <c r="AP986" t="s">
        <v>0</v>
      </c>
      <c r="AQ986" s="3">
        <v>8.5</v>
      </c>
      <c r="AR986" t="s">
        <v>11</v>
      </c>
      <c r="AS986" t="s">
        <v>0</v>
      </c>
      <c r="AT986" t="s">
        <v>17</v>
      </c>
      <c r="AU986" s="4">
        <v>0</v>
      </c>
      <c r="AV986" s="4">
        <v>0</v>
      </c>
      <c r="AW986" s="4">
        <v>0</v>
      </c>
      <c r="AX986" s="4">
        <v>0</v>
      </c>
      <c r="AY986" s="5">
        <v>0</v>
      </c>
      <c r="AZ986" s="5">
        <v>0</v>
      </c>
      <c r="BA986" s="5">
        <v>0</v>
      </c>
      <c r="BB986" s="2"/>
      <c r="BC986" t="s">
        <v>0</v>
      </c>
      <c r="BD986" s="5">
        <v>1</v>
      </c>
      <c r="BE986" t="s">
        <v>0</v>
      </c>
      <c r="BF986" t="s">
        <v>476</v>
      </c>
      <c r="BG986" t="s">
        <v>17</v>
      </c>
      <c r="BH986" t="s">
        <v>0</v>
      </c>
      <c r="BI986" t="s">
        <v>11</v>
      </c>
      <c r="BJ986" t="s">
        <v>0</v>
      </c>
      <c r="BK986" t="s">
        <v>0</v>
      </c>
      <c r="BL986" s="5">
        <v>0</v>
      </c>
      <c r="BM986" t="s">
        <v>0</v>
      </c>
      <c r="BN986" t="s">
        <v>0</v>
      </c>
      <c r="BO986" t="s">
        <v>0</v>
      </c>
      <c r="BP986" t="s">
        <v>17</v>
      </c>
      <c r="BQ986" t="s">
        <v>0</v>
      </c>
      <c r="BR986" t="s">
        <v>17</v>
      </c>
      <c r="BS986" t="s">
        <v>17</v>
      </c>
      <c r="BT986" t="s">
        <v>0</v>
      </c>
      <c r="BU986" t="s">
        <v>0</v>
      </c>
      <c r="BV986" t="s">
        <v>0</v>
      </c>
      <c r="BW986" t="s">
        <v>0</v>
      </c>
      <c r="BX986" t="s">
        <v>0</v>
      </c>
      <c r="BY986" t="s">
        <v>0</v>
      </c>
      <c r="BZ986" t="s">
        <v>0</v>
      </c>
      <c r="CA986" t="s">
        <v>0</v>
      </c>
      <c r="CB986" t="s">
        <v>0</v>
      </c>
    </row>
    <row r="987" spans="1:80" ht="13.95" customHeight="1" x14ac:dyDescent="0.25">
      <c r="A987" t="s">
        <v>480</v>
      </c>
      <c r="B987" s="2">
        <v>46122</v>
      </c>
      <c r="C987" s="2">
        <v>46122</v>
      </c>
      <c r="D987" s="2">
        <v>46152</v>
      </c>
      <c r="E987" t="s">
        <v>2</v>
      </c>
      <c r="F987" t="s">
        <v>3</v>
      </c>
      <c r="G987" t="s">
        <v>0</v>
      </c>
      <c r="H987" t="s">
        <v>4</v>
      </c>
      <c r="I987" t="s">
        <v>474</v>
      </c>
      <c r="J987" t="s">
        <v>6</v>
      </c>
      <c r="K987" t="s">
        <v>88</v>
      </c>
      <c r="L987" t="s">
        <v>39</v>
      </c>
      <c r="M987" t="s">
        <v>40</v>
      </c>
      <c r="N987" t="s">
        <v>10</v>
      </c>
      <c r="O987" t="s">
        <v>0</v>
      </c>
      <c r="P987" t="s">
        <v>11</v>
      </c>
      <c r="Q987" s="3">
        <v>8.5</v>
      </c>
      <c r="R987" s="4">
        <v>60500</v>
      </c>
      <c r="S987" s="5">
        <v>1</v>
      </c>
      <c r="T987" s="4">
        <v>514250</v>
      </c>
      <c r="U987" s="5">
        <v>0</v>
      </c>
      <c r="V987" s="4">
        <v>0</v>
      </c>
      <c r="W987" s="5">
        <v>0</v>
      </c>
      <c r="X987" s="4">
        <v>0</v>
      </c>
      <c r="Y987" s="4">
        <f t="shared" si="30"/>
        <v>514250</v>
      </c>
      <c r="Z987" s="6" t="s">
        <v>0</v>
      </c>
      <c r="AA987" t="s">
        <v>2</v>
      </c>
      <c r="AB987" t="s">
        <v>12</v>
      </c>
      <c r="AC987">
        <f>_xlfn.XLOOKUP(AB987,'[1]GST Codes'!$A:$A,'[1]GST Codes'!$C:$C,0,0)</f>
        <v>18</v>
      </c>
      <c r="AD987">
        <f t="shared" si="31"/>
        <v>606815</v>
      </c>
      <c r="AE987" t="s">
        <v>13</v>
      </c>
      <c r="AF987" t="s">
        <v>0</v>
      </c>
      <c r="AG987" t="s">
        <v>14</v>
      </c>
      <c r="AH987" t="s">
        <v>15</v>
      </c>
      <c r="AI987" t="s">
        <v>85</v>
      </c>
      <c r="AJ987" t="s">
        <v>17</v>
      </c>
      <c r="AK987" t="s">
        <v>18</v>
      </c>
      <c r="AL987" t="s">
        <v>19</v>
      </c>
      <c r="AM987" t="s">
        <v>474</v>
      </c>
      <c r="AN987" t="s">
        <v>0</v>
      </c>
      <c r="AO987" t="s">
        <v>0</v>
      </c>
      <c r="AP987" t="s">
        <v>0</v>
      </c>
      <c r="AQ987" s="3">
        <v>8.5</v>
      </c>
      <c r="AR987" t="s">
        <v>11</v>
      </c>
      <c r="AS987" t="s">
        <v>0</v>
      </c>
      <c r="AT987" t="s">
        <v>17</v>
      </c>
      <c r="AU987" s="4">
        <v>0</v>
      </c>
      <c r="AV987" s="4">
        <v>0</v>
      </c>
      <c r="AW987" s="4">
        <v>0</v>
      </c>
      <c r="AX987" s="4">
        <v>0</v>
      </c>
      <c r="AY987" s="5">
        <v>0</v>
      </c>
      <c r="AZ987" s="5">
        <v>0</v>
      </c>
      <c r="BA987" s="5">
        <v>0</v>
      </c>
      <c r="BB987" s="2"/>
      <c r="BC987" t="s">
        <v>0</v>
      </c>
      <c r="BD987" s="5">
        <v>1</v>
      </c>
      <c r="BE987" t="s">
        <v>0</v>
      </c>
      <c r="BF987" t="s">
        <v>476</v>
      </c>
      <c r="BG987" t="s">
        <v>17</v>
      </c>
      <c r="BH987" t="s">
        <v>0</v>
      </c>
      <c r="BI987" t="s">
        <v>11</v>
      </c>
      <c r="BJ987" t="s">
        <v>0</v>
      </c>
      <c r="BK987" t="s">
        <v>0</v>
      </c>
      <c r="BL987" s="5">
        <v>0</v>
      </c>
      <c r="BM987" t="s">
        <v>0</v>
      </c>
      <c r="BN987" t="s">
        <v>0</v>
      </c>
      <c r="BO987" t="s">
        <v>0</v>
      </c>
      <c r="BP987" t="s">
        <v>17</v>
      </c>
      <c r="BQ987" t="s">
        <v>0</v>
      </c>
      <c r="BR987" t="s">
        <v>17</v>
      </c>
      <c r="BS987" t="s">
        <v>17</v>
      </c>
      <c r="BT987" t="s">
        <v>0</v>
      </c>
      <c r="BU987" t="s">
        <v>0</v>
      </c>
      <c r="BV987" t="s">
        <v>0</v>
      </c>
      <c r="BW987" t="s">
        <v>0</v>
      </c>
      <c r="BX987" t="s">
        <v>0</v>
      </c>
      <c r="BY987" t="s">
        <v>0</v>
      </c>
      <c r="BZ987" t="s">
        <v>0</v>
      </c>
      <c r="CA987" t="s">
        <v>0</v>
      </c>
      <c r="CB987" t="s">
        <v>0</v>
      </c>
    </row>
    <row r="988" spans="1:80" ht="13.95" customHeight="1" x14ac:dyDescent="0.25">
      <c r="A988" t="s">
        <v>480</v>
      </c>
      <c r="B988" s="2">
        <v>46122</v>
      </c>
      <c r="C988" s="2">
        <v>46122</v>
      </c>
      <c r="D988" s="2">
        <v>46152</v>
      </c>
      <c r="E988" t="s">
        <v>2</v>
      </c>
      <c r="F988" t="s">
        <v>3</v>
      </c>
      <c r="G988" t="s">
        <v>0</v>
      </c>
      <c r="H988" t="s">
        <v>4</v>
      </c>
      <c r="I988" t="s">
        <v>474</v>
      </c>
      <c r="J988" t="s">
        <v>6</v>
      </c>
      <c r="K988" t="s">
        <v>89</v>
      </c>
      <c r="L988" t="s">
        <v>39</v>
      </c>
      <c r="M988" t="s">
        <v>40</v>
      </c>
      <c r="N988" t="s">
        <v>10</v>
      </c>
      <c r="O988" t="s">
        <v>0</v>
      </c>
      <c r="P988" t="s">
        <v>11</v>
      </c>
      <c r="Q988" s="3">
        <v>9.5</v>
      </c>
      <c r="R988" s="4">
        <v>60500</v>
      </c>
      <c r="S988" s="5">
        <v>1</v>
      </c>
      <c r="T988" s="4">
        <v>574750</v>
      </c>
      <c r="U988" s="5">
        <v>0</v>
      </c>
      <c r="V988" s="4">
        <v>0</v>
      </c>
      <c r="W988" s="5">
        <v>0</v>
      </c>
      <c r="X988" s="4">
        <v>0</v>
      </c>
      <c r="Y988" s="4">
        <f t="shared" si="30"/>
        <v>574750</v>
      </c>
      <c r="Z988" s="6" t="s">
        <v>0</v>
      </c>
      <c r="AA988" t="s">
        <v>2</v>
      </c>
      <c r="AB988" t="s">
        <v>12</v>
      </c>
      <c r="AC988">
        <f>_xlfn.XLOOKUP(AB988,'[1]GST Codes'!$A:$A,'[1]GST Codes'!$C:$C,0,0)</f>
        <v>18</v>
      </c>
      <c r="AD988">
        <f t="shared" si="31"/>
        <v>678205</v>
      </c>
      <c r="AE988" t="s">
        <v>13</v>
      </c>
      <c r="AF988" t="s">
        <v>0</v>
      </c>
      <c r="AG988" t="s">
        <v>14</v>
      </c>
      <c r="AH988" t="s">
        <v>15</v>
      </c>
      <c r="AI988" t="s">
        <v>85</v>
      </c>
      <c r="AJ988" t="s">
        <v>17</v>
      </c>
      <c r="AK988" t="s">
        <v>18</v>
      </c>
      <c r="AL988" t="s">
        <v>19</v>
      </c>
      <c r="AM988" t="s">
        <v>474</v>
      </c>
      <c r="AN988" t="s">
        <v>0</v>
      </c>
      <c r="AO988" t="s">
        <v>0</v>
      </c>
      <c r="AP988" t="s">
        <v>0</v>
      </c>
      <c r="AQ988" s="3">
        <v>9.5</v>
      </c>
      <c r="AR988" t="s">
        <v>11</v>
      </c>
      <c r="AS988" t="s">
        <v>0</v>
      </c>
      <c r="AT988" t="s">
        <v>17</v>
      </c>
      <c r="AU988" s="4">
        <v>0</v>
      </c>
      <c r="AV988" s="4">
        <v>0</v>
      </c>
      <c r="AW988" s="4">
        <v>0</v>
      </c>
      <c r="AX988" s="4">
        <v>0</v>
      </c>
      <c r="AY988" s="5">
        <v>0</v>
      </c>
      <c r="AZ988" s="5">
        <v>0</v>
      </c>
      <c r="BA988" s="5">
        <v>0</v>
      </c>
      <c r="BB988" s="2"/>
      <c r="BC988" t="s">
        <v>0</v>
      </c>
      <c r="BD988" s="5">
        <v>1</v>
      </c>
      <c r="BE988" t="s">
        <v>0</v>
      </c>
      <c r="BF988" t="s">
        <v>476</v>
      </c>
      <c r="BG988" t="s">
        <v>17</v>
      </c>
      <c r="BH988" t="s">
        <v>0</v>
      </c>
      <c r="BI988" t="s">
        <v>11</v>
      </c>
      <c r="BJ988" t="s">
        <v>0</v>
      </c>
      <c r="BK988" t="s">
        <v>0</v>
      </c>
      <c r="BL988" s="5">
        <v>0</v>
      </c>
      <c r="BM988" t="s">
        <v>0</v>
      </c>
      <c r="BN988" t="s">
        <v>0</v>
      </c>
      <c r="BO988" t="s">
        <v>0</v>
      </c>
      <c r="BP988" t="s">
        <v>17</v>
      </c>
      <c r="BQ988" t="s">
        <v>0</v>
      </c>
      <c r="BR988" t="s">
        <v>17</v>
      </c>
      <c r="BS988" t="s">
        <v>17</v>
      </c>
      <c r="BT988" t="s">
        <v>0</v>
      </c>
      <c r="BU988" t="s">
        <v>0</v>
      </c>
      <c r="BV988" t="s">
        <v>0</v>
      </c>
      <c r="BW988" t="s">
        <v>0</v>
      </c>
      <c r="BX988" t="s">
        <v>0</v>
      </c>
      <c r="BY988" t="s">
        <v>0</v>
      </c>
      <c r="BZ988" t="s">
        <v>0</v>
      </c>
      <c r="CA988" t="s">
        <v>0</v>
      </c>
      <c r="CB988" t="s">
        <v>0</v>
      </c>
    </row>
    <row r="989" spans="1:80" ht="13.95" customHeight="1" x14ac:dyDescent="0.25">
      <c r="A989" t="s">
        <v>480</v>
      </c>
      <c r="B989" s="2">
        <v>46122</v>
      </c>
      <c r="C989" s="2">
        <v>46122</v>
      </c>
      <c r="D989" s="2">
        <v>46152</v>
      </c>
      <c r="E989" t="s">
        <v>2</v>
      </c>
      <c r="F989" t="s">
        <v>3</v>
      </c>
      <c r="G989" t="s">
        <v>0</v>
      </c>
      <c r="H989" t="s">
        <v>4</v>
      </c>
      <c r="I989" t="s">
        <v>474</v>
      </c>
      <c r="J989" t="s">
        <v>6</v>
      </c>
      <c r="K989" t="s">
        <v>90</v>
      </c>
      <c r="L989" t="s">
        <v>39</v>
      </c>
      <c r="M989" t="s">
        <v>40</v>
      </c>
      <c r="N989" t="s">
        <v>10</v>
      </c>
      <c r="O989" t="s">
        <v>0</v>
      </c>
      <c r="P989" t="s">
        <v>11</v>
      </c>
      <c r="Q989" s="3">
        <v>6.5</v>
      </c>
      <c r="R989" s="4">
        <v>60500</v>
      </c>
      <c r="S989" s="5">
        <v>1</v>
      </c>
      <c r="T989" s="4">
        <v>393250</v>
      </c>
      <c r="U989" s="5">
        <v>0</v>
      </c>
      <c r="V989" s="4">
        <v>0</v>
      </c>
      <c r="W989" s="5">
        <v>0</v>
      </c>
      <c r="X989" s="4">
        <v>0</v>
      </c>
      <c r="Y989" s="4">
        <f t="shared" si="30"/>
        <v>393250</v>
      </c>
      <c r="Z989" s="6" t="s">
        <v>0</v>
      </c>
      <c r="AA989" t="s">
        <v>2</v>
      </c>
      <c r="AB989" t="s">
        <v>12</v>
      </c>
      <c r="AC989">
        <f>_xlfn.XLOOKUP(AB989,'[1]GST Codes'!$A:$A,'[1]GST Codes'!$C:$C,0,0)</f>
        <v>18</v>
      </c>
      <c r="AD989">
        <f t="shared" si="31"/>
        <v>464035</v>
      </c>
      <c r="AE989" t="s">
        <v>13</v>
      </c>
      <c r="AF989" t="s">
        <v>0</v>
      </c>
      <c r="AG989" t="s">
        <v>14</v>
      </c>
      <c r="AH989" t="s">
        <v>15</v>
      </c>
      <c r="AI989" t="s">
        <v>85</v>
      </c>
      <c r="AJ989" t="s">
        <v>17</v>
      </c>
      <c r="AK989" t="s">
        <v>18</v>
      </c>
      <c r="AL989" t="s">
        <v>19</v>
      </c>
      <c r="AM989" t="s">
        <v>474</v>
      </c>
      <c r="AN989" t="s">
        <v>0</v>
      </c>
      <c r="AO989" t="s">
        <v>0</v>
      </c>
      <c r="AP989" t="s">
        <v>0</v>
      </c>
      <c r="AQ989" s="3">
        <v>6.5</v>
      </c>
      <c r="AR989" t="s">
        <v>11</v>
      </c>
      <c r="AS989" t="s">
        <v>0</v>
      </c>
      <c r="AT989" t="s">
        <v>17</v>
      </c>
      <c r="AU989" s="4">
        <v>0</v>
      </c>
      <c r="AV989" s="4">
        <v>0</v>
      </c>
      <c r="AW989" s="4">
        <v>0</v>
      </c>
      <c r="AX989" s="4">
        <v>0</v>
      </c>
      <c r="AY989" s="5">
        <v>0</v>
      </c>
      <c r="AZ989" s="5">
        <v>0</v>
      </c>
      <c r="BA989" s="5">
        <v>0</v>
      </c>
      <c r="BB989" s="2"/>
      <c r="BC989" t="s">
        <v>0</v>
      </c>
      <c r="BD989" s="5">
        <v>1</v>
      </c>
      <c r="BE989" t="s">
        <v>0</v>
      </c>
      <c r="BF989" t="s">
        <v>476</v>
      </c>
      <c r="BG989" t="s">
        <v>17</v>
      </c>
      <c r="BH989" t="s">
        <v>0</v>
      </c>
      <c r="BI989" t="s">
        <v>11</v>
      </c>
      <c r="BJ989" t="s">
        <v>0</v>
      </c>
      <c r="BK989" t="s">
        <v>0</v>
      </c>
      <c r="BL989" s="5">
        <v>0</v>
      </c>
      <c r="BM989" t="s">
        <v>0</v>
      </c>
      <c r="BN989" t="s">
        <v>0</v>
      </c>
      <c r="BO989" t="s">
        <v>0</v>
      </c>
      <c r="BP989" t="s">
        <v>17</v>
      </c>
      <c r="BQ989" t="s">
        <v>0</v>
      </c>
      <c r="BR989" t="s">
        <v>17</v>
      </c>
      <c r="BS989" t="s">
        <v>17</v>
      </c>
      <c r="BT989" t="s">
        <v>0</v>
      </c>
      <c r="BU989" t="s">
        <v>0</v>
      </c>
      <c r="BV989" t="s">
        <v>0</v>
      </c>
      <c r="BW989" t="s">
        <v>0</v>
      </c>
      <c r="BX989" t="s">
        <v>0</v>
      </c>
      <c r="BY989" t="s">
        <v>0</v>
      </c>
      <c r="BZ989" t="s">
        <v>0</v>
      </c>
      <c r="CA989" t="s">
        <v>0</v>
      </c>
      <c r="CB989" t="s">
        <v>0</v>
      </c>
    </row>
    <row r="990" spans="1:80" ht="13.95" customHeight="1" x14ac:dyDescent="0.25">
      <c r="A990" t="s">
        <v>480</v>
      </c>
      <c r="B990" s="2">
        <v>46122</v>
      </c>
      <c r="C990" s="2">
        <v>46122</v>
      </c>
      <c r="D990" s="2">
        <v>46152</v>
      </c>
      <c r="E990" t="s">
        <v>2</v>
      </c>
      <c r="F990" t="s">
        <v>3</v>
      </c>
      <c r="G990" t="s">
        <v>0</v>
      </c>
      <c r="H990" t="s">
        <v>4</v>
      </c>
      <c r="I990" t="s">
        <v>474</v>
      </c>
      <c r="J990" t="s">
        <v>6</v>
      </c>
      <c r="K990" t="s">
        <v>177</v>
      </c>
      <c r="L990" t="s">
        <v>43</v>
      </c>
      <c r="M990" t="s">
        <v>44</v>
      </c>
      <c r="N990" t="s">
        <v>10</v>
      </c>
      <c r="O990" t="s">
        <v>0</v>
      </c>
      <c r="P990" t="s">
        <v>11</v>
      </c>
      <c r="Q990" s="5">
        <v>14</v>
      </c>
      <c r="R990" s="4">
        <v>60500</v>
      </c>
      <c r="S990" s="5">
        <v>1</v>
      </c>
      <c r="T990" s="4">
        <v>847000</v>
      </c>
      <c r="U990" s="5">
        <v>0</v>
      </c>
      <c r="V990" s="4">
        <v>0</v>
      </c>
      <c r="W990" s="5">
        <v>0</v>
      </c>
      <c r="X990" s="4">
        <v>0</v>
      </c>
      <c r="Y990" s="4">
        <f t="shared" si="30"/>
        <v>847000</v>
      </c>
      <c r="Z990" s="6" t="s">
        <v>0</v>
      </c>
      <c r="AA990" t="s">
        <v>2</v>
      </c>
      <c r="AB990" t="s">
        <v>12</v>
      </c>
      <c r="AC990">
        <f>_xlfn.XLOOKUP(AB990,'[1]GST Codes'!$A:$A,'[1]GST Codes'!$C:$C,0,0)</f>
        <v>18</v>
      </c>
      <c r="AD990">
        <f t="shared" si="31"/>
        <v>999460</v>
      </c>
      <c r="AE990" t="s">
        <v>13</v>
      </c>
      <c r="AF990" t="s">
        <v>0</v>
      </c>
      <c r="AG990" t="s">
        <v>14</v>
      </c>
      <c r="AH990" t="s">
        <v>15</v>
      </c>
      <c r="AI990" t="s">
        <v>85</v>
      </c>
      <c r="AJ990" t="s">
        <v>17</v>
      </c>
      <c r="AK990" t="s">
        <v>18</v>
      </c>
      <c r="AL990" t="s">
        <v>19</v>
      </c>
      <c r="AM990" t="s">
        <v>474</v>
      </c>
      <c r="AN990" t="s">
        <v>0</v>
      </c>
      <c r="AO990" t="s">
        <v>0</v>
      </c>
      <c r="AP990" t="s">
        <v>0</v>
      </c>
      <c r="AQ990" s="5">
        <v>14</v>
      </c>
      <c r="AR990" t="s">
        <v>11</v>
      </c>
      <c r="AS990" t="s">
        <v>0</v>
      </c>
      <c r="AT990" t="s">
        <v>17</v>
      </c>
      <c r="AU990" s="4">
        <v>0</v>
      </c>
      <c r="AV990" s="4">
        <v>0</v>
      </c>
      <c r="AW990" s="4">
        <v>0</v>
      </c>
      <c r="AX990" s="4">
        <v>0</v>
      </c>
      <c r="AY990" s="5">
        <v>0</v>
      </c>
      <c r="AZ990" s="5">
        <v>0</v>
      </c>
      <c r="BA990" s="5">
        <v>0</v>
      </c>
      <c r="BB990" s="2"/>
      <c r="BC990" t="s">
        <v>0</v>
      </c>
      <c r="BD990" s="5">
        <v>1</v>
      </c>
      <c r="BE990" t="s">
        <v>0</v>
      </c>
      <c r="BF990" t="s">
        <v>477</v>
      </c>
      <c r="BG990" t="s">
        <v>17</v>
      </c>
      <c r="BH990" t="s">
        <v>0</v>
      </c>
      <c r="BI990" t="s">
        <v>11</v>
      </c>
      <c r="BJ990" t="s">
        <v>0</v>
      </c>
      <c r="BK990" t="s">
        <v>0</v>
      </c>
      <c r="BL990" s="5">
        <v>0</v>
      </c>
      <c r="BM990" t="s">
        <v>0</v>
      </c>
      <c r="BN990" t="s">
        <v>0</v>
      </c>
      <c r="BO990" t="s">
        <v>0</v>
      </c>
      <c r="BP990" t="s">
        <v>17</v>
      </c>
      <c r="BQ990" t="s">
        <v>0</v>
      </c>
      <c r="BR990" t="s">
        <v>17</v>
      </c>
      <c r="BS990" t="s">
        <v>17</v>
      </c>
      <c r="BT990" t="s">
        <v>0</v>
      </c>
      <c r="BU990" t="s">
        <v>0</v>
      </c>
      <c r="BV990" t="s">
        <v>0</v>
      </c>
      <c r="BW990" t="s">
        <v>0</v>
      </c>
      <c r="BX990" t="s">
        <v>0</v>
      </c>
      <c r="BY990" t="s">
        <v>0</v>
      </c>
      <c r="BZ990" t="s">
        <v>0</v>
      </c>
      <c r="CA990" t="s">
        <v>0</v>
      </c>
      <c r="CB990" t="s">
        <v>0</v>
      </c>
    </row>
    <row r="991" spans="1:80" ht="13.95" customHeight="1" x14ac:dyDescent="0.25">
      <c r="A991" t="s">
        <v>480</v>
      </c>
      <c r="B991" s="2">
        <v>46122</v>
      </c>
      <c r="C991" s="2">
        <v>46122</v>
      </c>
      <c r="D991" s="2">
        <v>46152</v>
      </c>
      <c r="E991" t="s">
        <v>2</v>
      </c>
      <c r="F991" t="s">
        <v>3</v>
      </c>
      <c r="G991" t="s">
        <v>0</v>
      </c>
      <c r="H991" t="s">
        <v>4</v>
      </c>
      <c r="I991" t="s">
        <v>474</v>
      </c>
      <c r="J991" t="s">
        <v>6</v>
      </c>
      <c r="K991" t="s">
        <v>181</v>
      </c>
      <c r="L991" t="s">
        <v>43</v>
      </c>
      <c r="M991" t="s">
        <v>44</v>
      </c>
      <c r="N991" t="s">
        <v>10</v>
      </c>
      <c r="O991" t="s">
        <v>0</v>
      </c>
      <c r="P991" t="s">
        <v>11</v>
      </c>
      <c r="Q991" s="5">
        <v>14</v>
      </c>
      <c r="R991" s="4">
        <v>60500</v>
      </c>
      <c r="S991" s="5">
        <v>1</v>
      </c>
      <c r="T991" s="4">
        <v>847000</v>
      </c>
      <c r="U991" s="5">
        <v>0</v>
      </c>
      <c r="V991" s="4">
        <v>0</v>
      </c>
      <c r="W991" s="5">
        <v>0</v>
      </c>
      <c r="X991" s="4">
        <v>0</v>
      </c>
      <c r="Y991" s="4">
        <f t="shared" si="30"/>
        <v>847000</v>
      </c>
      <c r="Z991" s="6" t="s">
        <v>0</v>
      </c>
      <c r="AA991" t="s">
        <v>2</v>
      </c>
      <c r="AB991" t="s">
        <v>12</v>
      </c>
      <c r="AC991">
        <f>_xlfn.XLOOKUP(AB991,'[1]GST Codes'!$A:$A,'[1]GST Codes'!$C:$C,0,0)</f>
        <v>18</v>
      </c>
      <c r="AD991">
        <f t="shared" si="31"/>
        <v>999460</v>
      </c>
      <c r="AE991" t="s">
        <v>13</v>
      </c>
      <c r="AF991" t="s">
        <v>0</v>
      </c>
      <c r="AG991" t="s">
        <v>14</v>
      </c>
      <c r="AH991" t="s">
        <v>15</v>
      </c>
      <c r="AI991" t="s">
        <v>85</v>
      </c>
      <c r="AJ991" t="s">
        <v>17</v>
      </c>
      <c r="AK991" t="s">
        <v>18</v>
      </c>
      <c r="AL991" t="s">
        <v>19</v>
      </c>
      <c r="AM991" t="s">
        <v>474</v>
      </c>
      <c r="AN991" t="s">
        <v>0</v>
      </c>
      <c r="AO991" t="s">
        <v>0</v>
      </c>
      <c r="AP991" t="s">
        <v>0</v>
      </c>
      <c r="AQ991" s="5">
        <v>14</v>
      </c>
      <c r="AR991" t="s">
        <v>11</v>
      </c>
      <c r="AS991" t="s">
        <v>0</v>
      </c>
      <c r="AT991" t="s">
        <v>17</v>
      </c>
      <c r="AU991" s="4">
        <v>0</v>
      </c>
      <c r="AV991" s="4">
        <v>0</v>
      </c>
      <c r="AW991" s="4">
        <v>0</v>
      </c>
      <c r="AX991" s="4">
        <v>0</v>
      </c>
      <c r="AY991" s="5">
        <v>0</v>
      </c>
      <c r="AZ991" s="5">
        <v>0</v>
      </c>
      <c r="BA991" s="5">
        <v>0</v>
      </c>
      <c r="BB991" s="2"/>
      <c r="BC991" t="s">
        <v>0</v>
      </c>
      <c r="BD991" s="5">
        <v>1</v>
      </c>
      <c r="BE991" t="s">
        <v>0</v>
      </c>
      <c r="BF991" t="s">
        <v>477</v>
      </c>
      <c r="BG991" t="s">
        <v>17</v>
      </c>
      <c r="BH991" t="s">
        <v>0</v>
      </c>
      <c r="BI991" t="s">
        <v>11</v>
      </c>
      <c r="BJ991" t="s">
        <v>0</v>
      </c>
      <c r="BK991" t="s">
        <v>0</v>
      </c>
      <c r="BL991" s="5">
        <v>0</v>
      </c>
      <c r="BM991" t="s">
        <v>0</v>
      </c>
      <c r="BN991" t="s">
        <v>0</v>
      </c>
      <c r="BO991" t="s">
        <v>0</v>
      </c>
      <c r="BP991" t="s">
        <v>17</v>
      </c>
      <c r="BQ991" t="s">
        <v>0</v>
      </c>
      <c r="BR991" t="s">
        <v>17</v>
      </c>
      <c r="BS991" t="s">
        <v>17</v>
      </c>
      <c r="BT991" t="s">
        <v>0</v>
      </c>
      <c r="BU991" t="s">
        <v>0</v>
      </c>
      <c r="BV991" t="s">
        <v>0</v>
      </c>
      <c r="BW991" t="s">
        <v>0</v>
      </c>
      <c r="BX991" t="s">
        <v>0</v>
      </c>
      <c r="BY991" t="s">
        <v>0</v>
      </c>
      <c r="BZ991" t="s">
        <v>0</v>
      </c>
      <c r="CA991" t="s">
        <v>0</v>
      </c>
      <c r="CB991" t="s">
        <v>0</v>
      </c>
    </row>
    <row r="992" spans="1:80" ht="13.95" customHeight="1" x14ac:dyDescent="0.25">
      <c r="A992" t="s">
        <v>480</v>
      </c>
      <c r="B992" s="2">
        <v>46122</v>
      </c>
      <c r="C992" s="2">
        <v>46122</v>
      </c>
      <c r="D992" s="2">
        <v>46152</v>
      </c>
      <c r="E992" t="s">
        <v>2</v>
      </c>
      <c r="F992" t="s">
        <v>3</v>
      </c>
      <c r="G992" t="s">
        <v>0</v>
      </c>
      <c r="H992" t="s">
        <v>4</v>
      </c>
      <c r="I992" t="s">
        <v>474</v>
      </c>
      <c r="J992" t="s">
        <v>6</v>
      </c>
      <c r="K992" t="s">
        <v>185</v>
      </c>
      <c r="L992" t="s">
        <v>43</v>
      </c>
      <c r="M992" t="s">
        <v>44</v>
      </c>
      <c r="N992" t="s">
        <v>10</v>
      </c>
      <c r="O992" t="s">
        <v>0</v>
      </c>
      <c r="P992" t="s">
        <v>11</v>
      </c>
      <c r="Q992" s="5">
        <v>13</v>
      </c>
      <c r="R992" s="4">
        <v>60500</v>
      </c>
      <c r="S992" s="5">
        <v>1</v>
      </c>
      <c r="T992" s="4">
        <v>786500</v>
      </c>
      <c r="U992" s="5">
        <v>0</v>
      </c>
      <c r="V992" s="4">
        <v>0</v>
      </c>
      <c r="W992" s="5">
        <v>0</v>
      </c>
      <c r="X992" s="4">
        <v>0</v>
      </c>
      <c r="Y992" s="4">
        <f t="shared" si="30"/>
        <v>786500</v>
      </c>
      <c r="Z992" s="6" t="s">
        <v>0</v>
      </c>
      <c r="AA992" t="s">
        <v>2</v>
      </c>
      <c r="AB992" t="s">
        <v>12</v>
      </c>
      <c r="AC992">
        <f>_xlfn.XLOOKUP(AB992,'[1]GST Codes'!$A:$A,'[1]GST Codes'!$C:$C,0,0)</f>
        <v>18</v>
      </c>
      <c r="AD992">
        <f t="shared" si="31"/>
        <v>928070</v>
      </c>
      <c r="AE992" t="s">
        <v>13</v>
      </c>
      <c r="AF992" t="s">
        <v>0</v>
      </c>
      <c r="AG992" t="s">
        <v>14</v>
      </c>
      <c r="AH992" t="s">
        <v>15</v>
      </c>
      <c r="AI992" t="s">
        <v>85</v>
      </c>
      <c r="AJ992" t="s">
        <v>17</v>
      </c>
      <c r="AK992" t="s">
        <v>18</v>
      </c>
      <c r="AL992" t="s">
        <v>19</v>
      </c>
      <c r="AM992" t="s">
        <v>474</v>
      </c>
      <c r="AN992" t="s">
        <v>0</v>
      </c>
      <c r="AO992" t="s">
        <v>0</v>
      </c>
      <c r="AP992" t="s">
        <v>0</v>
      </c>
      <c r="AQ992" s="5">
        <v>13</v>
      </c>
      <c r="AR992" t="s">
        <v>11</v>
      </c>
      <c r="AS992" t="s">
        <v>0</v>
      </c>
      <c r="AT992" t="s">
        <v>17</v>
      </c>
      <c r="AU992" s="4">
        <v>0</v>
      </c>
      <c r="AV992" s="4">
        <v>0</v>
      </c>
      <c r="AW992" s="4">
        <v>0</v>
      </c>
      <c r="AX992" s="4">
        <v>0</v>
      </c>
      <c r="AY992" s="5">
        <v>0</v>
      </c>
      <c r="AZ992" s="5">
        <v>0</v>
      </c>
      <c r="BA992" s="5">
        <v>0</v>
      </c>
      <c r="BB992" s="2"/>
      <c r="BC992" t="s">
        <v>0</v>
      </c>
      <c r="BD992" s="5">
        <v>1</v>
      </c>
      <c r="BE992" t="s">
        <v>0</v>
      </c>
      <c r="BF992" t="s">
        <v>477</v>
      </c>
      <c r="BG992" t="s">
        <v>17</v>
      </c>
      <c r="BH992" t="s">
        <v>0</v>
      </c>
      <c r="BI992" t="s">
        <v>11</v>
      </c>
      <c r="BJ992" t="s">
        <v>0</v>
      </c>
      <c r="BK992" t="s">
        <v>0</v>
      </c>
      <c r="BL992" s="5">
        <v>0</v>
      </c>
      <c r="BM992" t="s">
        <v>0</v>
      </c>
      <c r="BN992" t="s">
        <v>0</v>
      </c>
      <c r="BO992" t="s">
        <v>0</v>
      </c>
      <c r="BP992" t="s">
        <v>17</v>
      </c>
      <c r="BQ992" t="s">
        <v>0</v>
      </c>
      <c r="BR992" t="s">
        <v>17</v>
      </c>
      <c r="BS992" t="s">
        <v>17</v>
      </c>
      <c r="BT992" t="s">
        <v>0</v>
      </c>
      <c r="BU992" t="s">
        <v>0</v>
      </c>
      <c r="BV992" t="s">
        <v>0</v>
      </c>
      <c r="BW992" t="s">
        <v>0</v>
      </c>
      <c r="BX992" t="s">
        <v>0</v>
      </c>
      <c r="BY992" t="s">
        <v>0</v>
      </c>
      <c r="BZ992" t="s">
        <v>0</v>
      </c>
      <c r="CA992" t="s">
        <v>0</v>
      </c>
      <c r="CB992" t="s">
        <v>0</v>
      </c>
    </row>
    <row r="993" spans="1:80" ht="13.95" customHeight="1" x14ac:dyDescent="0.25">
      <c r="A993" t="s">
        <v>480</v>
      </c>
      <c r="B993" s="2">
        <v>46122</v>
      </c>
      <c r="C993" s="2">
        <v>46122</v>
      </c>
      <c r="D993" s="2">
        <v>46152</v>
      </c>
      <c r="E993" t="s">
        <v>2</v>
      </c>
      <c r="F993" t="s">
        <v>3</v>
      </c>
      <c r="G993" t="s">
        <v>0</v>
      </c>
      <c r="H993" t="s">
        <v>4</v>
      </c>
      <c r="I993" t="s">
        <v>474</v>
      </c>
      <c r="J993" t="s">
        <v>6</v>
      </c>
      <c r="K993" t="s">
        <v>189</v>
      </c>
      <c r="L993" t="s">
        <v>43</v>
      </c>
      <c r="M993" t="s">
        <v>44</v>
      </c>
      <c r="N993" t="s">
        <v>10</v>
      </c>
      <c r="O993" t="s">
        <v>0</v>
      </c>
      <c r="P993" t="s">
        <v>11</v>
      </c>
      <c r="Q993" s="5">
        <v>13</v>
      </c>
      <c r="R993" s="4">
        <v>60500</v>
      </c>
      <c r="S993" s="5">
        <v>1</v>
      </c>
      <c r="T993" s="4">
        <v>786500</v>
      </c>
      <c r="U993" s="5">
        <v>0</v>
      </c>
      <c r="V993" s="4">
        <v>0</v>
      </c>
      <c r="W993" s="5">
        <v>0</v>
      </c>
      <c r="X993" s="4">
        <v>0</v>
      </c>
      <c r="Y993" s="4">
        <f t="shared" si="30"/>
        <v>786500</v>
      </c>
      <c r="Z993" s="6" t="s">
        <v>0</v>
      </c>
      <c r="AA993" t="s">
        <v>2</v>
      </c>
      <c r="AB993" t="s">
        <v>12</v>
      </c>
      <c r="AC993">
        <f>_xlfn.XLOOKUP(AB993,'[1]GST Codes'!$A:$A,'[1]GST Codes'!$C:$C,0,0)</f>
        <v>18</v>
      </c>
      <c r="AD993">
        <f t="shared" si="31"/>
        <v>928070</v>
      </c>
      <c r="AE993" t="s">
        <v>13</v>
      </c>
      <c r="AF993" t="s">
        <v>0</v>
      </c>
      <c r="AG993" t="s">
        <v>14</v>
      </c>
      <c r="AH993" t="s">
        <v>15</v>
      </c>
      <c r="AI993" t="s">
        <v>85</v>
      </c>
      <c r="AJ993" t="s">
        <v>17</v>
      </c>
      <c r="AK993" t="s">
        <v>18</v>
      </c>
      <c r="AL993" t="s">
        <v>19</v>
      </c>
      <c r="AM993" t="s">
        <v>474</v>
      </c>
      <c r="AN993" t="s">
        <v>0</v>
      </c>
      <c r="AO993" t="s">
        <v>0</v>
      </c>
      <c r="AP993" t="s">
        <v>0</v>
      </c>
      <c r="AQ993" s="5">
        <v>13</v>
      </c>
      <c r="AR993" t="s">
        <v>11</v>
      </c>
      <c r="AS993" t="s">
        <v>0</v>
      </c>
      <c r="AT993" t="s">
        <v>17</v>
      </c>
      <c r="AU993" s="4">
        <v>0</v>
      </c>
      <c r="AV993" s="4">
        <v>0</v>
      </c>
      <c r="AW993" s="4">
        <v>0</v>
      </c>
      <c r="AX993" s="4">
        <v>0</v>
      </c>
      <c r="AY993" s="5">
        <v>0</v>
      </c>
      <c r="AZ993" s="5">
        <v>0</v>
      </c>
      <c r="BA993" s="5">
        <v>0</v>
      </c>
      <c r="BB993" s="2"/>
      <c r="BC993" t="s">
        <v>0</v>
      </c>
      <c r="BD993" s="5">
        <v>1</v>
      </c>
      <c r="BE993" t="s">
        <v>0</v>
      </c>
      <c r="BF993" t="s">
        <v>477</v>
      </c>
      <c r="BG993" t="s">
        <v>17</v>
      </c>
      <c r="BH993" t="s">
        <v>0</v>
      </c>
      <c r="BI993" t="s">
        <v>11</v>
      </c>
      <c r="BJ993" t="s">
        <v>0</v>
      </c>
      <c r="BK993" t="s">
        <v>0</v>
      </c>
      <c r="BL993" s="5">
        <v>0</v>
      </c>
      <c r="BM993" t="s">
        <v>0</v>
      </c>
      <c r="BN993" t="s">
        <v>0</v>
      </c>
      <c r="BO993" t="s">
        <v>0</v>
      </c>
      <c r="BP993" t="s">
        <v>17</v>
      </c>
      <c r="BQ993" t="s">
        <v>0</v>
      </c>
      <c r="BR993" t="s">
        <v>17</v>
      </c>
      <c r="BS993" t="s">
        <v>17</v>
      </c>
      <c r="BT993" t="s">
        <v>0</v>
      </c>
      <c r="BU993" t="s">
        <v>0</v>
      </c>
      <c r="BV993" t="s">
        <v>0</v>
      </c>
      <c r="BW993" t="s">
        <v>0</v>
      </c>
      <c r="BX993" t="s">
        <v>0</v>
      </c>
      <c r="BY993" t="s">
        <v>0</v>
      </c>
      <c r="BZ993" t="s">
        <v>0</v>
      </c>
      <c r="CA993" t="s">
        <v>0</v>
      </c>
      <c r="CB993" t="s">
        <v>0</v>
      </c>
    </row>
    <row r="994" spans="1:80" ht="13.95" customHeight="1" x14ac:dyDescent="0.25">
      <c r="A994" t="s">
        <v>480</v>
      </c>
      <c r="B994" s="2">
        <v>46122</v>
      </c>
      <c r="C994" s="2">
        <v>46122</v>
      </c>
      <c r="D994" s="2">
        <v>46152</v>
      </c>
      <c r="E994" t="s">
        <v>2</v>
      </c>
      <c r="F994" t="s">
        <v>3</v>
      </c>
      <c r="G994" t="s">
        <v>0</v>
      </c>
      <c r="H994" t="s">
        <v>4</v>
      </c>
      <c r="I994" t="s">
        <v>474</v>
      </c>
      <c r="J994" t="s">
        <v>6</v>
      </c>
      <c r="K994" t="s">
        <v>193</v>
      </c>
      <c r="L994" t="s">
        <v>43</v>
      </c>
      <c r="M994" t="s">
        <v>44</v>
      </c>
      <c r="N994" t="s">
        <v>10</v>
      </c>
      <c r="O994" t="s">
        <v>0</v>
      </c>
      <c r="P994" t="s">
        <v>11</v>
      </c>
      <c r="Q994" s="5">
        <v>13</v>
      </c>
      <c r="R994" s="4">
        <v>60500</v>
      </c>
      <c r="S994" s="5">
        <v>1</v>
      </c>
      <c r="T994" s="4">
        <v>786500</v>
      </c>
      <c r="U994" s="5">
        <v>0</v>
      </c>
      <c r="V994" s="4">
        <v>0</v>
      </c>
      <c r="W994" s="5">
        <v>0</v>
      </c>
      <c r="X994" s="4">
        <v>0</v>
      </c>
      <c r="Y994" s="4">
        <f t="shared" si="30"/>
        <v>786500</v>
      </c>
      <c r="Z994" s="6" t="s">
        <v>0</v>
      </c>
      <c r="AA994" t="s">
        <v>2</v>
      </c>
      <c r="AB994" t="s">
        <v>12</v>
      </c>
      <c r="AC994">
        <f>_xlfn.XLOOKUP(AB994,'[1]GST Codes'!$A:$A,'[1]GST Codes'!$C:$C,0,0)</f>
        <v>18</v>
      </c>
      <c r="AD994">
        <f t="shared" si="31"/>
        <v>928070</v>
      </c>
      <c r="AE994" t="s">
        <v>13</v>
      </c>
      <c r="AF994" t="s">
        <v>0</v>
      </c>
      <c r="AG994" t="s">
        <v>14</v>
      </c>
      <c r="AH994" t="s">
        <v>15</v>
      </c>
      <c r="AI994" t="s">
        <v>85</v>
      </c>
      <c r="AJ994" t="s">
        <v>17</v>
      </c>
      <c r="AK994" t="s">
        <v>18</v>
      </c>
      <c r="AL994" t="s">
        <v>19</v>
      </c>
      <c r="AM994" t="s">
        <v>474</v>
      </c>
      <c r="AN994" t="s">
        <v>0</v>
      </c>
      <c r="AO994" t="s">
        <v>0</v>
      </c>
      <c r="AP994" t="s">
        <v>0</v>
      </c>
      <c r="AQ994" s="5">
        <v>13</v>
      </c>
      <c r="AR994" t="s">
        <v>11</v>
      </c>
      <c r="AS994" t="s">
        <v>0</v>
      </c>
      <c r="AT994" t="s">
        <v>17</v>
      </c>
      <c r="AU994" s="4">
        <v>0</v>
      </c>
      <c r="AV994" s="4">
        <v>0</v>
      </c>
      <c r="AW994" s="4">
        <v>0</v>
      </c>
      <c r="AX994" s="4">
        <v>0</v>
      </c>
      <c r="AY994" s="5">
        <v>0</v>
      </c>
      <c r="AZ994" s="5">
        <v>0</v>
      </c>
      <c r="BA994" s="5">
        <v>0</v>
      </c>
      <c r="BB994" s="2"/>
      <c r="BC994" t="s">
        <v>0</v>
      </c>
      <c r="BD994" s="5">
        <v>1</v>
      </c>
      <c r="BE994" t="s">
        <v>0</v>
      </c>
      <c r="BF994" t="s">
        <v>477</v>
      </c>
      <c r="BG994" t="s">
        <v>17</v>
      </c>
      <c r="BH994" t="s">
        <v>0</v>
      </c>
      <c r="BI994" t="s">
        <v>11</v>
      </c>
      <c r="BJ994" t="s">
        <v>0</v>
      </c>
      <c r="BK994" t="s">
        <v>0</v>
      </c>
      <c r="BL994" s="5">
        <v>0</v>
      </c>
      <c r="BM994" t="s">
        <v>0</v>
      </c>
      <c r="BN994" t="s">
        <v>0</v>
      </c>
      <c r="BO994" t="s">
        <v>0</v>
      </c>
      <c r="BP994" t="s">
        <v>17</v>
      </c>
      <c r="BQ994" t="s">
        <v>0</v>
      </c>
      <c r="BR994" t="s">
        <v>17</v>
      </c>
      <c r="BS994" t="s">
        <v>17</v>
      </c>
      <c r="BT994" t="s">
        <v>0</v>
      </c>
      <c r="BU994" t="s">
        <v>0</v>
      </c>
      <c r="BV994" t="s">
        <v>0</v>
      </c>
      <c r="BW994" t="s">
        <v>0</v>
      </c>
      <c r="BX994" t="s">
        <v>0</v>
      </c>
      <c r="BY994" t="s">
        <v>0</v>
      </c>
      <c r="BZ994" t="s">
        <v>0</v>
      </c>
      <c r="CA994" t="s">
        <v>0</v>
      </c>
      <c r="CB994" t="s">
        <v>0</v>
      </c>
    </row>
    <row r="995" spans="1:80" ht="13.95" customHeight="1" x14ac:dyDescent="0.25">
      <c r="A995" t="s">
        <v>480</v>
      </c>
      <c r="B995" s="2">
        <v>46122</v>
      </c>
      <c r="C995" s="2">
        <v>46122</v>
      </c>
      <c r="D995" s="2">
        <v>46152</v>
      </c>
      <c r="E995" t="s">
        <v>2</v>
      </c>
      <c r="F995" t="s">
        <v>3</v>
      </c>
      <c r="G995" t="s">
        <v>0</v>
      </c>
      <c r="H995" t="s">
        <v>4</v>
      </c>
      <c r="I995" t="s">
        <v>474</v>
      </c>
      <c r="J995" t="s">
        <v>6</v>
      </c>
      <c r="K995" t="s">
        <v>197</v>
      </c>
      <c r="L995" t="s">
        <v>43</v>
      </c>
      <c r="M995" t="s">
        <v>44</v>
      </c>
      <c r="N995" t="s">
        <v>10</v>
      </c>
      <c r="O995" t="s">
        <v>0</v>
      </c>
      <c r="P995" t="s">
        <v>11</v>
      </c>
      <c r="Q995" s="5">
        <v>13</v>
      </c>
      <c r="R995" s="4">
        <v>60500</v>
      </c>
      <c r="S995" s="5">
        <v>1</v>
      </c>
      <c r="T995" s="4">
        <v>786500</v>
      </c>
      <c r="U995" s="5">
        <v>0</v>
      </c>
      <c r="V995" s="4">
        <v>0</v>
      </c>
      <c r="W995" s="5">
        <v>0</v>
      </c>
      <c r="X995" s="4">
        <v>0</v>
      </c>
      <c r="Y995" s="4">
        <f t="shared" si="30"/>
        <v>786500</v>
      </c>
      <c r="Z995" s="6" t="s">
        <v>0</v>
      </c>
      <c r="AA995" t="s">
        <v>2</v>
      </c>
      <c r="AB995" t="s">
        <v>12</v>
      </c>
      <c r="AC995">
        <f>_xlfn.XLOOKUP(AB995,'[1]GST Codes'!$A:$A,'[1]GST Codes'!$C:$C,0,0)</f>
        <v>18</v>
      </c>
      <c r="AD995">
        <f t="shared" si="31"/>
        <v>928070</v>
      </c>
      <c r="AE995" t="s">
        <v>13</v>
      </c>
      <c r="AF995" t="s">
        <v>0</v>
      </c>
      <c r="AG995" t="s">
        <v>14</v>
      </c>
      <c r="AH995" t="s">
        <v>15</v>
      </c>
      <c r="AI995" t="s">
        <v>85</v>
      </c>
      <c r="AJ995" t="s">
        <v>17</v>
      </c>
      <c r="AK995" t="s">
        <v>18</v>
      </c>
      <c r="AL995" t="s">
        <v>19</v>
      </c>
      <c r="AM995" t="s">
        <v>474</v>
      </c>
      <c r="AN995" t="s">
        <v>0</v>
      </c>
      <c r="AO995" t="s">
        <v>0</v>
      </c>
      <c r="AP995" t="s">
        <v>0</v>
      </c>
      <c r="AQ995" s="5">
        <v>13</v>
      </c>
      <c r="AR995" t="s">
        <v>11</v>
      </c>
      <c r="AS995" t="s">
        <v>0</v>
      </c>
      <c r="AT995" t="s">
        <v>17</v>
      </c>
      <c r="AU995" s="4">
        <v>0</v>
      </c>
      <c r="AV995" s="4">
        <v>0</v>
      </c>
      <c r="AW995" s="4">
        <v>0</v>
      </c>
      <c r="AX995" s="4">
        <v>0</v>
      </c>
      <c r="AY995" s="5">
        <v>0</v>
      </c>
      <c r="AZ995" s="5">
        <v>0</v>
      </c>
      <c r="BA995" s="5">
        <v>0</v>
      </c>
      <c r="BB995" s="2"/>
      <c r="BC995" t="s">
        <v>0</v>
      </c>
      <c r="BD995" s="5">
        <v>1</v>
      </c>
      <c r="BE995" t="s">
        <v>0</v>
      </c>
      <c r="BF995" t="s">
        <v>477</v>
      </c>
      <c r="BG995" t="s">
        <v>17</v>
      </c>
      <c r="BH995" t="s">
        <v>0</v>
      </c>
      <c r="BI995" t="s">
        <v>11</v>
      </c>
      <c r="BJ995" t="s">
        <v>0</v>
      </c>
      <c r="BK995" t="s">
        <v>0</v>
      </c>
      <c r="BL995" s="5">
        <v>0</v>
      </c>
      <c r="BM995" t="s">
        <v>0</v>
      </c>
      <c r="BN995" t="s">
        <v>0</v>
      </c>
      <c r="BO995" t="s">
        <v>0</v>
      </c>
      <c r="BP995" t="s">
        <v>17</v>
      </c>
      <c r="BQ995" t="s">
        <v>0</v>
      </c>
      <c r="BR995" t="s">
        <v>17</v>
      </c>
      <c r="BS995" t="s">
        <v>17</v>
      </c>
      <c r="BT995" t="s">
        <v>0</v>
      </c>
      <c r="BU995" t="s">
        <v>0</v>
      </c>
      <c r="BV995" t="s">
        <v>0</v>
      </c>
      <c r="BW995" t="s">
        <v>0</v>
      </c>
      <c r="BX995" t="s">
        <v>0</v>
      </c>
      <c r="BY995" t="s">
        <v>0</v>
      </c>
      <c r="BZ995" t="s">
        <v>0</v>
      </c>
      <c r="CA995" t="s">
        <v>0</v>
      </c>
      <c r="CB995" t="s">
        <v>0</v>
      </c>
    </row>
    <row r="996" spans="1:80" ht="13.95" customHeight="1" x14ac:dyDescent="0.25">
      <c r="A996" t="s">
        <v>480</v>
      </c>
      <c r="B996" s="2">
        <v>46122</v>
      </c>
      <c r="C996" s="2">
        <v>46122</v>
      </c>
      <c r="D996" s="2">
        <v>46152</v>
      </c>
      <c r="E996" t="s">
        <v>2</v>
      </c>
      <c r="F996" t="s">
        <v>3</v>
      </c>
      <c r="G996" t="s">
        <v>0</v>
      </c>
      <c r="H996" t="s">
        <v>4</v>
      </c>
      <c r="I996" t="s">
        <v>474</v>
      </c>
      <c r="J996" t="s">
        <v>6</v>
      </c>
      <c r="K996" t="s">
        <v>201</v>
      </c>
      <c r="L996" t="s">
        <v>354</v>
      </c>
      <c r="M996" t="s">
        <v>338</v>
      </c>
      <c r="N996" t="s">
        <v>10</v>
      </c>
      <c r="O996" t="s">
        <v>0</v>
      </c>
      <c r="P996" t="s">
        <v>11</v>
      </c>
      <c r="Q996" s="5">
        <v>25</v>
      </c>
      <c r="R996" s="4">
        <v>60500</v>
      </c>
      <c r="S996" s="5">
        <v>1</v>
      </c>
      <c r="T996" s="4">
        <v>1512500</v>
      </c>
      <c r="U996" s="5">
        <v>0</v>
      </c>
      <c r="V996" s="4">
        <v>0</v>
      </c>
      <c r="W996" s="5">
        <v>0</v>
      </c>
      <c r="X996" s="4">
        <v>0</v>
      </c>
      <c r="Y996" s="4">
        <f t="shared" si="30"/>
        <v>1512500</v>
      </c>
      <c r="Z996" s="6" t="s">
        <v>0</v>
      </c>
      <c r="AA996" t="s">
        <v>2</v>
      </c>
      <c r="AB996" t="s">
        <v>12</v>
      </c>
      <c r="AC996">
        <f>_xlfn.XLOOKUP(AB996,'[1]GST Codes'!$A:$A,'[1]GST Codes'!$C:$C,0,0)</f>
        <v>18</v>
      </c>
      <c r="AD996">
        <f t="shared" si="31"/>
        <v>1784750</v>
      </c>
      <c r="AE996" t="s">
        <v>13</v>
      </c>
      <c r="AF996" t="s">
        <v>0</v>
      </c>
      <c r="AG996" t="s">
        <v>14</v>
      </c>
      <c r="AH996" t="s">
        <v>15</v>
      </c>
      <c r="AI996" t="s">
        <v>85</v>
      </c>
      <c r="AJ996" t="s">
        <v>17</v>
      </c>
      <c r="AK996" t="s">
        <v>18</v>
      </c>
      <c r="AL996" t="s">
        <v>19</v>
      </c>
      <c r="AM996" t="s">
        <v>474</v>
      </c>
      <c r="AN996" t="s">
        <v>0</v>
      </c>
      <c r="AO996" t="s">
        <v>0</v>
      </c>
      <c r="AP996" t="s">
        <v>0</v>
      </c>
      <c r="AQ996" s="5">
        <v>25</v>
      </c>
      <c r="AR996" t="s">
        <v>11</v>
      </c>
      <c r="AS996" t="s">
        <v>0</v>
      </c>
      <c r="AT996" t="s">
        <v>17</v>
      </c>
      <c r="AU996" s="4">
        <v>0</v>
      </c>
      <c r="AV996" s="4">
        <v>0</v>
      </c>
      <c r="AW996" s="4">
        <v>0</v>
      </c>
      <c r="AX996" s="4">
        <v>0</v>
      </c>
      <c r="AY996" s="5">
        <v>0</v>
      </c>
      <c r="AZ996" s="5">
        <v>0</v>
      </c>
      <c r="BA996" s="5">
        <v>0</v>
      </c>
      <c r="BB996" s="2"/>
      <c r="BC996" t="s">
        <v>0</v>
      </c>
      <c r="BD996" s="5">
        <v>1</v>
      </c>
      <c r="BE996" t="s">
        <v>0</v>
      </c>
      <c r="BF996" t="s">
        <v>478</v>
      </c>
      <c r="BG996" t="s">
        <v>17</v>
      </c>
      <c r="BH996" t="s">
        <v>0</v>
      </c>
      <c r="BI996" t="s">
        <v>11</v>
      </c>
      <c r="BJ996" t="s">
        <v>0</v>
      </c>
      <c r="BK996" t="s">
        <v>0</v>
      </c>
      <c r="BL996" s="5">
        <v>0</v>
      </c>
      <c r="BM996" t="s">
        <v>0</v>
      </c>
      <c r="BN996" t="s">
        <v>0</v>
      </c>
      <c r="BO996" t="s">
        <v>0</v>
      </c>
      <c r="BP996" t="s">
        <v>17</v>
      </c>
      <c r="BQ996" t="s">
        <v>0</v>
      </c>
      <c r="BR996" t="s">
        <v>17</v>
      </c>
      <c r="BS996" t="s">
        <v>17</v>
      </c>
      <c r="BT996" t="s">
        <v>0</v>
      </c>
      <c r="BU996" t="s">
        <v>0</v>
      </c>
      <c r="BV996" t="s">
        <v>0</v>
      </c>
      <c r="BW996" t="s">
        <v>0</v>
      </c>
      <c r="BX996" t="s">
        <v>0</v>
      </c>
      <c r="BY996" t="s">
        <v>0</v>
      </c>
      <c r="BZ996" t="s">
        <v>0</v>
      </c>
      <c r="CA996" t="s">
        <v>0</v>
      </c>
      <c r="CB996" t="s">
        <v>0</v>
      </c>
    </row>
    <row r="997" spans="1:80" ht="13.95" customHeight="1" x14ac:dyDescent="0.25">
      <c r="A997" t="s">
        <v>480</v>
      </c>
      <c r="B997" s="2">
        <v>46122</v>
      </c>
      <c r="C997" s="2">
        <v>46122</v>
      </c>
      <c r="D997" s="2">
        <v>46152</v>
      </c>
      <c r="E997" t="s">
        <v>2</v>
      </c>
      <c r="F997" t="s">
        <v>3</v>
      </c>
      <c r="G997" t="s">
        <v>0</v>
      </c>
      <c r="H997" t="s">
        <v>4</v>
      </c>
      <c r="I997" t="s">
        <v>474</v>
      </c>
      <c r="J997" t="s">
        <v>6</v>
      </c>
      <c r="K997" t="s">
        <v>205</v>
      </c>
      <c r="L997" t="s">
        <v>354</v>
      </c>
      <c r="M997" t="s">
        <v>338</v>
      </c>
      <c r="N997" t="s">
        <v>10</v>
      </c>
      <c r="O997" t="s">
        <v>0</v>
      </c>
      <c r="P997" t="s">
        <v>11</v>
      </c>
      <c r="Q997" s="5">
        <v>25</v>
      </c>
      <c r="R997" s="4">
        <v>60500</v>
      </c>
      <c r="S997" s="5">
        <v>1</v>
      </c>
      <c r="T997" s="4">
        <v>1512500</v>
      </c>
      <c r="U997" s="5">
        <v>0</v>
      </c>
      <c r="V997" s="4">
        <v>0</v>
      </c>
      <c r="W997" s="5">
        <v>0</v>
      </c>
      <c r="X997" s="4">
        <v>0</v>
      </c>
      <c r="Y997" s="4">
        <f t="shared" si="30"/>
        <v>1512500</v>
      </c>
      <c r="Z997" s="6" t="s">
        <v>0</v>
      </c>
      <c r="AA997" t="s">
        <v>2</v>
      </c>
      <c r="AB997" t="s">
        <v>12</v>
      </c>
      <c r="AC997">
        <f>_xlfn.XLOOKUP(AB997,'[1]GST Codes'!$A:$A,'[1]GST Codes'!$C:$C,0,0)</f>
        <v>18</v>
      </c>
      <c r="AD997">
        <f t="shared" si="31"/>
        <v>1784750</v>
      </c>
      <c r="AE997" t="s">
        <v>13</v>
      </c>
      <c r="AF997" t="s">
        <v>0</v>
      </c>
      <c r="AG997" t="s">
        <v>14</v>
      </c>
      <c r="AH997" t="s">
        <v>15</v>
      </c>
      <c r="AI997" t="s">
        <v>85</v>
      </c>
      <c r="AJ997" t="s">
        <v>17</v>
      </c>
      <c r="AK997" t="s">
        <v>18</v>
      </c>
      <c r="AL997" t="s">
        <v>19</v>
      </c>
      <c r="AM997" t="s">
        <v>474</v>
      </c>
      <c r="AN997" t="s">
        <v>0</v>
      </c>
      <c r="AO997" t="s">
        <v>0</v>
      </c>
      <c r="AP997" t="s">
        <v>0</v>
      </c>
      <c r="AQ997" s="5">
        <v>25</v>
      </c>
      <c r="AR997" t="s">
        <v>11</v>
      </c>
      <c r="AS997" t="s">
        <v>0</v>
      </c>
      <c r="AT997" t="s">
        <v>17</v>
      </c>
      <c r="AU997" s="4">
        <v>0</v>
      </c>
      <c r="AV997" s="4">
        <v>0</v>
      </c>
      <c r="AW997" s="4">
        <v>0</v>
      </c>
      <c r="AX997" s="4">
        <v>0</v>
      </c>
      <c r="AY997" s="5">
        <v>0</v>
      </c>
      <c r="AZ997" s="5">
        <v>0</v>
      </c>
      <c r="BA997" s="5">
        <v>0</v>
      </c>
      <c r="BB997" s="2"/>
      <c r="BC997" t="s">
        <v>0</v>
      </c>
      <c r="BD997" s="5">
        <v>1</v>
      </c>
      <c r="BE997" t="s">
        <v>0</v>
      </c>
      <c r="BF997" t="s">
        <v>478</v>
      </c>
      <c r="BG997" t="s">
        <v>17</v>
      </c>
      <c r="BH997" t="s">
        <v>0</v>
      </c>
      <c r="BI997" t="s">
        <v>11</v>
      </c>
      <c r="BJ997" t="s">
        <v>0</v>
      </c>
      <c r="BK997" t="s">
        <v>0</v>
      </c>
      <c r="BL997" s="5">
        <v>0</v>
      </c>
      <c r="BM997" t="s">
        <v>0</v>
      </c>
      <c r="BN997" t="s">
        <v>0</v>
      </c>
      <c r="BO997" t="s">
        <v>0</v>
      </c>
      <c r="BP997" t="s">
        <v>17</v>
      </c>
      <c r="BQ997" t="s">
        <v>0</v>
      </c>
      <c r="BR997" t="s">
        <v>17</v>
      </c>
      <c r="BS997" t="s">
        <v>17</v>
      </c>
      <c r="BT997" t="s">
        <v>0</v>
      </c>
      <c r="BU997" t="s">
        <v>0</v>
      </c>
      <c r="BV997" t="s">
        <v>0</v>
      </c>
      <c r="BW997" t="s">
        <v>0</v>
      </c>
      <c r="BX997" t="s">
        <v>0</v>
      </c>
      <c r="BY997" t="s">
        <v>0</v>
      </c>
      <c r="BZ997" t="s">
        <v>0</v>
      </c>
      <c r="CA997" t="s">
        <v>0</v>
      </c>
      <c r="CB997" t="s">
        <v>0</v>
      </c>
    </row>
    <row r="998" spans="1:80" ht="13.95" customHeight="1" x14ac:dyDescent="0.25">
      <c r="A998" t="s">
        <v>480</v>
      </c>
      <c r="B998" s="2">
        <v>46122</v>
      </c>
      <c r="C998" s="2">
        <v>46122</v>
      </c>
      <c r="D998" s="2">
        <v>46152</v>
      </c>
      <c r="E998" t="s">
        <v>2</v>
      </c>
      <c r="F998" t="s">
        <v>3</v>
      </c>
      <c r="G998" t="s">
        <v>0</v>
      </c>
      <c r="H998" t="s">
        <v>4</v>
      </c>
      <c r="I998" t="s">
        <v>474</v>
      </c>
      <c r="J998" t="s">
        <v>6</v>
      </c>
      <c r="K998" t="s">
        <v>209</v>
      </c>
      <c r="L998" t="s">
        <v>354</v>
      </c>
      <c r="M998" t="s">
        <v>338</v>
      </c>
      <c r="N998" t="s">
        <v>10</v>
      </c>
      <c r="O998" t="s">
        <v>0</v>
      </c>
      <c r="P998" t="s">
        <v>11</v>
      </c>
      <c r="Q998" s="5">
        <v>25</v>
      </c>
      <c r="R998" s="4">
        <v>60500</v>
      </c>
      <c r="S998" s="5">
        <v>1</v>
      </c>
      <c r="T998" s="4">
        <v>1512500</v>
      </c>
      <c r="U998" s="5">
        <v>0</v>
      </c>
      <c r="V998" s="4">
        <v>0</v>
      </c>
      <c r="W998" s="5">
        <v>0</v>
      </c>
      <c r="X998" s="4">
        <v>0</v>
      </c>
      <c r="Y998" s="4">
        <f t="shared" si="30"/>
        <v>1512500</v>
      </c>
      <c r="Z998" s="6" t="s">
        <v>0</v>
      </c>
      <c r="AA998" t="s">
        <v>2</v>
      </c>
      <c r="AB998" t="s">
        <v>12</v>
      </c>
      <c r="AC998">
        <f>_xlfn.XLOOKUP(AB998,'[1]GST Codes'!$A:$A,'[1]GST Codes'!$C:$C,0,0)</f>
        <v>18</v>
      </c>
      <c r="AD998">
        <f t="shared" si="31"/>
        <v>1784750</v>
      </c>
      <c r="AE998" t="s">
        <v>13</v>
      </c>
      <c r="AF998" t="s">
        <v>0</v>
      </c>
      <c r="AG998" t="s">
        <v>14</v>
      </c>
      <c r="AH998" t="s">
        <v>15</v>
      </c>
      <c r="AI998" t="s">
        <v>85</v>
      </c>
      <c r="AJ998" t="s">
        <v>17</v>
      </c>
      <c r="AK998" t="s">
        <v>18</v>
      </c>
      <c r="AL998" t="s">
        <v>19</v>
      </c>
      <c r="AM998" t="s">
        <v>474</v>
      </c>
      <c r="AN998" t="s">
        <v>0</v>
      </c>
      <c r="AO998" t="s">
        <v>0</v>
      </c>
      <c r="AP998" t="s">
        <v>0</v>
      </c>
      <c r="AQ998" s="5">
        <v>25</v>
      </c>
      <c r="AR998" t="s">
        <v>11</v>
      </c>
      <c r="AS998" t="s">
        <v>0</v>
      </c>
      <c r="AT998" t="s">
        <v>17</v>
      </c>
      <c r="AU998" s="4">
        <v>0</v>
      </c>
      <c r="AV998" s="4">
        <v>0</v>
      </c>
      <c r="AW998" s="4">
        <v>0</v>
      </c>
      <c r="AX998" s="4">
        <v>0</v>
      </c>
      <c r="AY998" s="5">
        <v>0</v>
      </c>
      <c r="AZ998" s="5">
        <v>0</v>
      </c>
      <c r="BA998" s="5">
        <v>0</v>
      </c>
      <c r="BB998" s="2"/>
      <c r="BC998" t="s">
        <v>0</v>
      </c>
      <c r="BD998" s="5">
        <v>1</v>
      </c>
      <c r="BE998" t="s">
        <v>0</v>
      </c>
      <c r="BF998" t="s">
        <v>478</v>
      </c>
      <c r="BG998" t="s">
        <v>17</v>
      </c>
      <c r="BH998" t="s">
        <v>0</v>
      </c>
      <c r="BI998" t="s">
        <v>11</v>
      </c>
      <c r="BJ998" t="s">
        <v>0</v>
      </c>
      <c r="BK998" t="s">
        <v>0</v>
      </c>
      <c r="BL998" s="5">
        <v>0</v>
      </c>
      <c r="BM998" t="s">
        <v>0</v>
      </c>
      <c r="BN998" t="s">
        <v>0</v>
      </c>
      <c r="BO998" t="s">
        <v>0</v>
      </c>
      <c r="BP998" t="s">
        <v>17</v>
      </c>
      <c r="BQ998" t="s">
        <v>0</v>
      </c>
      <c r="BR998" t="s">
        <v>17</v>
      </c>
      <c r="BS998" t="s">
        <v>17</v>
      </c>
      <c r="BT998" t="s">
        <v>0</v>
      </c>
      <c r="BU998" t="s">
        <v>0</v>
      </c>
      <c r="BV998" t="s">
        <v>0</v>
      </c>
      <c r="BW998" t="s">
        <v>0</v>
      </c>
      <c r="BX998" t="s">
        <v>0</v>
      </c>
      <c r="BY998" t="s">
        <v>0</v>
      </c>
      <c r="BZ998" t="s">
        <v>0</v>
      </c>
      <c r="CA998" t="s">
        <v>0</v>
      </c>
      <c r="CB998" t="s">
        <v>0</v>
      </c>
    </row>
    <row r="999" spans="1:80" ht="13.95" customHeight="1" x14ac:dyDescent="0.25">
      <c r="A999" t="s">
        <v>480</v>
      </c>
      <c r="B999" s="2">
        <v>46122</v>
      </c>
      <c r="C999" s="2">
        <v>46122</v>
      </c>
      <c r="D999" s="2">
        <v>46152</v>
      </c>
      <c r="E999" t="s">
        <v>2</v>
      </c>
      <c r="F999" t="s">
        <v>3</v>
      </c>
      <c r="G999" t="s">
        <v>0</v>
      </c>
      <c r="H999" t="s">
        <v>4</v>
      </c>
      <c r="I999" t="s">
        <v>474</v>
      </c>
      <c r="J999" t="s">
        <v>6</v>
      </c>
      <c r="K999" t="s">
        <v>213</v>
      </c>
      <c r="L999" t="s">
        <v>354</v>
      </c>
      <c r="M999" t="s">
        <v>338</v>
      </c>
      <c r="N999" t="s">
        <v>10</v>
      </c>
      <c r="O999" t="s">
        <v>0</v>
      </c>
      <c r="P999" t="s">
        <v>11</v>
      </c>
      <c r="Q999" s="5">
        <v>25</v>
      </c>
      <c r="R999" s="4">
        <v>60500</v>
      </c>
      <c r="S999" s="5">
        <v>1</v>
      </c>
      <c r="T999" s="4">
        <v>1512500</v>
      </c>
      <c r="U999" s="5">
        <v>0</v>
      </c>
      <c r="V999" s="4">
        <v>0</v>
      </c>
      <c r="W999" s="5">
        <v>0</v>
      </c>
      <c r="X999" s="4">
        <v>0</v>
      </c>
      <c r="Y999" s="4">
        <f t="shared" si="30"/>
        <v>1512500</v>
      </c>
      <c r="Z999" s="6" t="s">
        <v>0</v>
      </c>
      <c r="AA999" t="s">
        <v>2</v>
      </c>
      <c r="AB999" t="s">
        <v>12</v>
      </c>
      <c r="AC999">
        <f>_xlfn.XLOOKUP(AB999,'[1]GST Codes'!$A:$A,'[1]GST Codes'!$C:$C,0,0)</f>
        <v>18</v>
      </c>
      <c r="AD999">
        <f t="shared" si="31"/>
        <v>1784750</v>
      </c>
      <c r="AE999" t="s">
        <v>13</v>
      </c>
      <c r="AF999" t="s">
        <v>0</v>
      </c>
      <c r="AG999" t="s">
        <v>14</v>
      </c>
      <c r="AH999" t="s">
        <v>15</v>
      </c>
      <c r="AI999" t="s">
        <v>85</v>
      </c>
      <c r="AJ999" t="s">
        <v>17</v>
      </c>
      <c r="AK999" t="s">
        <v>18</v>
      </c>
      <c r="AL999" t="s">
        <v>19</v>
      </c>
      <c r="AM999" t="s">
        <v>474</v>
      </c>
      <c r="AN999" t="s">
        <v>0</v>
      </c>
      <c r="AO999" t="s">
        <v>0</v>
      </c>
      <c r="AP999" t="s">
        <v>0</v>
      </c>
      <c r="AQ999" s="5">
        <v>25</v>
      </c>
      <c r="AR999" t="s">
        <v>11</v>
      </c>
      <c r="AS999" t="s">
        <v>0</v>
      </c>
      <c r="AT999" t="s">
        <v>17</v>
      </c>
      <c r="AU999" s="4">
        <v>0</v>
      </c>
      <c r="AV999" s="4">
        <v>0</v>
      </c>
      <c r="AW999" s="4">
        <v>0</v>
      </c>
      <c r="AX999" s="4">
        <v>0</v>
      </c>
      <c r="AY999" s="5">
        <v>0</v>
      </c>
      <c r="AZ999" s="5">
        <v>0</v>
      </c>
      <c r="BA999" s="5">
        <v>0</v>
      </c>
      <c r="BB999" s="2"/>
      <c r="BC999" t="s">
        <v>0</v>
      </c>
      <c r="BD999" s="5">
        <v>1</v>
      </c>
      <c r="BE999" t="s">
        <v>0</v>
      </c>
      <c r="BF999" t="s">
        <v>478</v>
      </c>
      <c r="BG999" t="s">
        <v>17</v>
      </c>
      <c r="BH999" t="s">
        <v>0</v>
      </c>
      <c r="BI999" t="s">
        <v>11</v>
      </c>
      <c r="BJ999" t="s">
        <v>0</v>
      </c>
      <c r="BK999" t="s">
        <v>0</v>
      </c>
      <c r="BL999" s="5">
        <v>0</v>
      </c>
      <c r="BM999" t="s">
        <v>0</v>
      </c>
      <c r="BN999" t="s">
        <v>0</v>
      </c>
      <c r="BO999" t="s">
        <v>0</v>
      </c>
      <c r="BP999" t="s">
        <v>17</v>
      </c>
      <c r="BQ999" t="s">
        <v>0</v>
      </c>
      <c r="BR999" t="s">
        <v>17</v>
      </c>
      <c r="BS999" t="s">
        <v>17</v>
      </c>
      <c r="BT999" t="s">
        <v>0</v>
      </c>
      <c r="BU999" t="s">
        <v>0</v>
      </c>
      <c r="BV999" t="s">
        <v>0</v>
      </c>
      <c r="BW999" t="s">
        <v>0</v>
      </c>
      <c r="BX999" t="s">
        <v>0</v>
      </c>
      <c r="BY999" t="s">
        <v>0</v>
      </c>
      <c r="BZ999" t="s">
        <v>0</v>
      </c>
      <c r="CA999" t="s">
        <v>0</v>
      </c>
      <c r="CB999" t="s">
        <v>0</v>
      </c>
    </row>
    <row r="1000" spans="1:80" ht="13.95" customHeight="1" x14ac:dyDescent="0.25">
      <c r="A1000" t="s">
        <v>480</v>
      </c>
      <c r="B1000" s="2">
        <v>46122</v>
      </c>
      <c r="C1000" s="2">
        <v>46122</v>
      </c>
      <c r="D1000" s="2">
        <v>46152</v>
      </c>
      <c r="E1000" t="s">
        <v>2</v>
      </c>
      <c r="F1000" t="s">
        <v>3</v>
      </c>
      <c r="G1000" t="s">
        <v>0</v>
      </c>
      <c r="H1000" t="s">
        <v>4</v>
      </c>
      <c r="I1000" t="s">
        <v>474</v>
      </c>
      <c r="J1000" t="s">
        <v>6</v>
      </c>
      <c r="K1000" t="s">
        <v>215</v>
      </c>
      <c r="L1000" t="s">
        <v>354</v>
      </c>
      <c r="M1000" t="s">
        <v>338</v>
      </c>
      <c r="N1000" t="s">
        <v>10</v>
      </c>
      <c r="O1000" t="s">
        <v>0</v>
      </c>
      <c r="P1000" t="s">
        <v>11</v>
      </c>
      <c r="Q1000" s="5">
        <v>25</v>
      </c>
      <c r="R1000" s="4">
        <v>60500</v>
      </c>
      <c r="S1000" s="5">
        <v>1</v>
      </c>
      <c r="T1000" s="4">
        <v>1512500</v>
      </c>
      <c r="U1000" s="5">
        <v>0</v>
      </c>
      <c r="V1000" s="4">
        <v>0</v>
      </c>
      <c r="W1000" s="5">
        <v>0</v>
      </c>
      <c r="X1000" s="4">
        <v>0</v>
      </c>
      <c r="Y1000" s="4">
        <f t="shared" si="30"/>
        <v>1512500</v>
      </c>
      <c r="Z1000" s="6" t="s">
        <v>0</v>
      </c>
      <c r="AA1000" t="s">
        <v>2</v>
      </c>
      <c r="AB1000" t="s">
        <v>12</v>
      </c>
      <c r="AC1000">
        <f>_xlfn.XLOOKUP(AB1000,'[1]GST Codes'!$A:$A,'[1]GST Codes'!$C:$C,0,0)</f>
        <v>18</v>
      </c>
      <c r="AD1000">
        <f t="shared" si="31"/>
        <v>1784750</v>
      </c>
      <c r="AE1000" t="s">
        <v>13</v>
      </c>
      <c r="AF1000" t="s">
        <v>0</v>
      </c>
      <c r="AG1000" t="s">
        <v>14</v>
      </c>
      <c r="AH1000" t="s">
        <v>15</v>
      </c>
      <c r="AI1000" t="s">
        <v>85</v>
      </c>
      <c r="AJ1000" t="s">
        <v>17</v>
      </c>
      <c r="AK1000" t="s">
        <v>18</v>
      </c>
      <c r="AL1000" t="s">
        <v>19</v>
      </c>
      <c r="AM1000" t="s">
        <v>474</v>
      </c>
      <c r="AN1000" t="s">
        <v>0</v>
      </c>
      <c r="AO1000" t="s">
        <v>0</v>
      </c>
      <c r="AP1000" t="s">
        <v>0</v>
      </c>
      <c r="AQ1000" s="5">
        <v>25</v>
      </c>
      <c r="AR1000" t="s">
        <v>11</v>
      </c>
      <c r="AS1000" t="s">
        <v>0</v>
      </c>
      <c r="AT1000" t="s">
        <v>17</v>
      </c>
      <c r="AU1000" s="4">
        <v>0</v>
      </c>
      <c r="AV1000" s="4">
        <v>0</v>
      </c>
      <c r="AW1000" s="4">
        <v>0</v>
      </c>
      <c r="AX1000" s="4">
        <v>0</v>
      </c>
      <c r="AY1000" s="5">
        <v>0</v>
      </c>
      <c r="AZ1000" s="5">
        <v>0</v>
      </c>
      <c r="BA1000" s="5">
        <v>0</v>
      </c>
      <c r="BB1000" s="2"/>
      <c r="BC1000" t="s">
        <v>0</v>
      </c>
      <c r="BD1000" s="5">
        <v>1</v>
      </c>
      <c r="BE1000" t="s">
        <v>0</v>
      </c>
      <c r="BF1000" t="s">
        <v>478</v>
      </c>
      <c r="BG1000" t="s">
        <v>17</v>
      </c>
      <c r="BH1000" t="s">
        <v>0</v>
      </c>
      <c r="BI1000" t="s">
        <v>11</v>
      </c>
      <c r="BJ1000" t="s">
        <v>0</v>
      </c>
      <c r="BK1000" t="s">
        <v>0</v>
      </c>
      <c r="BL1000" s="5">
        <v>0</v>
      </c>
      <c r="BM1000" t="s">
        <v>0</v>
      </c>
      <c r="BN1000" t="s">
        <v>0</v>
      </c>
      <c r="BO1000" t="s">
        <v>0</v>
      </c>
      <c r="BP1000" t="s">
        <v>17</v>
      </c>
      <c r="BQ1000" t="s">
        <v>0</v>
      </c>
      <c r="BR1000" t="s">
        <v>17</v>
      </c>
      <c r="BS1000" t="s">
        <v>17</v>
      </c>
      <c r="BT1000" t="s">
        <v>0</v>
      </c>
      <c r="BU1000" t="s">
        <v>0</v>
      </c>
      <c r="BV1000" t="s">
        <v>0</v>
      </c>
      <c r="BW1000" t="s">
        <v>0</v>
      </c>
      <c r="BX1000" t="s">
        <v>0</v>
      </c>
      <c r="BY1000" t="s">
        <v>0</v>
      </c>
      <c r="BZ1000" t="s">
        <v>0</v>
      </c>
      <c r="CA1000" t="s">
        <v>0</v>
      </c>
      <c r="CB1000" t="s">
        <v>0</v>
      </c>
    </row>
    <row r="1001" spans="1:80" ht="13.95" customHeight="1" x14ac:dyDescent="0.25">
      <c r="A1001" t="s">
        <v>480</v>
      </c>
      <c r="B1001" s="2">
        <v>46122</v>
      </c>
      <c r="C1001" s="2">
        <v>46122</v>
      </c>
      <c r="D1001" s="2">
        <v>46152</v>
      </c>
      <c r="E1001" t="s">
        <v>2</v>
      </c>
      <c r="F1001" t="s">
        <v>3</v>
      </c>
      <c r="G1001" t="s">
        <v>0</v>
      </c>
      <c r="H1001" t="s">
        <v>4</v>
      </c>
      <c r="I1001" t="s">
        <v>474</v>
      </c>
      <c r="J1001" t="s">
        <v>6</v>
      </c>
      <c r="K1001" t="s">
        <v>216</v>
      </c>
      <c r="L1001" t="s">
        <v>354</v>
      </c>
      <c r="M1001" t="s">
        <v>338</v>
      </c>
      <c r="N1001" t="s">
        <v>10</v>
      </c>
      <c r="O1001" t="s">
        <v>0</v>
      </c>
      <c r="P1001" t="s">
        <v>11</v>
      </c>
      <c r="Q1001" s="5">
        <v>25</v>
      </c>
      <c r="R1001" s="4">
        <v>60500</v>
      </c>
      <c r="S1001" s="5">
        <v>1</v>
      </c>
      <c r="T1001" s="4">
        <v>1512500</v>
      </c>
      <c r="U1001" s="5">
        <v>0</v>
      </c>
      <c r="V1001" s="4">
        <v>0</v>
      </c>
      <c r="W1001" s="5">
        <v>0</v>
      </c>
      <c r="X1001" s="4">
        <v>0</v>
      </c>
      <c r="Y1001" s="4">
        <f t="shared" si="30"/>
        <v>1512500</v>
      </c>
      <c r="Z1001" s="6" t="s">
        <v>0</v>
      </c>
      <c r="AA1001" t="s">
        <v>2</v>
      </c>
      <c r="AB1001" t="s">
        <v>12</v>
      </c>
      <c r="AC1001">
        <f>_xlfn.XLOOKUP(AB1001,'[1]GST Codes'!$A:$A,'[1]GST Codes'!$C:$C,0,0)</f>
        <v>18</v>
      </c>
      <c r="AD1001">
        <f t="shared" si="31"/>
        <v>1784750</v>
      </c>
      <c r="AE1001" t="s">
        <v>13</v>
      </c>
      <c r="AF1001" t="s">
        <v>0</v>
      </c>
      <c r="AG1001" t="s">
        <v>14</v>
      </c>
      <c r="AH1001" t="s">
        <v>15</v>
      </c>
      <c r="AI1001" t="s">
        <v>85</v>
      </c>
      <c r="AJ1001" t="s">
        <v>17</v>
      </c>
      <c r="AK1001" t="s">
        <v>18</v>
      </c>
      <c r="AL1001" t="s">
        <v>19</v>
      </c>
      <c r="AM1001" t="s">
        <v>474</v>
      </c>
      <c r="AN1001" t="s">
        <v>0</v>
      </c>
      <c r="AO1001" t="s">
        <v>0</v>
      </c>
      <c r="AP1001" t="s">
        <v>0</v>
      </c>
      <c r="AQ1001" s="5">
        <v>25</v>
      </c>
      <c r="AR1001" t="s">
        <v>11</v>
      </c>
      <c r="AS1001" t="s">
        <v>0</v>
      </c>
      <c r="AT1001" t="s">
        <v>17</v>
      </c>
      <c r="AU1001" s="4">
        <v>0</v>
      </c>
      <c r="AV1001" s="4">
        <v>0</v>
      </c>
      <c r="AW1001" s="4">
        <v>0</v>
      </c>
      <c r="AX1001" s="4">
        <v>0</v>
      </c>
      <c r="AY1001" s="5">
        <v>0</v>
      </c>
      <c r="AZ1001" s="5">
        <v>0</v>
      </c>
      <c r="BA1001" s="5">
        <v>0</v>
      </c>
      <c r="BB1001" s="2"/>
      <c r="BC1001" t="s">
        <v>0</v>
      </c>
      <c r="BD1001" s="5">
        <v>1</v>
      </c>
      <c r="BE1001" t="s">
        <v>0</v>
      </c>
      <c r="BF1001" t="s">
        <v>478</v>
      </c>
      <c r="BG1001" t="s">
        <v>17</v>
      </c>
      <c r="BH1001" t="s">
        <v>0</v>
      </c>
      <c r="BI1001" t="s">
        <v>11</v>
      </c>
      <c r="BJ1001" t="s">
        <v>0</v>
      </c>
      <c r="BK1001" t="s">
        <v>0</v>
      </c>
      <c r="BL1001" s="5">
        <v>0</v>
      </c>
      <c r="BM1001" t="s">
        <v>0</v>
      </c>
      <c r="BN1001" t="s">
        <v>0</v>
      </c>
      <c r="BO1001" t="s">
        <v>0</v>
      </c>
      <c r="BP1001" t="s">
        <v>17</v>
      </c>
      <c r="BQ1001" t="s">
        <v>0</v>
      </c>
      <c r="BR1001" t="s">
        <v>17</v>
      </c>
      <c r="BS1001" t="s">
        <v>17</v>
      </c>
      <c r="BT1001" t="s">
        <v>0</v>
      </c>
      <c r="BU1001" t="s">
        <v>0</v>
      </c>
      <c r="BV1001" t="s">
        <v>0</v>
      </c>
      <c r="BW1001" t="s">
        <v>0</v>
      </c>
      <c r="BX1001" t="s">
        <v>0</v>
      </c>
      <c r="BY1001" t="s">
        <v>0</v>
      </c>
      <c r="BZ1001" t="s">
        <v>0</v>
      </c>
      <c r="CA1001" t="s">
        <v>0</v>
      </c>
      <c r="CB1001" t="s">
        <v>0</v>
      </c>
    </row>
    <row r="1002" spans="1:80" ht="13.95" customHeight="1" x14ac:dyDescent="0.25">
      <c r="A1002" t="s">
        <v>480</v>
      </c>
      <c r="B1002" s="2">
        <v>46122</v>
      </c>
      <c r="C1002" s="2">
        <v>46122</v>
      </c>
      <c r="D1002" s="2">
        <v>46152</v>
      </c>
      <c r="E1002" t="s">
        <v>2</v>
      </c>
      <c r="F1002" t="s">
        <v>3</v>
      </c>
      <c r="G1002" t="s">
        <v>0</v>
      </c>
      <c r="H1002" t="s">
        <v>4</v>
      </c>
      <c r="I1002" t="s">
        <v>474</v>
      </c>
      <c r="J1002" t="s">
        <v>6</v>
      </c>
      <c r="K1002" t="s">
        <v>217</v>
      </c>
      <c r="L1002" t="s">
        <v>329</v>
      </c>
      <c r="M1002" t="s">
        <v>339</v>
      </c>
      <c r="N1002" t="s">
        <v>10</v>
      </c>
      <c r="O1002" t="s">
        <v>0</v>
      </c>
      <c r="P1002" t="s">
        <v>11</v>
      </c>
      <c r="Q1002" s="5">
        <v>7</v>
      </c>
      <c r="R1002" s="4">
        <v>60500</v>
      </c>
      <c r="S1002" s="5">
        <v>1</v>
      </c>
      <c r="T1002" s="4">
        <v>423500</v>
      </c>
      <c r="U1002" s="5">
        <v>0</v>
      </c>
      <c r="V1002" s="4">
        <v>0</v>
      </c>
      <c r="W1002" s="5">
        <v>0</v>
      </c>
      <c r="X1002" s="4">
        <v>0</v>
      </c>
      <c r="Y1002" s="4">
        <f t="shared" si="30"/>
        <v>423500</v>
      </c>
      <c r="Z1002" s="6" t="s">
        <v>0</v>
      </c>
      <c r="AA1002" t="s">
        <v>2</v>
      </c>
      <c r="AB1002" t="s">
        <v>12</v>
      </c>
      <c r="AC1002">
        <f>_xlfn.XLOOKUP(AB1002,'[1]GST Codes'!$A:$A,'[1]GST Codes'!$C:$C,0,0)</f>
        <v>18</v>
      </c>
      <c r="AD1002">
        <f t="shared" si="31"/>
        <v>499730</v>
      </c>
      <c r="AE1002" t="s">
        <v>13</v>
      </c>
      <c r="AF1002" t="s">
        <v>0</v>
      </c>
      <c r="AG1002" t="s">
        <v>14</v>
      </c>
      <c r="AH1002" t="s">
        <v>15</v>
      </c>
      <c r="AI1002" t="s">
        <v>85</v>
      </c>
      <c r="AJ1002" t="s">
        <v>17</v>
      </c>
      <c r="AK1002" t="s">
        <v>18</v>
      </c>
      <c r="AL1002" t="s">
        <v>19</v>
      </c>
      <c r="AM1002" t="s">
        <v>474</v>
      </c>
      <c r="AN1002" t="s">
        <v>0</v>
      </c>
      <c r="AO1002" t="s">
        <v>0</v>
      </c>
      <c r="AP1002" t="s">
        <v>0</v>
      </c>
      <c r="AQ1002" s="5">
        <v>7</v>
      </c>
      <c r="AR1002" t="s">
        <v>11</v>
      </c>
      <c r="AS1002" t="s">
        <v>0</v>
      </c>
      <c r="AT1002" t="s">
        <v>17</v>
      </c>
      <c r="AU1002" s="4">
        <v>0</v>
      </c>
      <c r="AV1002" s="4">
        <v>0</v>
      </c>
      <c r="AW1002" s="4">
        <v>0</v>
      </c>
      <c r="AX1002" s="4">
        <v>0</v>
      </c>
      <c r="AY1002" s="5">
        <v>0</v>
      </c>
      <c r="AZ1002" s="5">
        <v>0</v>
      </c>
      <c r="BA1002" s="5">
        <v>0</v>
      </c>
      <c r="BB1002" s="2"/>
      <c r="BC1002" t="s">
        <v>0</v>
      </c>
      <c r="BD1002" s="5">
        <v>1</v>
      </c>
      <c r="BE1002" t="s">
        <v>0</v>
      </c>
      <c r="BF1002" t="s">
        <v>481</v>
      </c>
      <c r="BG1002" t="s">
        <v>17</v>
      </c>
      <c r="BH1002" t="s">
        <v>0</v>
      </c>
      <c r="BI1002" t="s">
        <v>11</v>
      </c>
      <c r="BJ1002" t="s">
        <v>0</v>
      </c>
      <c r="BK1002" t="s">
        <v>0</v>
      </c>
      <c r="BL1002" s="5">
        <v>0</v>
      </c>
      <c r="BM1002" t="s">
        <v>0</v>
      </c>
      <c r="BN1002" t="s">
        <v>0</v>
      </c>
      <c r="BO1002" t="s">
        <v>0</v>
      </c>
      <c r="BP1002" t="s">
        <v>17</v>
      </c>
      <c r="BQ1002" t="s">
        <v>0</v>
      </c>
      <c r="BR1002" t="s">
        <v>17</v>
      </c>
      <c r="BS1002" t="s">
        <v>17</v>
      </c>
      <c r="BT1002" t="s">
        <v>0</v>
      </c>
      <c r="BU1002" t="s">
        <v>0</v>
      </c>
      <c r="BV1002" t="s">
        <v>0</v>
      </c>
      <c r="BW1002" t="s">
        <v>0</v>
      </c>
      <c r="BX1002" t="s">
        <v>0</v>
      </c>
      <c r="BY1002" t="s">
        <v>0</v>
      </c>
      <c r="BZ1002" t="s">
        <v>0</v>
      </c>
      <c r="CA1002" t="s">
        <v>0</v>
      </c>
      <c r="CB1002" t="s">
        <v>0</v>
      </c>
    </row>
    <row r="1003" spans="1:80" ht="13.95" customHeight="1" x14ac:dyDescent="0.25">
      <c r="A1003" t="s">
        <v>480</v>
      </c>
      <c r="B1003" s="2">
        <v>46122</v>
      </c>
      <c r="C1003" s="2">
        <v>46122</v>
      </c>
      <c r="D1003" s="2">
        <v>46152</v>
      </c>
      <c r="E1003" t="s">
        <v>2</v>
      </c>
      <c r="F1003" t="s">
        <v>3</v>
      </c>
      <c r="G1003" t="s">
        <v>0</v>
      </c>
      <c r="H1003" t="s">
        <v>4</v>
      </c>
      <c r="I1003" t="s">
        <v>474</v>
      </c>
      <c r="J1003" t="s">
        <v>6</v>
      </c>
      <c r="K1003" t="s">
        <v>218</v>
      </c>
      <c r="L1003" t="s">
        <v>329</v>
      </c>
      <c r="M1003" t="s">
        <v>339</v>
      </c>
      <c r="N1003" t="s">
        <v>10</v>
      </c>
      <c r="O1003" t="s">
        <v>0</v>
      </c>
      <c r="P1003" t="s">
        <v>11</v>
      </c>
      <c r="Q1003" s="5">
        <v>7</v>
      </c>
      <c r="R1003" s="4">
        <v>60500</v>
      </c>
      <c r="S1003" s="5">
        <v>1</v>
      </c>
      <c r="T1003" s="4">
        <v>423500</v>
      </c>
      <c r="U1003" s="5">
        <v>0</v>
      </c>
      <c r="V1003" s="4">
        <v>0</v>
      </c>
      <c r="W1003" s="5">
        <v>0</v>
      </c>
      <c r="X1003" s="4">
        <v>0</v>
      </c>
      <c r="Y1003" s="4">
        <f t="shared" si="30"/>
        <v>423500</v>
      </c>
      <c r="Z1003" s="6" t="s">
        <v>0</v>
      </c>
      <c r="AA1003" t="s">
        <v>2</v>
      </c>
      <c r="AB1003" t="s">
        <v>12</v>
      </c>
      <c r="AC1003">
        <f>_xlfn.XLOOKUP(AB1003,'[1]GST Codes'!$A:$A,'[1]GST Codes'!$C:$C,0,0)</f>
        <v>18</v>
      </c>
      <c r="AD1003">
        <f t="shared" si="31"/>
        <v>499730</v>
      </c>
      <c r="AE1003" t="s">
        <v>13</v>
      </c>
      <c r="AF1003" t="s">
        <v>0</v>
      </c>
      <c r="AG1003" t="s">
        <v>14</v>
      </c>
      <c r="AH1003" t="s">
        <v>15</v>
      </c>
      <c r="AI1003" t="s">
        <v>85</v>
      </c>
      <c r="AJ1003" t="s">
        <v>17</v>
      </c>
      <c r="AK1003" t="s">
        <v>18</v>
      </c>
      <c r="AL1003" t="s">
        <v>19</v>
      </c>
      <c r="AM1003" t="s">
        <v>474</v>
      </c>
      <c r="AN1003" t="s">
        <v>0</v>
      </c>
      <c r="AO1003" t="s">
        <v>0</v>
      </c>
      <c r="AP1003" t="s">
        <v>0</v>
      </c>
      <c r="AQ1003" s="5">
        <v>7</v>
      </c>
      <c r="AR1003" t="s">
        <v>11</v>
      </c>
      <c r="AS1003" t="s">
        <v>0</v>
      </c>
      <c r="AT1003" t="s">
        <v>17</v>
      </c>
      <c r="AU1003" s="4">
        <v>0</v>
      </c>
      <c r="AV1003" s="4">
        <v>0</v>
      </c>
      <c r="AW1003" s="4">
        <v>0</v>
      </c>
      <c r="AX1003" s="4">
        <v>0</v>
      </c>
      <c r="AY1003" s="5">
        <v>0</v>
      </c>
      <c r="AZ1003" s="5">
        <v>0</v>
      </c>
      <c r="BA1003" s="5">
        <v>0</v>
      </c>
      <c r="BB1003" s="2"/>
      <c r="BC1003" t="s">
        <v>0</v>
      </c>
      <c r="BD1003" s="5">
        <v>1</v>
      </c>
      <c r="BE1003" t="s">
        <v>0</v>
      </c>
      <c r="BF1003" t="s">
        <v>481</v>
      </c>
      <c r="BG1003" t="s">
        <v>17</v>
      </c>
      <c r="BH1003" t="s">
        <v>0</v>
      </c>
      <c r="BI1003" t="s">
        <v>11</v>
      </c>
      <c r="BJ1003" t="s">
        <v>0</v>
      </c>
      <c r="BK1003" t="s">
        <v>0</v>
      </c>
      <c r="BL1003" s="5">
        <v>0</v>
      </c>
      <c r="BM1003" t="s">
        <v>0</v>
      </c>
      <c r="BN1003" t="s">
        <v>0</v>
      </c>
      <c r="BO1003" t="s">
        <v>0</v>
      </c>
      <c r="BP1003" t="s">
        <v>17</v>
      </c>
      <c r="BQ1003" t="s">
        <v>0</v>
      </c>
      <c r="BR1003" t="s">
        <v>17</v>
      </c>
      <c r="BS1003" t="s">
        <v>17</v>
      </c>
      <c r="BT1003" t="s">
        <v>0</v>
      </c>
      <c r="BU1003" t="s">
        <v>0</v>
      </c>
      <c r="BV1003" t="s">
        <v>0</v>
      </c>
      <c r="BW1003" t="s">
        <v>0</v>
      </c>
      <c r="BX1003" t="s">
        <v>0</v>
      </c>
      <c r="BY1003" t="s">
        <v>0</v>
      </c>
      <c r="BZ1003" t="s">
        <v>0</v>
      </c>
      <c r="CA1003" t="s">
        <v>0</v>
      </c>
      <c r="CB1003" t="s">
        <v>0</v>
      </c>
    </row>
    <row r="1004" spans="1:80" ht="13.95" customHeight="1" x14ac:dyDescent="0.25">
      <c r="A1004" t="s">
        <v>480</v>
      </c>
      <c r="B1004" s="2">
        <v>46122</v>
      </c>
      <c r="C1004" s="2">
        <v>46122</v>
      </c>
      <c r="D1004" s="2">
        <v>46152</v>
      </c>
      <c r="E1004" t="s">
        <v>2</v>
      </c>
      <c r="F1004" t="s">
        <v>3</v>
      </c>
      <c r="G1004" t="s">
        <v>0</v>
      </c>
      <c r="H1004" t="s">
        <v>4</v>
      </c>
      <c r="I1004" t="s">
        <v>474</v>
      </c>
      <c r="J1004" t="s">
        <v>6</v>
      </c>
      <c r="K1004" t="s">
        <v>219</v>
      </c>
      <c r="L1004" t="s">
        <v>329</v>
      </c>
      <c r="M1004" t="s">
        <v>339</v>
      </c>
      <c r="N1004" t="s">
        <v>10</v>
      </c>
      <c r="O1004" t="s">
        <v>0</v>
      </c>
      <c r="P1004" t="s">
        <v>11</v>
      </c>
      <c r="Q1004" s="5">
        <v>7</v>
      </c>
      <c r="R1004" s="4">
        <v>60500</v>
      </c>
      <c r="S1004" s="5">
        <v>1</v>
      </c>
      <c r="T1004" s="4">
        <v>423500</v>
      </c>
      <c r="U1004" s="5">
        <v>0</v>
      </c>
      <c r="V1004" s="4">
        <v>0</v>
      </c>
      <c r="W1004" s="5">
        <v>0</v>
      </c>
      <c r="X1004" s="4">
        <v>0</v>
      </c>
      <c r="Y1004" s="4">
        <f t="shared" si="30"/>
        <v>423500</v>
      </c>
      <c r="Z1004" s="6" t="s">
        <v>0</v>
      </c>
      <c r="AA1004" t="s">
        <v>2</v>
      </c>
      <c r="AB1004" t="s">
        <v>12</v>
      </c>
      <c r="AC1004">
        <f>_xlfn.XLOOKUP(AB1004,'[1]GST Codes'!$A:$A,'[1]GST Codes'!$C:$C,0,0)</f>
        <v>18</v>
      </c>
      <c r="AD1004">
        <f t="shared" si="31"/>
        <v>499730</v>
      </c>
      <c r="AE1004" t="s">
        <v>13</v>
      </c>
      <c r="AF1004" t="s">
        <v>0</v>
      </c>
      <c r="AG1004" t="s">
        <v>14</v>
      </c>
      <c r="AH1004" t="s">
        <v>15</v>
      </c>
      <c r="AI1004" t="s">
        <v>85</v>
      </c>
      <c r="AJ1004" t="s">
        <v>17</v>
      </c>
      <c r="AK1004" t="s">
        <v>18</v>
      </c>
      <c r="AL1004" t="s">
        <v>19</v>
      </c>
      <c r="AM1004" t="s">
        <v>474</v>
      </c>
      <c r="AN1004" t="s">
        <v>0</v>
      </c>
      <c r="AO1004" t="s">
        <v>0</v>
      </c>
      <c r="AP1004" t="s">
        <v>0</v>
      </c>
      <c r="AQ1004" s="5">
        <v>7</v>
      </c>
      <c r="AR1004" t="s">
        <v>11</v>
      </c>
      <c r="AS1004" t="s">
        <v>0</v>
      </c>
      <c r="AT1004" t="s">
        <v>17</v>
      </c>
      <c r="AU1004" s="4">
        <v>0</v>
      </c>
      <c r="AV1004" s="4">
        <v>0</v>
      </c>
      <c r="AW1004" s="4">
        <v>0</v>
      </c>
      <c r="AX1004" s="4">
        <v>0</v>
      </c>
      <c r="AY1004" s="5">
        <v>0</v>
      </c>
      <c r="AZ1004" s="5">
        <v>0</v>
      </c>
      <c r="BA1004" s="5">
        <v>0</v>
      </c>
      <c r="BB1004" s="2"/>
      <c r="BC1004" t="s">
        <v>0</v>
      </c>
      <c r="BD1004" s="5">
        <v>1</v>
      </c>
      <c r="BE1004" t="s">
        <v>0</v>
      </c>
      <c r="BF1004" t="s">
        <v>481</v>
      </c>
      <c r="BG1004" t="s">
        <v>17</v>
      </c>
      <c r="BH1004" t="s">
        <v>0</v>
      </c>
      <c r="BI1004" t="s">
        <v>11</v>
      </c>
      <c r="BJ1004" t="s">
        <v>0</v>
      </c>
      <c r="BK1004" t="s">
        <v>0</v>
      </c>
      <c r="BL1004" s="5">
        <v>0</v>
      </c>
      <c r="BM1004" t="s">
        <v>0</v>
      </c>
      <c r="BN1004" t="s">
        <v>0</v>
      </c>
      <c r="BO1004" t="s">
        <v>0</v>
      </c>
      <c r="BP1004" t="s">
        <v>17</v>
      </c>
      <c r="BQ1004" t="s">
        <v>0</v>
      </c>
      <c r="BR1004" t="s">
        <v>17</v>
      </c>
      <c r="BS1004" t="s">
        <v>17</v>
      </c>
      <c r="BT1004" t="s">
        <v>0</v>
      </c>
      <c r="BU1004" t="s">
        <v>0</v>
      </c>
      <c r="BV1004" t="s">
        <v>0</v>
      </c>
      <c r="BW1004" t="s">
        <v>0</v>
      </c>
      <c r="BX1004" t="s">
        <v>0</v>
      </c>
      <c r="BY1004" t="s">
        <v>0</v>
      </c>
      <c r="BZ1004" t="s">
        <v>0</v>
      </c>
      <c r="CA1004" t="s">
        <v>0</v>
      </c>
      <c r="CB1004" t="s">
        <v>0</v>
      </c>
    </row>
    <row r="1005" spans="1:80" ht="13.95" customHeight="1" x14ac:dyDescent="0.25">
      <c r="A1005" t="s">
        <v>480</v>
      </c>
      <c r="B1005" s="2">
        <v>46122</v>
      </c>
      <c r="C1005" s="2">
        <v>46122</v>
      </c>
      <c r="D1005" s="2">
        <v>46152</v>
      </c>
      <c r="E1005" t="s">
        <v>2</v>
      </c>
      <c r="F1005" t="s">
        <v>3</v>
      </c>
      <c r="G1005" t="s">
        <v>0</v>
      </c>
      <c r="H1005" t="s">
        <v>4</v>
      </c>
      <c r="I1005" t="s">
        <v>474</v>
      </c>
      <c r="J1005" t="s">
        <v>6</v>
      </c>
      <c r="K1005" t="s">
        <v>223</v>
      </c>
      <c r="L1005" t="s">
        <v>329</v>
      </c>
      <c r="M1005" t="s">
        <v>339</v>
      </c>
      <c r="N1005" t="s">
        <v>10</v>
      </c>
      <c r="O1005" t="s">
        <v>0</v>
      </c>
      <c r="P1005" t="s">
        <v>11</v>
      </c>
      <c r="Q1005" s="5">
        <v>7</v>
      </c>
      <c r="R1005" s="4">
        <v>60500</v>
      </c>
      <c r="S1005" s="5">
        <v>1</v>
      </c>
      <c r="T1005" s="4">
        <v>423500</v>
      </c>
      <c r="U1005" s="5">
        <v>0</v>
      </c>
      <c r="V1005" s="4">
        <v>0</v>
      </c>
      <c r="W1005" s="5">
        <v>0</v>
      </c>
      <c r="X1005" s="4">
        <v>0</v>
      </c>
      <c r="Y1005" s="4">
        <f t="shared" si="30"/>
        <v>423500</v>
      </c>
      <c r="Z1005" s="6" t="s">
        <v>0</v>
      </c>
      <c r="AA1005" t="s">
        <v>2</v>
      </c>
      <c r="AB1005" t="s">
        <v>12</v>
      </c>
      <c r="AC1005">
        <f>_xlfn.XLOOKUP(AB1005,'[1]GST Codes'!$A:$A,'[1]GST Codes'!$C:$C,0,0)</f>
        <v>18</v>
      </c>
      <c r="AD1005">
        <f t="shared" si="31"/>
        <v>499730</v>
      </c>
      <c r="AE1005" t="s">
        <v>13</v>
      </c>
      <c r="AF1005" t="s">
        <v>0</v>
      </c>
      <c r="AG1005" t="s">
        <v>14</v>
      </c>
      <c r="AH1005" t="s">
        <v>15</v>
      </c>
      <c r="AI1005" t="s">
        <v>85</v>
      </c>
      <c r="AJ1005" t="s">
        <v>17</v>
      </c>
      <c r="AK1005" t="s">
        <v>18</v>
      </c>
      <c r="AL1005" t="s">
        <v>19</v>
      </c>
      <c r="AM1005" t="s">
        <v>474</v>
      </c>
      <c r="AN1005" t="s">
        <v>0</v>
      </c>
      <c r="AO1005" t="s">
        <v>0</v>
      </c>
      <c r="AP1005" t="s">
        <v>0</v>
      </c>
      <c r="AQ1005" s="5">
        <v>7</v>
      </c>
      <c r="AR1005" t="s">
        <v>11</v>
      </c>
      <c r="AS1005" t="s">
        <v>0</v>
      </c>
      <c r="AT1005" t="s">
        <v>17</v>
      </c>
      <c r="AU1005" s="4">
        <v>0</v>
      </c>
      <c r="AV1005" s="4">
        <v>0</v>
      </c>
      <c r="AW1005" s="4">
        <v>0</v>
      </c>
      <c r="AX1005" s="4">
        <v>0</v>
      </c>
      <c r="AY1005" s="5">
        <v>0</v>
      </c>
      <c r="AZ1005" s="5">
        <v>0</v>
      </c>
      <c r="BA1005" s="5">
        <v>0</v>
      </c>
      <c r="BB1005" s="2"/>
      <c r="BC1005" t="s">
        <v>0</v>
      </c>
      <c r="BD1005" s="5">
        <v>1</v>
      </c>
      <c r="BE1005" t="s">
        <v>0</v>
      </c>
      <c r="BF1005" t="s">
        <v>481</v>
      </c>
      <c r="BG1005" t="s">
        <v>17</v>
      </c>
      <c r="BH1005" t="s">
        <v>0</v>
      </c>
      <c r="BI1005" t="s">
        <v>11</v>
      </c>
      <c r="BJ1005" t="s">
        <v>0</v>
      </c>
      <c r="BK1005" t="s">
        <v>0</v>
      </c>
      <c r="BL1005" s="5">
        <v>0</v>
      </c>
      <c r="BM1005" t="s">
        <v>0</v>
      </c>
      <c r="BN1005" t="s">
        <v>0</v>
      </c>
      <c r="BO1005" t="s">
        <v>0</v>
      </c>
      <c r="BP1005" t="s">
        <v>17</v>
      </c>
      <c r="BQ1005" t="s">
        <v>0</v>
      </c>
      <c r="BR1005" t="s">
        <v>17</v>
      </c>
      <c r="BS1005" t="s">
        <v>17</v>
      </c>
      <c r="BT1005" t="s">
        <v>0</v>
      </c>
      <c r="BU1005" t="s">
        <v>0</v>
      </c>
      <c r="BV1005" t="s">
        <v>0</v>
      </c>
      <c r="BW1005" t="s">
        <v>0</v>
      </c>
      <c r="BX1005" t="s">
        <v>0</v>
      </c>
      <c r="BY1005" t="s">
        <v>0</v>
      </c>
      <c r="BZ1005" t="s">
        <v>0</v>
      </c>
      <c r="CA1005" t="s">
        <v>0</v>
      </c>
      <c r="CB1005" t="s">
        <v>0</v>
      </c>
    </row>
    <row r="1006" spans="1:80" ht="13.95" customHeight="1" x14ac:dyDescent="0.25">
      <c r="A1006" t="s">
        <v>480</v>
      </c>
      <c r="B1006" s="2">
        <v>46122</v>
      </c>
      <c r="C1006" s="2">
        <v>46122</v>
      </c>
      <c r="D1006" s="2">
        <v>46152</v>
      </c>
      <c r="E1006" t="s">
        <v>2</v>
      </c>
      <c r="F1006" t="s">
        <v>3</v>
      </c>
      <c r="G1006" t="s">
        <v>0</v>
      </c>
      <c r="H1006" t="s">
        <v>4</v>
      </c>
      <c r="I1006" t="s">
        <v>474</v>
      </c>
      <c r="J1006" t="s">
        <v>6</v>
      </c>
      <c r="K1006" t="s">
        <v>224</v>
      </c>
      <c r="L1006" t="s">
        <v>329</v>
      </c>
      <c r="M1006" t="s">
        <v>339</v>
      </c>
      <c r="N1006" t="s">
        <v>10</v>
      </c>
      <c r="O1006" t="s">
        <v>0</v>
      </c>
      <c r="P1006" t="s">
        <v>11</v>
      </c>
      <c r="Q1006" s="5">
        <v>6</v>
      </c>
      <c r="R1006" s="4">
        <v>60500</v>
      </c>
      <c r="S1006" s="5">
        <v>1</v>
      </c>
      <c r="T1006" s="4">
        <v>363000</v>
      </c>
      <c r="U1006" s="5">
        <v>0</v>
      </c>
      <c r="V1006" s="4">
        <v>0</v>
      </c>
      <c r="W1006" s="5">
        <v>0</v>
      </c>
      <c r="X1006" s="4">
        <v>0</v>
      </c>
      <c r="Y1006" s="4">
        <f t="shared" si="30"/>
        <v>363000</v>
      </c>
      <c r="Z1006" s="6" t="s">
        <v>0</v>
      </c>
      <c r="AA1006" t="s">
        <v>2</v>
      </c>
      <c r="AB1006" t="s">
        <v>12</v>
      </c>
      <c r="AC1006">
        <f>_xlfn.XLOOKUP(AB1006,'[1]GST Codes'!$A:$A,'[1]GST Codes'!$C:$C,0,0)</f>
        <v>18</v>
      </c>
      <c r="AD1006">
        <f t="shared" si="31"/>
        <v>428340</v>
      </c>
      <c r="AE1006" t="s">
        <v>13</v>
      </c>
      <c r="AF1006" t="s">
        <v>0</v>
      </c>
      <c r="AG1006" t="s">
        <v>14</v>
      </c>
      <c r="AH1006" t="s">
        <v>15</v>
      </c>
      <c r="AI1006" t="s">
        <v>85</v>
      </c>
      <c r="AJ1006" t="s">
        <v>17</v>
      </c>
      <c r="AK1006" t="s">
        <v>18</v>
      </c>
      <c r="AL1006" t="s">
        <v>19</v>
      </c>
      <c r="AM1006" t="s">
        <v>474</v>
      </c>
      <c r="AN1006" t="s">
        <v>0</v>
      </c>
      <c r="AO1006" t="s">
        <v>0</v>
      </c>
      <c r="AP1006" t="s">
        <v>0</v>
      </c>
      <c r="AQ1006" s="5">
        <v>6</v>
      </c>
      <c r="AR1006" t="s">
        <v>11</v>
      </c>
      <c r="AS1006" t="s">
        <v>0</v>
      </c>
      <c r="AT1006" t="s">
        <v>17</v>
      </c>
      <c r="AU1006" s="4">
        <v>0</v>
      </c>
      <c r="AV1006" s="4">
        <v>0</v>
      </c>
      <c r="AW1006" s="4">
        <v>0</v>
      </c>
      <c r="AX1006" s="4">
        <v>0</v>
      </c>
      <c r="AY1006" s="5">
        <v>0</v>
      </c>
      <c r="AZ1006" s="5">
        <v>0</v>
      </c>
      <c r="BA1006" s="5">
        <v>0</v>
      </c>
      <c r="BB1006" s="2"/>
      <c r="BC1006" t="s">
        <v>0</v>
      </c>
      <c r="BD1006" s="5">
        <v>1</v>
      </c>
      <c r="BE1006" t="s">
        <v>0</v>
      </c>
      <c r="BF1006" t="s">
        <v>481</v>
      </c>
      <c r="BG1006" t="s">
        <v>17</v>
      </c>
      <c r="BH1006" t="s">
        <v>0</v>
      </c>
      <c r="BI1006" t="s">
        <v>11</v>
      </c>
      <c r="BJ1006" t="s">
        <v>0</v>
      </c>
      <c r="BK1006" t="s">
        <v>0</v>
      </c>
      <c r="BL1006" s="5">
        <v>0</v>
      </c>
      <c r="BM1006" t="s">
        <v>0</v>
      </c>
      <c r="BN1006" t="s">
        <v>0</v>
      </c>
      <c r="BO1006" t="s">
        <v>0</v>
      </c>
      <c r="BP1006" t="s">
        <v>17</v>
      </c>
      <c r="BQ1006" t="s">
        <v>0</v>
      </c>
      <c r="BR1006" t="s">
        <v>17</v>
      </c>
      <c r="BS1006" t="s">
        <v>17</v>
      </c>
      <c r="BT1006" t="s">
        <v>0</v>
      </c>
      <c r="BU1006" t="s">
        <v>0</v>
      </c>
      <c r="BV1006" t="s">
        <v>0</v>
      </c>
      <c r="BW1006" t="s">
        <v>0</v>
      </c>
      <c r="BX1006" t="s">
        <v>0</v>
      </c>
      <c r="BY1006" t="s">
        <v>0</v>
      </c>
      <c r="BZ1006" t="s">
        <v>0</v>
      </c>
      <c r="CA1006" t="s">
        <v>0</v>
      </c>
      <c r="CB1006" t="s">
        <v>0</v>
      </c>
    </row>
    <row r="1007" spans="1:80" ht="13.95" customHeight="1" x14ac:dyDescent="0.25">
      <c r="A1007" t="s">
        <v>480</v>
      </c>
      <c r="B1007" s="2">
        <v>46122</v>
      </c>
      <c r="C1007" s="2">
        <v>46122</v>
      </c>
      <c r="D1007" s="2">
        <v>46152</v>
      </c>
      <c r="E1007" t="s">
        <v>2</v>
      </c>
      <c r="F1007" t="s">
        <v>3</v>
      </c>
      <c r="G1007" t="s">
        <v>0</v>
      </c>
      <c r="H1007" t="s">
        <v>4</v>
      </c>
      <c r="I1007" t="s">
        <v>474</v>
      </c>
      <c r="J1007" t="s">
        <v>6</v>
      </c>
      <c r="K1007" t="s">
        <v>225</v>
      </c>
      <c r="L1007" t="s">
        <v>329</v>
      </c>
      <c r="M1007" t="s">
        <v>339</v>
      </c>
      <c r="N1007" t="s">
        <v>10</v>
      </c>
      <c r="O1007" t="s">
        <v>0</v>
      </c>
      <c r="P1007" t="s">
        <v>11</v>
      </c>
      <c r="Q1007" s="5">
        <v>6</v>
      </c>
      <c r="R1007" s="4">
        <v>60500</v>
      </c>
      <c r="S1007" s="5">
        <v>1</v>
      </c>
      <c r="T1007" s="4">
        <v>363000</v>
      </c>
      <c r="U1007" s="5">
        <v>0</v>
      </c>
      <c r="V1007" s="4">
        <v>0</v>
      </c>
      <c r="W1007" s="5">
        <v>0</v>
      </c>
      <c r="X1007" s="4">
        <v>0</v>
      </c>
      <c r="Y1007" s="4">
        <f t="shared" si="30"/>
        <v>363000</v>
      </c>
      <c r="Z1007" s="6" t="s">
        <v>0</v>
      </c>
      <c r="AA1007" t="s">
        <v>2</v>
      </c>
      <c r="AB1007" t="s">
        <v>12</v>
      </c>
      <c r="AC1007">
        <f>_xlfn.XLOOKUP(AB1007,'[1]GST Codes'!$A:$A,'[1]GST Codes'!$C:$C,0,0)</f>
        <v>18</v>
      </c>
      <c r="AD1007">
        <f t="shared" si="31"/>
        <v>428340</v>
      </c>
      <c r="AE1007" t="s">
        <v>13</v>
      </c>
      <c r="AF1007" t="s">
        <v>0</v>
      </c>
      <c r="AG1007" t="s">
        <v>14</v>
      </c>
      <c r="AH1007" t="s">
        <v>15</v>
      </c>
      <c r="AI1007" t="s">
        <v>85</v>
      </c>
      <c r="AJ1007" t="s">
        <v>17</v>
      </c>
      <c r="AK1007" t="s">
        <v>18</v>
      </c>
      <c r="AL1007" t="s">
        <v>19</v>
      </c>
      <c r="AM1007" t="s">
        <v>474</v>
      </c>
      <c r="AN1007" t="s">
        <v>0</v>
      </c>
      <c r="AO1007" t="s">
        <v>0</v>
      </c>
      <c r="AP1007" t="s">
        <v>0</v>
      </c>
      <c r="AQ1007" s="5">
        <v>6</v>
      </c>
      <c r="AR1007" t="s">
        <v>11</v>
      </c>
      <c r="AS1007" t="s">
        <v>0</v>
      </c>
      <c r="AT1007" t="s">
        <v>17</v>
      </c>
      <c r="AU1007" s="4">
        <v>0</v>
      </c>
      <c r="AV1007" s="4">
        <v>0</v>
      </c>
      <c r="AW1007" s="4">
        <v>0</v>
      </c>
      <c r="AX1007" s="4">
        <v>0</v>
      </c>
      <c r="AY1007" s="5">
        <v>0</v>
      </c>
      <c r="AZ1007" s="5">
        <v>0</v>
      </c>
      <c r="BA1007" s="5">
        <v>0</v>
      </c>
      <c r="BB1007" s="2"/>
      <c r="BC1007" t="s">
        <v>0</v>
      </c>
      <c r="BD1007" s="5">
        <v>1</v>
      </c>
      <c r="BE1007" t="s">
        <v>0</v>
      </c>
      <c r="BF1007" t="s">
        <v>481</v>
      </c>
      <c r="BG1007" t="s">
        <v>17</v>
      </c>
      <c r="BH1007" t="s">
        <v>0</v>
      </c>
      <c r="BI1007" t="s">
        <v>11</v>
      </c>
      <c r="BJ1007" t="s">
        <v>0</v>
      </c>
      <c r="BK1007" t="s">
        <v>0</v>
      </c>
      <c r="BL1007" s="5">
        <v>0</v>
      </c>
      <c r="BM1007" t="s">
        <v>0</v>
      </c>
      <c r="BN1007" t="s">
        <v>0</v>
      </c>
      <c r="BO1007" t="s">
        <v>0</v>
      </c>
      <c r="BP1007" t="s">
        <v>17</v>
      </c>
      <c r="BQ1007" t="s">
        <v>0</v>
      </c>
      <c r="BR1007" t="s">
        <v>17</v>
      </c>
      <c r="BS1007" t="s">
        <v>17</v>
      </c>
      <c r="BT1007" t="s">
        <v>0</v>
      </c>
      <c r="BU1007" t="s">
        <v>0</v>
      </c>
      <c r="BV1007" t="s">
        <v>0</v>
      </c>
      <c r="BW1007" t="s">
        <v>0</v>
      </c>
      <c r="BX1007" t="s">
        <v>0</v>
      </c>
      <c r="BY1007" t="s">
        <v>0</v>
      </c>
      <c r="BZ1007" t="s">
        <v>0</v>
      </c>
      <c r="CA1007" t="s">
        <v>0</v>
      </c>
      <c r="CB1007" t="s">
        <v>0</v>
      </c>
    </row>
    <row r="1008" spans="1:80" x14ac:dyDescent="0.25">
      <c r="A1008" t="s">
        <v>482</v>
      </c>
      <c r="B1008" s="2">
        <v>46189</v>
      </c>
      <c r="C1008" s="2">
        <v>46189</v>
      </c>
      <c r="D1008" s="2">
        <v>46219</v>
      </c>
      <c r="E1008" t="s">
        <v>2</v>
      </c>
      <c r="F1008" t="s">
        <v>3</v>
      </c>
      <c r="G1008" t="s">
        <v>0</v>
      </c>
      <c r="H1008" t="s">
        <v>4</v>
      </c>
      <c r="I1008" t="s">
        <v>474</v>
      </c>
      <c r="J1008" t="s">
        <v>6</v>
      </c>
      <c r="K1008" t="s">
        <v>7</v>
      </c>
      <c r="L1008" t="s">
        <v>74</v>
      </c>
      <c r="M1008" t="s">
        <v>75</v>
      </c>
      <c r="N1008" t="s">
        <v>10</v>
      </c>
      <c r="O1008" t="s">
        <v>0</v>
      </c>
      <c r="P1008" t="s">
        <v>11</v>
      </c>
      <c r="Q1008" s="5">
        <v>8</v>
      </c>
      <c r="R1008" s="4">
        <v>50600</v>
      </c>
      <c r="S1008" s="5">
        <v>1</v>
      </c>
      <c r="T1008" s="4">
        <v>404800</v>
      </c>
      <c r="U1008" s="5">
        <v>8</v>
      </c>
      <c r="V1008" s="4">
        <v>404800</v>
      </c>
      <c r="W1008" s="5">
        <v>8</v>
      </c>
      <c r="X1008" s="4">
        <v>404800</v>
      </c>
      <c r="Y1008" s="4">
        <f t="shared" si="30"/>
        <v>0</v>
      </c>
      <c r="Z1008" t="s">
        <v>0</v>
      </c>
      <c r="AA1008" t="s">
        <v>2</v>
      </c>
      <c r="AB1008" t="s">
        <v>12</v>
      </c>
      <c r="AC1008">
        <f>_xlfn.XLOOKUP(AB1008,'[1]GST Codes'!$A:$A,'[1]GST Codes'!$C:$C,0,0)</f>
        <v>18</v>
      </c>
      <c r="AD1008">
        <f t="shared" si="31"/>
        <v>0</v>
      </c>
      <c r="AE1008" t="s">
        <v>13</v>
      </c>
      <c r="AF1008" t="s">
        <v>0</v>
      </c>
      <c r="AG1008" t="s">
        <v>431</v>
      </c>
      <c r="AH1008" t="s">
        <v>59</v>
      </c>
      <c r="AI1008" t="s">
        <v>96</v>
      </c>
      <c r="AJ1008" t="s">
        <v>17</v>
      </c>
      <c r="AK1008" t="s">
        <v>18</v>
      </c>
      <c r="AL1008" t="s">
        <v>19</v>
      </c>
      <c r="AM1008" t="s">
        <v>474</v>
      </c>
      <c r="AN1008" t="s">
        <v>0</v>
      </c>
      <c r="AO1008" t="s">
        <v>0</v>
      </c>
      <c r="AP1008" t="s">
        <v>0</v>
      </c>
      <c r="AQ1008" s="5">
        <v>8</v>
      </c>
      <c r="AR1008" t="s">
        <v>11</v>
      </c>
      <c r="AS1008" t="s">
        <v>0</v>
      </c>
      <c r="AT1008" t="s">
        <v>17</v>
      </c>
      <c r="AU1008" s="4">
        <v>0</v>
      </c>
      <c r="AV1008" s="4">
        <v>0</v>
      </c>
      <c r="AW1008" s="4">
        <v>0</v>
      </c>
      <c r="AX1008" s="4">
        <v>0</v>
      </c>
      <c r="AY1008" s="5">
        <v>0</v>
      </c>
      <c r="AZ1008" s="5">
        <v>0</v>
      </c>
      <c r="BA1008" s="5">
        <v>0</v>
      </c>
      <c r="BB1008" s="2"/>
      <c r="BC1008" t="s">
        <v>0</v>
      </c>
      <c r="BD1008" s="5">
        <v>1</v>
      </c>
      <c r="BE1008" t="s">
        <v>0</v>
      </c>
      <c r="BF1008" t="s">
        <v>475</v>
      </c>
      <c r="BG1008" t="s">
        <v>17</v>
      </c>
      <c r="BH1008" t="s">
        <v>0</v>
      </c>
      <c r="BI1008" t="s">
        <v>11</v>
      </c>
      <c r="BJ1008" t="s">
        <v>0</v>
      </c>
      <c r="BK1008" t="s">
        <v>0</v>
      </c>
      <c r="BL1008" s="5">
        <v>0</v>
      </c>
      <c r="BM1008" t="s">
        <v>0</v>
      </c>
      <c r="BN1008" t="s">
        <v>0</v>
      </c>
      <c r="BO1008" t="s">
        <v>0</v>
      </c>
      <c r="BP1008" t="s">
        <v>17</v>
      </c>
      <c r="BQ1008" t="s">
        <v>0</v>
      </c>
      <c r="BR1008" t="s">
        <v>17</v>
      </c>
      <c r="BS1008" t="s">
        <v>17</v>
      </c>
      <c r="BT1008" t="s">
        <v>0</v>
      </c>
      <c r="BU1008" t="s">
        <v>0</v>
      </c>
      <c r="BV1008" t="s">
        <v>0</v>
      </c>
      <c r="BW1008" t="s">
        <v>0</v>
      </c>
      <c r="BX1008" t="s">
        <v>0</v>
      </c>
      <c r="BY1008" t="s">
        <v>0</v>
      </c>
      <c r="BZ1008" t="s">
        <v>0</v>
      </c>
      <c r="CA1008" t="s">
        <v>0</v>
      </c>
      <c r="CB1008" t="s">
        <v>0</v>
      </c>
    </row>
    <row r="1009" spans="1:80" x14ac:dyDescent="0.25">
      <c r="A1009" t="s">
        <v>482</v>
      </c>
      <c r="B1009" s="2">
        <v>46189</v>
      </c>
      <c r="C1009" s="2">
        <v>46189</v>
      </c>
      <c r="D1009" s="2">
        <v>46219</v>
      </c>
      <c r="E1009" t="s">
        <v>2</v>
      </c>
      <c r="F1009" t="s">
        <v>3</v>
      </c>
      <c r="G1009" t="s">
        <v>0</v>
      </c>
      <c r="H1009" t="s">
        <v>4</v>
      </c>
      <c r="I1009" t="s">
        <v>474</v>
      </c>
      <c r="J1009" t="s">
        <v>6</v>
      </c>
      <c r="K1009" t="s">
        <v>22</v>
      </c>
      <c r="L1009" t="s">
        <v>74</v>
      </c>
      <c r="M1009" t="s">
        <v>75</v>
      </c>
      <c r="N1009" t="s">
        <v>10</v>
      </c>
      <c r="O1009" t="s">
        <v>0</v>
      </c>
      <c r="P1009" t="s">
        <v>11</v>
      </c>
      <c r="Q1009" s="5">
        <v>8</v>
      </c>
      <c r="R1009" s="4">
        <v>50600</v>
      </c>
      <c r="S1009" s="5">
        <v>1</v>
      </c>
      <c r="T1009" s="4">
        <v>404800</v>
      </c>
      <c r="U1009" s="5">
        <v>8</v>
      </c>
      <c r="V1009" s="4">
        <v>404800</v>
      </c>
      <c r="W1009" s="5">
        <v>8</v>
      </c>
      <c r="X1009" s="4">
        <v>404800</v>
      </c>
      <c r="Y1009" s="4">
        <f t="shared" si="30"/>
        <v>0</v>
      </c>
      <c r="Z1009" t="s">
        <v>0</v>
      </c>
      <c r="AA1009" t="s">
        <v>2</v>
      </c>
      <c r="AB1009" t="s">
        <v>12</v>
      </c>
      <c r="AC1009">
        <f>_xlfn.XLOOKUP(AB1009,'[1]GST Codes'!$A:$A,'[1]GST Codes'!$C:$C,0,0)</f>
        <v>18</v>
      </c>
      <c r="AD1009">
        <f t="shared" si="31"/>
        <v>0</v>
      </c>
      <c r="AE1009" t="s">
        <v>13</v>
      </c>
      <c r="AF1009" t="s">
        <v>0</v>
      </c>
      <c r="AG1009" t="s">
        <v>431</v>
      </c>
      <c r="AH1009" t="s">
        <v>59</v>
      </c>
      <c r="AI1009" t="s">
        <v>96</v>
      </c>
      <c r="AJ1009" t="s">
        <v>17</v>
      </c>
      <c r="AK1009" t="s">
        <v>18</v>
      </c>
      <c r="AL1009" t="s">
        <v>19</v>
      </c>
      <c r="AM1009" t="s">
        <v>474</v>
      </c>
      <c r="AN1009" t="s">
        <v>0</v>
      </c>
      <c r="AO1009" t="s">
        <v>0</v>
      </c>
      <c r="AP1009" t="s">
        <v>0</v>
      </c>
      <c r="AQ1009" s="5">
        <v>8</v>
      </c>
      <c r="AR1009" t="s">
        <v>11</v>
      </c>
      <c r="AS1009" t="s">
        <v>0</v>
      </c>
      <c r="AT1009" t="s">
        <v>17</v>
      </c>
      <c r="AU1009" s="4">
        <v>0</v>
      </c>
      <c r="AV1009" s="4">
        <v>0</v>
      </c>
      <c r="AW1009" s="4">
        <v>0</v>
      </c>
      <c r="AX1009" s="4">
        <v>0</v>
      </c>
      <c r="AY1009" s="5">
        <v>0</v>
      </c>
      <c r="AZ1009" s="5">
        <v>0</v>
      </c>
      <c r="BA1009" s="5">
        <v>0</v>
      </c>
      <c r="BB1009" s="2"/>
      <c r="BC1009" t="s">
        <v>0</v>
      </c>
      <c r="BD1009" s="5">
        <v>1</v>
      </c>
      <c r="BE1009" t="s">
        <v>0</v>
      </c>
      <c r="BF1009" t="s">
        <v>475</v>
      </c>
      <c r="BG1009" t="s">
        <v>17</v>
      </c>
      <c r="BH1009" t="s">
        <v>0</v>
      </c>
      <c r="BI1009" t="s">
        <v>11</v>
      </c>
      <c r="BJ1009" t="s">
        <v>0</v>
      </c>
      <c r="BK1009" t="s">
        <v>0</v>
      </c>
      <c r="BL1009" s="5">
        <v>0</v>
      </c>
      <c r="BM1009" t="s">
        <v>0</v>
      </c>
      <c r="BN1009" t="s">
        <v>0</v>
      </c>
      <c r="BO1009" t="s">
        <v>0</v>
      </c>
      <c r="BP1009" t="s">
        <v>17</v>
      </c>
      <c r="BQ1009" t="s">
        <v>0</v>
      </c>
      <c r="BR1009" t="s">
        <v>17</v>
      </c>
      <c r="BS1009" t="s">
        <v>17</v>
      </c>
      <c r="BT1009" t="s">
        <v>0</v>
      </c>
      <c r="BU1009" t="s">
        <v>0</v>
      </c>
      <c r="BV1009" t="s">
        <v>0</v>
      </c>
      <c r="BW1009" t="s">
        <v>0</v>
      </c>
      <c r="BX1009" t="s">
        <v>0</v>
      </c>
      <c r="BY1009" t="s">
        <v>0</v>
      </c>
      <c r="BZ1009" t="s">
        <v>0</v>
      </c>
      <c r="CA1009" t="s">
        <v>0</v>
      </c>
      <c r="CB1009" t="s">
        <v>0</v>
      </c>
    </row>
    <row r="1010" spans="1:80" x14ac:dyDescent="0.25">
      <c r="A1010" t="s">
        <v>482</v>
      </c>
      <c r="B1010" s="2">
        <v>46189</v>
      </c>
      <c r="C1010" s="2">
        <v>46189</v>
      </c>
      <c r="D1010" s="2">
        <v>46219</v>
      </c>
      <c r="E1010" t="s">
        <v>2</v>
      </c>
      <c r="F1010" t="s">
        <v>3</v>
      </c>
      <c r="G1010" t="s">
        <v>0</v>
      </c>
      <c r="H1010" t="s">
        <v>4</v>
      </c>
      <c r="I1010" t="s">
        <v>474</v>
      </c>
      <c r="J1010" t="s">
        <v>6</v>
      </c>
      <c r="K1010" t="s">
        <v>26</v>
      </c>
      <c r="L1010" t="s">
        <v>74</v>
      </c>
      <c r="M1010" t="s">
        <v>75</v>
      </c>
      <c r="N1010" t="s">
        <v>10</v>
      </c>
      <c r="O1010" t="s">
        <v>0</v>
      </c>
      <c r="P1010" t="s">
        <v>11</v>
      </c>
      <c r="Q1010" s="5">
        <v>8</v>
      </c>
      <c r="R1010" s="4">
        <v>50600</v>
      </c>
      <c r="S1010" s="5">
        <v>1</v>
      </c>
      <c r="T1010" s="4">
        <v>404800</v>
      </c>
      <c r="U1010" s="5">
        <v>8</v>
      </c>
      <c r="V1010" s="4">
        <v>404800</v>
      </c>
      <c r="W1010" s="5">
        <v>8</v>
      </c>
      <c r="X1010" s="4">
        <v>404800</v>
      </c>
      <c r="Y1010" s="4">
        <f t="shared" si="30"/>
        <v>0</v>
      </c>
      <c r="Z1010" t="s">
        <v>0</v>
      </c>
      <c r="AA1010" t="s">
        <v>2</v>
      </c>
      <c r="AB1010" t="s">
        <v>12</v>
      </c>
      <c r="AC1010">
        <f>_xlfn.XLOOKUP(AB1010,'[1]GST Codes'!$A:$A,'[1]GST Codes'!$C:$C,0,0)</f>
        <v>18</v>
      </c>
      <c r="AD1010">
        <f t="shared" si="31"/>
        <v>0</v>
      </c>
      <c r="AE1010" t="s">
        <v>13</v>
      </c>
      <c r="AF1010" t="s">
        <v>0</v>
      </c>
      <c r="AG1010" t="s">
        <v>431</v>
      </c>
      <c r="AH1010" t="s">
        <v>59</v>
      </c>
      <c r="AI1010" t="s">
        <v>96</v>
      </c>
      <c r="AJ1010" t="s">
        <v>17</v>
      </c>
      <c r="AK1010" t="s">
        <v>18</v>
      </c>
      <c r="AL1010" t="s">
        <v>19</v>
      </c>
      <c r="AM1010" t="s">
        <v>474</v>
      </c>
      <c r="AN1010" t="s">
        <v>0</v>
      </c>
      <c r="AO1010" t="s">
        <v>0</v>
      </c>
      <c r="AP1010" t="s">
        <v>0</v>
      </c>
      <c r="AQ1010" s="5">
        <v>8</v>
      </c>
      <c r="AR1010" t="s">
        <v>11</v>
      </c>
      <c r="AS1010" t="s">
        <v>0</v>
      </c>
      <c r="AT1010" t="s">
        <v>17</v>
      </c>
      <c r="AU1010" s="4">
        <v>0</v>
      </c>
      <c r="AV1010" s="4">
        <v>0</v>
      </c>
      <c r="AW1010" s="4">
        <v>0</v>
      </c>
      <c r="AX1010" s="4">
        <v>0</v>
      </c>
      <c r="AY1010" s="5">
        <v>0</v>
      </c>
      <c r="AZ1010" s="5">
        <v>0</v>
      </c>
      <c r="BA1010" s="5">
        <v>0</v>
      </c>
      <c r="BB1010" s="2"/>
      <c r="BC1010" t="s">
        <v>0</v>
      </c>
      <c r="BD1010" s="5">
        <v>1</v>
      </c>
      <c r="BE1010" t="s">
        <v>0</v>
      </c>
      <c r="BF1010" t="s">
        <v>475</v>
      </c>
      <c r="BG1010" t="s">
        <v>17</v>
      </c>
      <c r="BH1010" t="s">
        <v>0</v>
      </c>
      <c r="BI1010" t="s">
        <v>11</v>
      </c>
      <c r="BJ1010" t="s">
        <v>0</v>
      </c>
      <c r="BK1010" t="s">
        <v>0</v>
      </c>
      <c r="BL1010" s="5">
        <v>0</v>
      </c>
      <c r="BM1010" t="s">
        <v>0</v>
      </c>
      <c r="BN1010" t="s">
        <v>0</v>
      </c>
      <c r="BO1010" t="s">
        <v>0</v>
      </c>
      <c r="BP1010" t="s">
        <v>17</v>
      </c>
      <c r="BQ1010" t="s">
        <v>0</v>
      </c>
      <c r="BR1010" t="s">
        <v>17</v>
      </c>
      <c r="BS1010" t="s">
        <v>17</v>
      </c>
      <c r="BT1010" t="s">
        <v>0</v>
      </c>
      <c r="BU1010" t="s">
        <v>0</v>
      </c>
      <c r="BV1010" t="s">
        <v>0</v>
      </c>
      <c r="BW1010" t="s">
        <v>0</v>
      </c>
      <c r="BX1010" t="s">
        <v>0</v>
      </c>
      <c r="BY1010" t="s">
        <v>0</v>
      </c>
      <c r="BZ1010" t="s">
        <v>0</v>
      </c>
      <c r="CA1010" t="s">
        <v>0</v>
      </c>
      <c r="CB1010" t="s">
        <v>0</v>
      </c>
    </row>
    <row r="1011" spans="1:80" x14ac:dyDescent="0.25">
      <c r="A1011" t="s">
        <v>482</v>
      </c>
      <c r="B1011" s="2">
        <v>46189</v>
      </c>
      <c r="C1011" s="2">
        <v>46189</v>
      </c>
      <c r="D1011" s="2">
        <v>46219</v>
      </c>
      <c r="E1011" t="s">
        <v>2</v>
      </c>
      <c r="F1011" t="s">
        <v>3</v>
      </c>
      <c r="G1011" t="s">
        <v>0</v>
      </c>
      <c r="H1011" t="s">
        <v>4</v>
      </c>
      <c r="I1011" t="s">
        <v>474</v>
      </c>
      <c r="J1011" t="s">
        <v>6</v>
      </c>
      <c r="K1011" t="s">
        <v>30</v>
      </c>
      <c r="L1011" t="s">
        <v>74</v>
      </c>
      <c r="M1011" t="s">
        <v>75</v>
      </c>
      <c r="N1011" t="s">
        <v>10</v>
      </c>
      <c r="O1011" t="s">
        <v>0</v>
      </c>
      <c r="P1011" t="s">
        <v>11</v>
      </c>
      <c r="Q1011" s="5">
        <v>8</v>
      </c>
      <c r="R1011" s="4">
        <v>50600</v>
      </c>
      <c r="S1011" s="5">
        <v>1</v>
      </c>
      <c r="T1011" s="4">
        <v>404800</v>
      </c>
      <c r="U1011" s="5">
        <v>8</v>
      </c>
      <c r="V1011" s="4">
        <v>404800</v>
      </c>
      <c r="W1011" s="5">
        <v>8</v>
      </c>
      <c r="X1011" s="4">
        <v>404800</v>
      </c>
      <c r="Y1011" s="4">
        <f t="shared" si="30"/>
        <v>0</v>
      </c>
      <c r="Z1011" t="s">
        <v>0</v>
      </c>
      <c r="AA1011" t="s">
        <v>2</v>
      </c>
      <c r="AB1011" t="s">
        <v>12</v>
      </c>
      <c r="AC1011">
        <f>_xlfn.XLOOKUP(AB1011,'[1]GST Codes'!$A:$A,'[1]GST Codes'!$C:$C,0,0)</f>
        <v>18</v>
      </c>
      <c r="AD1011">
        <f t="shared" si="31"/>
        <v>0</v>
      </c>
      <c r="AE1011" t="s">
        <v>13</v>
      </c>
      <c r="AF1011" t="s">
        <v>0</v>
      </c>
      <c r="AG1011" t="s">
        <v>431</v>
      </c>
      <c r="AH1011" t="s">
        <v>59</v>
      </c>
      <c r="AI1011" t="s">
        <v>96</v>
      </c>
      <c r="AJ1011" t="s">
        <v>17</v>
      </c>
      <c r="AK1011" t="s">
        <v>18</v>
      </c>
      <c r="AL1011" t="s">
        <v>19</v>
      </c>
      <c r="AM1011" t="s">
        <v>474</v>
      </c>
      <c r="AN1011" t="s">
        <v>0</v>
      </c>
      <c r="AO1011" t="s">
        <v>0</v>
      </c>
      <c r="AP1011" t="s">
        <v>0</v>
      </c>
      <c r="AQ1011" s="5">
        <v>8</v>
      </c>
      <c r="AR1011" t="s">
        <v>11</v>
      </c>
      <c r="AS1011" t="s">
        <v>0</v>
      </c>
      <c r="AT1011" t="s">
        <v>17</v>
      </c>
      <c r="AU1011" s="4">
        <v>0</v>
      </c>
      <c r="AV1011" s="4">
        <v>0</v>
      </c>
      <c r="AW1011" s="4">
        <v>0</v>
      </c>
      <c r="AX1011" s="4">
        <v>0</v>
      </c>
      <c r="AY1011" s="5">
        <v>0</v>
      </c>
      <c r="AZ1011" s="5">
        <v>0</v>
      </c>
      <c r="BA1011" s="5">
        <v>0</v>
      </c>
      <c r="BB1011" s="2"/>
      <c r="BC1011" t="s">
        <v>0</v>
      </c>
      <c r="BD1011" s="5">
        <v>1</v>
      </c>
      <c r="BE1011" t="s">
        <v>0</v>
      </c>
      <c r="BF1011" t="s">
        <v>475</v>
      </c>
      <c r="BG1011" t="s">
        <v>17</v>
      </c>
      <c r="BH1011" t="s">
        <v>0</v>
      </c>
      <c r="BI1011" t="s">
        <v>11</v>
      </c>
      <c r="BJ1011" t="s">
        <v>0</v>
      </c>
      <c r="BK1011" t="s">
        <v>0</v>
      </c>
      <c r="BL1011" s="5">
        <v>0</v>
      </c>
      <c r="BM1011" t="s">
        <v>0</v>
      </c>
      <c r="BN1011" t="s">
        <v>0</v>
      </c>
      <c r="BO1011" t="s">
        <v>0</v>
      </c>
      <c r="BP1011" t="s">
        <v>17</v>
      </c>
      <c r="BQ1011" t="s">
        <v>0</v>
      </c>
      <c r="BR1011" t="s">
        <v>17</v>
      </c>
      <c r="BS1011" t="s">
        <v>17</v>
      </c>
      <c r="BT1011" t="s">
        <v>0</v>
      </c>
      <c r="BU1011" t="s">
        <v>0</v>
      </c>
      <c r="BV1011" t="s">
        <v>0</v>
      </c>
      <c r="BW1011" t="s">
        <v>0</v>
      </c>
      <c r="BX1011" t="s">
        <v>0</v>
      </c>
      <c r="BY1011" t="s">
        <v>0</v>
      </c>
      <c r="BZ1011" t="s">
        <v>0</v>
      </c>
      <c r="CA1011" t="s">
        <v>0</v>
      </c>
      <c r="CB1011" t="s">
        <v>0</v>
      </c>
    </row>
    <row r="1012" spans="1:80" x14ac:dyDescent="0.25">
      <c r="A1012" t="s">
        <v>482</v>
      </c>
      <c r="B1012" s="2">
        <v>46189</v>
      </c>
      <c r="C1012" s="2">
        <v>46189</v>
      </c>
      <c r="D1012" s="2">
        <v>46219</v>
      </c>
      <c r="E1012" t="s">
        <v>2</v>
      </c>
      <c r="F1012" t="s">
        <v>3</v>
      </c>
      <c r="G1012" t="s">
        <v>0</v>
      </c>
      <c r="H1012" t="s">
        <v>4</v>
      </c>
      <c r="I1012" t="s">
        <v>474</v>
      </c>
      <c r="J1012" t="s">
        <v>6</v>
      </c>
      <c r="K1012" t="s">
        <v>34</v>
      </c>
      <c r="L1012" t="s">
        <v>74</v>
      </c>
      <c r="M1012" t="s">
        <v>75</v>
      </c>
      <c r="N1012" t="s">
        <v>10</v>
      </c>
      <c r="O1012" t="s">
        <v>0</v>
      </c>
      <c r="P1012" t="s">
        <v>11</v>
      </c>
      <c r="Q1012" s="5">
        <v>9</v>
      </c>
      <c r="R1012" s="4">
        <v>50600</v>
      </c>
      <c r="S1012" s="5">
        <v>1</v>
      </c>
      <c r="T1012" s="4">
        <v>455400</v>
      </c>
      <c r="U1012" s="5">
        <v>9</v>
      </c>
      <c r="V1012" s="4">
        <v>455400</v>
      </c>
      <c r="W1012" s="5">
        <v>9</v>
      </c>
      <c r="X1012" s="4">
        <v>455400</v>
      </c>
      <c r="Y1012" s="4">
        <f t="shared" si="30"/>
        <v>0</v>
      </c>
      <c r="Z1012" t="s">
        <v>0</v>
      </c>
      <c r="AA1012" t="s">
        <v>2</v>
      </c>
      <c r="AB1012" t="s">
        <v>12</v>
      </c>
      <c r="AC1012">
        <f>_xlfn.XLOOKUP(AB1012,'[1]GST Codes'!$A:$A,'[1]GST Codes'!$C:$C,0,0)</f>
        <v>18</v>
      </c>
      <c r="AD1012">
        <f t="shared" si="31"/>
        <v>0</v>
      </c>
      <c r="AE1012" t="s">
        <v>13</v>
      </c>
      <c r="AF1012" t="s">
        <v>0</v>
      </c>
      <c r="AG1012" t="s">
        <v>431</v>
      </c>
      <c r="AH1012" t="s">
        <v>59</v>
      </c>
      <c r="AI1012" t="s">
        <v>96</v>
      </c>
      <c r="AJ1012" t="s">
        <v>17</v>
      </c>
      <c r="AK1012" t="s">
        <v>18</v>
      </c>
      <c r="AL1012" t="s">
        <v>19</v>
      </c>
      <c r="AM1012" t="s">
        <v>474</v>
      </c>
      <c r="AN1012" t="s">
        <v>0</v>
      </c>
      <c r="AO1012" t="s">
        <v>0</v>
      </c>
      <c r="AP1012" t="s">
        <v>0</v>
      </c>
      <c r="AQ1012" s="5">
        <v>9</v>
      </c>
      <c r="AR1012" t="s">
        <v>11</v>
      </c>
      <c r="AS1012" t="s">
        <v>0</v>
      </c>
      <c r="AT1012" t="s">
        <v>17</v>
      </c>
      <c r="AU1012" s="4">
        <v>0</v>
      </c>
      <c r="AV1012" s="4">
        <v>0</v>
      </c>
      <c r="AW1012" s="4">
        <v>0</v>
      </c>
      <c r="AX1012" s="4">
        <v>0</v>
      </c>
      <c r="AY1012" s="5">
        <v>0</v>
      </c>
      <c r="AZ1012" s="5">
        <v>0</v>
      </c>
      <c r="BA1012" s="5">
        <v>0</v>
      </c>
      <c r="BB1012" s="2"/>
      <c r="BC1012" t="s">
        <v>0</v>
      </c>
      <c r="BD1012" s="5">
        <v>1</v>
      </c>
      <c r="BE1012" t="s">
        <v>0</v>
      </c>
      <c r="BF1012" t="s">
        <v>475</v>
      </c>
      <c r="BG1012" t="s">
        <v>17</v>
      </c>
      <c r="BH1012" t="s">
        <v>0</v>
      </c>
      <c r="BI1012" t="s">
        <v>11</v>
      </c>
      <c r="BJ1012" t="s">
        <v>0</v>
      </c>
      <c r="BK1012" t="s">
        <v>0</v>
      </c>
      <c r="BL1012" s="5">
        <v>0</v>
      </c>
      <c r="BM1012" t="s">
        <v>0</v>
      </c>
      <c r="BN1012" t="s">
        <v>0</v>
      </c>
      <c r="BO1012" t="s">
        <v>0</v>
      </c>
      <c r="BP1012" t="s">
        <v>17</v>
      </c>
      <c r="BQ1012" t="s">
        <v>0</v>
      </c>
      <c r="BR1012" t="s">
        <v>17</v>
      </c>
      <c r="BS1012" t="s">
        <v>17</v>
      </c>
      <c r="BT1012" t="s">
        <v>0</v>
      </c>
      <c r="BU1012" t="s">
        <v>0</v>
      </c>
      <c r="BV1012" t="s">
        <v>0</v>
      </c>
      <c r="BW1012" t="s">
        <v>0</v>
      </c>
      <c r="BX1012" t="s">
        <v>0</v>
      </c>
      <c r="BY1012" t="s">
        <v>0</v>
      </c>
      <c r="BZ1012" t="s">
        <v>0</v>
      </c>
      <c r="CA1012" t="s">
        <v>0</v>
      </c>
      <c r="CB1012" t="s">
        <v>0</v>
      </c>
    </row>
    <row r="1013" spans="1:80" x14ac:dyDescent="0.25">
      <c r="A1013" t="s">
        <v>482</v>
      </c>
      <c r="B1013" s="2">
        <v>46189</v>
      </c>
      <c r="C1013" s="2">
        <v>46189</v>
      </c>
      <c r="D1013" s="2">
        <v>46219</v>
      </c>
      <c r="E1013" t="s">
        <v>2</v>
      </c>
      <c r="F1013" t="s">
        <v>3</v>
      </c>
      <c r="G1013" t="s">
        <v>0</v>
      </c>
      <c r="H1013" t="s">
        <v>4</v>
      </c>
      <c r="I1013" t="s">
        <v>474</v>
      </c>
      <c r="J1013" t="s">
        <v>6</v>
      </c>
      <c r="K1013" t="s">
        <v>38</v>
      </c>
      <c r="L1013" t="s">
        <v>74</v>
      </c>
      <c r="M1013" t="s">
        <v>75</v>
      </c>
      <c r="N1013" t="s">
        <v>10</v>
      </c>
      <c r="O1013" t="s">
        <v>0</v>
      </c>
      <c r="P1013" t="s">
        <v>11</v>
      </c>
      <c r="Q1013" s="5">
        <v>9</v>
      </c>
      <c r="R1013" s="4">
        <v>50600</v>
      </c>
      <c r="S1013" s="5">
        <v>1</v>
      </c>
      <c r="T1013" s="4">
        <v>455400</v>
      </c>
      <c r="U1013" s="5">
        <v>9</v>
      </c>
      <c r="V1013" s="4">
        <v>455400</v>
      </c>
      <c r="W1013" s="5">
        <v>9</v>
      </c>
      <c r="X1013" s="4">
        <v>455400</v>
      </c>
      <c r="Y1013" s="4">
        <f t="shared" si="30"/>
        <v>0</v>
      </c>
      <c r="Z1013" t="s">
        <v>0</v>
      </c>
      <c r="AA1013" t="s">
        <v>2</v>
      </c>
      <c r="AB1013" t="s">
        <v>12</v>
      </c>
      <c r="AC1013">
        <f>_xlfn.XLOOKUP(AB1013,'[1]GST Codes'!$A:$A,'[1]GST Codes'!$C:$C,0,0)</f>
        <v>18</v>
      </c>
      <c r="AD1013">
        <f t="shared" si="31"/>
        <v>0</v>
      </c>
      <c r="AE1013" t="s">
        <v>13</v>
      </c>
      <c r="AF1013" t="s">
        <v>0</v>
      </c>
      <c r="AG1013" t="s">
        <v>431</v>
      </c>
      <c r="AH1013" t="s">
        <v>59</v>
      </c>
      <c r="AI1013" t="s">
        <v>96</v>
      </c>
      <c r="AJ1013" t="s">
        <v>17</v>
      </c>
      <c r="AK1013" t="s">
        <v>18</v>
      </c>
      <c r="AL1013" t="s">
        <v>19</v>
      </c>
      <c r="AM1013" t="s">
        <v>474</v>
      </c>
      <c r="AN1013" t="s">
        <v>0</v>
      </c>
      <c r="AO1013" t="s">
        <v>0</v>
      </c>
      <c r="AP1013" t="s">
        <v>0</v>
      </c>
      <c r="AQ1013" s="5">
        <v>9</v>
      </c>
      <c r="AR1013" t="s">
        <v>11</v>
      </c>
      <c r="AS1013" t="s">
        <v>0</v>
      </c>
      <c r="AT1013" t="s">
        <v>17</v>
      </c>
      <c r="AU1013" s="4">
        <v>0</v>
      </c>
      <c r="AV1013" s="4">
        <v>0</v>
      </c>
      <c r="AW1013" s="4">
        <v>0</v>
      </c>
      <c r="AX1013" s="4">
        <v>0</v>
      </c>
      <c r="AY1013" s="5">
        <v>0</v>
      </c>
      <c r="AZ1013" s="5">
        <v>0</v>
      </c>
      <c r="BA1013" s="5">
        <v>0</v>
      </c>
      <c r="BB1013" s="2"/>
      <c r="BC1013" t="s">
        <v>0</v>
      </c>
      <c r="BD1013" s="5">
        <v>1</v>
      </c>
      <c r="BE1013" t="s">
        <v>0</v>
      </c>
      <c r="BF1013" t="s">
        <v>475</v>
      </c>
      <c r="BG1013" t="s">
        <v>17</v>
      </c>
      <c r="BH1013" t="s">
        <v>0</v>
      </c>
      <c r="BI1013" t="s">
        <v>11</v>
      </c>
      <c r="BJ1013" t="s">
        <v>0</v>
      </c>
      <c r="BK1013" t="s">
        <v>0</v>
      </c>
      <c r="BL1013" s="5">
        <v>0</v>
      </c>
      <c r="BM1013" t="s">
        <v>0</v>
      </c>
      <c r="BN1013" t="s">
        <v>0</v>
      </c>
      <c r="BO1013" t="s">
        <v>0</v>
      </c>
      <c r="BP1013" t="s">
        <v>17</v>
      </c>
      <c r="BQ1013" t="s">
        <v>0</v>
      </c>
      <c r="BR1013" t="s">
        <v>17</v>
      </c>
      <c r="BS1013" t="s">
        <v>17</v>
      </c>
      <c r="BT1013" t="s">
        <v>0</v>
      </c>
      <c r="BU1013" t="s">
        <v>0</v>
      </c>
      <c r="BV1013" t="s">
        <v>0</v>
      </c>
      <c r="BW1013" t="s">
        <v>0</v>
      </c>
      <c r="BX1013" t="s">
        <v>0</v>
      </c>
      <c r="BY1013" t="s">
        <v>0</v>
      </c>
      <c r="BZ1013" t="s">
        <v>0</v>
      </c>
      <c r="CA1013" t="s">
        <v>0</v>
      </c>
      <c r="CB1013" t="s">
        <v>0</v>
      </c>
    </row>
    <row r="1014" spans="1:80" x14ac:dyDescent="0.25">
      <c r="A1014" t="s">
        <v>482</v>
      </c>
      <c r="B1014" s="2">
        <v>46189</v>
      </c>
      <c r="C1014" s="2">
        <v>46189</v>
      </c>
      <c r="D1014" s="2">
        <v>46219</v>
      </c>
      <c r="E1014" t="s">
        <v>2</v>
      </c>
      <c r="F1014" t="s">
        <v>3</v>
      </c>
      <c r="G1014" t="s">
        <v>0</v>
      </c>
      <c r="H1014" t="s">
        <v>4</v>
      </c>
      <c r="I1014" t="s">
        <v>474</v>
      </c>
      <c r="J1014" t="s">
        <v>6</v>
      </c>
      <c r="K1014" t="s">
        <v>42</v>
      </c>
      <c r="L1014" t="s">
        <v>39</v>
      </c>
      <c r="M1014" t="s">
        <v>40</v>
      </c>
      <c r="N1014" t="s">
        <v>10</v>
      </c>
      <c r="O1014" t="s">
        <v>0</v>
      </c>
      <c r="P1014" t="s">
        <v>11</v>
      </c>
      <c r="Q1014" s="5">
        <v>5</v>
      </c>
      <c r="R1014" s="4">
        <v>50600</v>
      </c>
      <c r="S1014" s="5">
        <v>1</v>
      </c>
      <c r="T1014" s="4">
        <v>253000</v>
      </c>
      <c r="U1014" s="5">
        <v>5</v>
      </c>
      <c r="V1014" s="4">
        <v>253000</v>
      </c>
      <c r="W1014" s="5">
        <v>5</v>
      </c>
      <c r="X1014" s="4">
        <v>253000</v>
      </c>
      <c r="Y1014" s="4">
        <f t="shared" si="30"/>
        <v>0</v>
      </c>
      <c r="Z1014" t="s">
        <v>0</v>
      </c>
      <c r="AA1014" t="s">
        <v>2</v>
      </c>
      <c r="AB1014" t="s">
        <v>12</v>
      </c>
      <c r="AC1014">
        <f>_xlfn.XLOOKUP(AB1014,'[1]GST Codes'!$A:$A,'[1]GST Codes'!$C:$C,0,0)</f>
        <v>18</v>
      </c>
      <c r="AD1014">
        <f t="shared" si="31"/>
        <v>0</v>
      </c>
      <c r="AE1014" t="s">
        <v>13</v>
      </c>
      <c r="AF1014" t="s">
        <v>0</v>
      </c>
      <c r="AG1014" t="s">
        <v>431</v>
      </c>
      <c r="AH1014" t="s">
        <v>59</v>
      </c>
      <c r="AI1014" t="s">
        <v>96</v>
      </c>
      <c r="AJ1014" t="s">
        <v>17</v>
      </c>
      <c r="AK1014" t="s">
        <v>18</v>
      </c>
      <c r="AL1014" t="s">
        <v>19</v>
      </c>
      <c r="AM1014" t="s">
        <v>474</v>
      </c>
      <c r="AN1014" t="s">
        <v>0</v>
      </c>
      <c r="AO1014" t="s">
        <v>0</v>
      </c>
      <c r="AP1014" t="s">
        <v>0</v>
      </c>
      <c r="AQ1014" s="5">
        <v>5</v>
      </c>
      <c r="AR1014" t="s">
        <v>11</v>
      </c>
      <c r="AS1014" t="s">
        <v>0</v>
      </c>
      <c r="AT1014" t="s">
        <v>17</v>
      </c>
      <c r="AU1014" s="4">
        <v>0</v>
      </c>
      <c r="AV1014" s="4">
        <v>0</v>
      </c>
      <c r="AW1014" s="4">
        <v>0</v>
      </c>
      <c r="AX1014" s="4">
        <v>0</v>
      </c>
      <c r="AY1014" s="5">
        <v>0</v>
      </c>
      <c r="AZ1014" s="5">
        <v>0</v>
      </c>
      <c r="BA1014" s="5">
        <v>0</v>
      </c>
      <c r="BB1014" s="2"/>
      <c r="BC1014" t="s">
        <v>0</v>
      </c>
      <c r="BD1014" s="5">
        <v>1</v>
      </c>
      <c r="BE1014" t="s">
        <v>0</v>
      </c>
      <c r="BF1014" t="s">
        <v>476</v>
      </c>
      <c r="BG1014" t="s">
        <v>17</v>
      </c>
      <c r="BH1014" t="s">
        <v>0</v>
      </c>
      <c r="BI1014" t="s">
        <v>11</v>
      </c>
      <c r="BJ1014" t="s">
        <v>0</v>
      </c>
      <c r="BK1014" t="s">
        <v>0</v>
      </c>
      <c r="BL1014" s="5">
        <v>0</v>
      </c>
      <c r="BM1014" t="s">
        <v>0</v>
      </c>
      <c r="BN1014" t="s">
        <v>0</v>
      </c>
      <c r="BO1014" t="s">
        <v>0</v>
      </c>
      <c r="BP1014" t="s">
        <v>17</v>
      </c>
      <c r="BQ1014" t="s">
        <v>0</v>
      </c>
      <c r="BR1014" t="s">
        <v>17</v>
      </c>
      <c r="BS1014" t="s">
        <v>17</v>
      </c>
      <c r="BT1014" t="s">
        <v>0</v>
      </c>
      <c r="BU1014" t="s">
        <v>0</v>
      </c>
      <c r="BV1014" t="s">
        <v>0</v>
      </c>
      <c r="BW1014" t="s">
        <v>0</v>
      </c>
      <c r="BX1014" t="s">
        <v>0</v>
      </c>
      <c r="BY1014" t="s">
        <v>0</v>
      </c>
      <c r="BZ1014" t="s">
        <v>0</v>
      </c>
      <c r="CA1014" t="s">
        <v>0</v>
      </c>
      <c r="CB1014" t="s">
        <v>0</v>
      </c>
    </row>
    <row r="1015" spans="1:80" x14ac:dyDescent="0.25">
      <c r="A1015" t="s">
        <v>482</v>
      </c>
      <c r="B1015" s="2">
        <v>46189</v>
      </c>
      <c r="C1015" s="2">
        <v>46189</v>
      </c>
      <c r="D1015" s="2">
        <v>46219</v>
      </c>
      <c r="E1015" t="s">
        <v>2</v>
      </c>
      <c r="F1015" t="s">
        <v>3</v>
      </c>
      <c r="G1015" t="s">
        <v>0</v>
      </c>
      <c r="H1015" t="s">
        <v>4</v>
      </c>
      <c r="I1015" t="s">
        <v>474</v>
      </c>
      <c r="J1015" t="s">
        <v>6</v>
      </c>
      <c r="K1015" t="s">
        <v>86</v>
      </c>
      <c r="L1015" t="s">
        <v>39</v>
      </c>
      <c r="M1015" t="s">
        <v>40</v>
      </c>
      <c r="N1015" t="s">
        <v>10</v>
      </c>
      <c r="O1015" t="s">
        <v>0</v>
      </c>
      <c r="P1015" t="s">
        <v>11</v>
      </c>
      <c r="Q1015" s="5">
        <v>5</v>
      </c>
      <c r="R1015" s="4">
        <v>50600</v>
      </c>
      <c r="S1015" s="5">
        <v>1</v>
      </c>
      <c r="T1015" s="4">
        <v>253000</v>
      </c>
      <c r="U1015" s="5">
        <v>5</v>
      </c>
      <c r="V1015" s="4">
        <v>253000</v>
      </c>
      <c r="W1015" s="5">
        <v>5</v>
      </c>
      <c r="X1015" s="4">
        <v>253000</v>
      </c>
      <c r="Y1015" s="4">
        <f t="shared" si="30"/>
        <v>0</v>
      </c>
      <c r="Z1015" t="s">
        <v>0</v>
      </c>
      <c r="AA1015" t="s">
        <v>2</v>
      </c>
      <c r="AB1015" t="s">
        <v>12</v>
      </c>
      <c r="AC1015">
        <f>_xlfn.XLOOKUP(AB1015,'[1]GST Codes'!$A:$A,'[1]GST Codes'!$C:$C,0,0)</f>
        <v>18</v>
      </c>
      <c r="AD1015">
        <f t="shared" si="31"/>
        <v>0</v>
      </c>
      <c r="AE1015" t="s">
        <v>13</v>
      </c>
      <c r="AF1015" t="s">
        <v>0</v>
      </c>
      <c r="AG1015" t="s">
        <v>431</v>
      </c>
      <c r="AH1015" t="s">
        <v>59</v>
      </c>
      <c r="AI1015" t="s">
        <v>96</v>
      </c>
      <c r="AJ1015" t="s">
        <v>17</v>
      </c>
      <c r="AK1015" t="s">
        <v>18</v>
      </c>
      <c r="AL1015" t="s">
        <v>19</v>
      </c>
      <c r="AM1015" t="s">
        <v>474</v>
      </c>
      <c r="AN1015" t="s">
        <v>0</v>
      </c>
      <c r="AO1015" t="s">
        <v>0</v>
      </c>
      <c r="AP1015" t="s">
        <v>0</v>
      </c>
      <c r="AQ1015" s="5">
        <v>5</v>
      </c>
      <c r="AR1015" t="s">
        <v>11</v>
      </c>
      <c r="AS1015" t="s">
        <v>0</v>
      </c>
      <c r="AT1015" t="s">
        <v>17</v>
      </c>
      <c r="AU1015" s="4">
        <v>0</v>
      </c>
      <c r="AV1015" s="4">
        <v>0</v>
      </c>
      <c r="AW1015" s="4">
        <v>0</v>
      </c>
      <c r="AX1015" s="4">
        <v>0</v>
      </c>
      <c r="AY1015" s="5">
        <v>0</v>
      </c>
      <c r="AZ1015" s="5">
        <v>0</v>
      </c>
      <c r="BA1015" s="5">
        <v>0</v>
      </c>
      <c r="BB1015" s="2"/>
      <c r="BC1015" t="s">
        <v>0</v>
      </c>
      <c r="BD1015" s="5">
        <v>1</v>
      </c>
      <c r="BE1015" t="s">
        <v>0</v>
      </c>
      <c r="BF1015" t="s">
        <v>476</v>
      </c>
      <c r="BG1015" t="s">
        <v>17</v>
      </c>
      <c r="BH1015" t="s">
        <v>0</v>
      </c>
      <c r="BI1015" t="s">
        <v>11</v>
      </c>
      <c r="BJ1015" t="s">
        <v>0</v>
      </c>
      <c r="BK1015" t="s">
        <v>0</v>
      </c>
      <c r="BL1015" s="5">
        <v>0</v>
      </c>
      <c r="BM1015" t="s">
        <v>0</v>
      </c>
      <c r="BN1015" t="s">
        <v>0</v>
      </c>
      <c r="BO1015" t="s">
        <v>0</v>
      </c>
      <c r="BP1015" t="s">
        <v>17</v>
      </c>
      <c r="BQ1015" t="s">
        <v>0</v>
      </c>
      <c r="BR1015" t="s">
        <v>17</v>
      </c>
      <c r="BS1015" t="s">
        <v>17</v>
      </c>
      <c r="BT1015" t="s">
        <v>0</v>
      </c>
      <c r="BU1015" t="s">
        <v>0</v>
      </c>
      <c r="BV1015" t="s">
        <v>0</v>
      </c>
      <c r="BW1015" t="s">
        <v>0</v>
      </c>
      <c r="BX1015" t="s">
        <v>0</v>
      </c>
      <c r="BY1015" t="s">
        <v>0</v>
      </c>
      <c r="BZ1015" t="s">
        <v>0</v>
      </c>
      <c r="CA1015" t="s">
        <v>0</v>
      </c>
      <c r="CB1015" t="s">
        <v>0</v>
      </c>
    </row>
    <row r="1016" spans="1:80" x14ac:dyDescent="0.25">
      <c r="A1016" t="s">
        <v>482</v>
      </c>
      <c r="B1016" s="2">
        <v>46189</v>
      </c>
      <c r="C1016" s="2">
        <v>46189</v>
      </c>
      <c r="D1016" s="2">
        <v>46219</v>
      </c>
      <c r="E1016" t="s">
        <v>2</v>
      </c>
      <c r="F1016" t="s">
        <v>3</v>
      </c>
      <c r="G1016" t="s">
        <v>0</v>
      </c>
      <c r="H1016" t="s">
        <v>4</v>
      </c>
      <c r="I1016" t="s">
        <v>474</v>
      </c>
      <c r="J1016" t="s">
        <v>6</v>
      </c>
      <c r="K1016" t="s">
        <v>87</v>
      </c>
      <c r="L1016" t="s">
        <v>39</v>
      </c>
      <c r="M1016" t="s">
        <v>40</v>
      </c>
      <c r="N1016" t="s">
        <v>10</v>
      </c>
      <c r="O1016" t="s">
        <v>0</v>
      </c>
      <c r="P1016" t="s">
        <v>11</v>
      </c>
      <c r="Q1016" s="5">
        <v>5</v>
      </c>
      <c r="R1016" s="4">
        <v>50600</v>
      </c>
      <c r="S1016" s="5">
        <v>1</v>
      </c>
      <c r="T1016" s="4">
        <v>253000</v>
      </c>
      <c r="U1016" s="5">
        <v>5</v>
      </c>
      <c r="V1016" s="4">
        <v>253000</v>
      </c>
      <c r="W1016" s="5">
        <v>5</v>
      </c>
      <c r="X1016" s="4">
        <v>253000</v>
      </c>
      <c r="Y1016" s="4">
        <f t="shared" si="30"/>
        <v>0</v>
      </c>
      <c r="Z1016" t="s">
        <v>0</v>
      </c>
      <c r="AA1016" t="s">
        <v>2</v>
      </c>
      <c r="AB1016" t="s">
        <v>12</v>
      </c>
      <c r="AC1016">
        <f>_xlfn.XLOOKUP(AB1016,'[1]GST Codes'!$A:$A,'[1]GST Codes'!$C:$C,0,0)</f>
        <v>18</v>
      </c>
      <c r="AD1016">
        <f t="shared" si="31"/>
        <v>0</v>
      </c>
      <c r="AE1016" t="s">
        <v>13</v>
      </c>
      <c r="AF1016" t="s">
        <v>0</v>
      </c>
      <c r="AG1016" t="s">
        <v>431</v>
      </c>
      <c r="AH1016" t="s">
        <v>59</v>
      </c>
      <c r="AI1016" t="s">
        <v>96</v>
      </c>
      <c r="AJ1016" t="s">
        <v>17</v>
      </c>
      <c r="AK1016" t="s">
        <v>18</v>
      </c>
      <c r="AL1016" t="s">
        <v>19</v>
      </c>
      <c r="AM1016" t="s">
        <v>474</v>
      </c>
      <c r="AN1016" t="s">
        <v>0</v>
      </c>
      <c r="AO1016" t="s">
        <v>0</v>
      </c>
      <c r="AP1016" t="s">
        <v>0</v>
      </c>
      <c r="AQ1016" s="5">
        <v>5</v>
      </c>
      <c r="AR1016" t="s">
        <v>11</v>
      </c>
      <c r="AS1016" t="s">
        <v>0</v>
      </c>
      <c r="AT1016" t="s">
        <v>17</v>
      </c>
      <c r="AU1016" s="4">
        <v>0</v>
      </c>
      <c r="AV1016" s="4">
        <v>0</v>
      </c>
      <c r="AW1016" s="4">
        <v>0</v>
      </c>
      <c r="AX1016" s="4">
        <v>0</v>
      </c>
      <c r="AY1016" s="5">
        <v>0</v>
      </c>
      <c r="AZ1016" s="5">
        <v>0</v>
      </c>
      <c r="BA1016" s="5">
        <v>0</v>
      </c>
      <c r="BB1016" s="2"/>
      <c r="BC1016" t="s">
        <v>0</v>
      </c>
      <c r="BD1016" s="5">
        <v>1</v>
      </c>
      <c r="BE1016" t="s">
        <v>0</v>
      </c>
      <c r="BF1016" t="s">
        <v>476</v>
      </c>
      <c r="BG1016" t="s">
        <v>17</v>
      </c>
      <c r="BH1016" t="s">
        <v>0</v>
      </c>
      <c r="BI1016" t="s">
        <v>11</v>
      </c>
      <c r="BJ1016" t="s">
        <v>0</v>
      </c>
      <c r="BK1016" t="s">
        <v>0</v>
      </c>
      <c r="BL1016" s="5">
        <v>0</v>
      </c>
      <c r="BM1016" t="s">
        <v>0</v>
      </c>
      <c r="BN1016" t="s">
        <v>0</v>
      </c>
      <c r="BO1016" t="s">
        <v>0</v>
      </c>
      <c r="BP1016" t="s">
        <v>17</v>
      </c>
      <c r="BQ1016" t="s">
        <v>0</v>
      </c>
      <c r="BR1016" t="s">
        <v>17</v>
      </c>
      <c r="BS1016" t="s">
        <v>17</v>
      </c>
      <c r="BT1016" t="s">
        <v>0</v>
      </c>
      <c r="BU1016" t="s">
        <v>0</v>
      </c>
      <c r="BV1016" t="s">
        <v>0</v>
      </c>
      <c r="BW1016" t="s">
        <v>0</v>
      </c>
      <c r="BX1016" t="s">
        <v>0</v>
      </c>
      <c r="BY1016" t="s">
        <v>0</v>
      </c>
      <c r="BZ1016" t="s">
        <v>0</v>
      </c>
      <c r="CA1016" t="s">
        <v>0</v>
      </c>
      <c r="CB1016" t="s">
        <v>0</v>
      </c>
    </row>
    <row r="1017" spans="1:80" x14ac:dyDescent="0.25">
      <c r="A1017" t="s">
        <v>482</v>
      </c>
      <c r="B1017" s="2">
        <v>46189</v>
      </c>
      <c r="C1017" s="2">
        <v>46189</v>
      </c>
      <c r="D1017" s="2">
        <v>46219</v>
      </c>
      <c r="E1017" t="s">
        <v>2</v>
      </c>
      <c r="F1017" t="s">
        <v>3</v>
      </c>
      <c r="G1017" t="s">
        <v>0</v>
      </c>
      <c r="H1017" t="s">
        <v>4</v>
      </c>
      <c r="I1017" t="s">
        <v>474</v>
      </c>
      <c r="J1017" t="s">
        <v>6</v>
      </c>
      <c r="K1017" t="s">
        <v>88</v>
      </c>
      <c r="L1017" t="s">
        <v>39</v>
      </c>
      <c r="M1017" t="s">
        <v>40</v>
      </c>
      <c r="N1017" t="s">
        <v>10</v>
      </c>
      <c r="O1017" t="s">
        <v>0</v>
      </c>
      <c r="P1017" t="s">
        <v>11</v>
      </c>
      <c r="Q1017" s="5">
        <v>5</v>
      </c>
      <c r="R1017" s="4">
        <v>50600</v>
      </c>
      <c r="S1017" s="5">
        <v>1</v>
      </c>
      <c r="T1017" s="4">
        <v>253000</v>
      </c>
      <c r="U1017" s="5">
        <v>5</v>
      </c>
      <c r="V1017" s="4">
        <v>253000</v>
      </c>
      <c r="W1017" s="5">
        <v>5</v>
      </c>
      <c r="X1017" s="4">
        <v>253000</v>
      </c>
      <c r="Y1017" s="4">
        <f t="shared" si="30"/>
        <v>0</v>
      </c>
      <c r="Z1017" t="s">
        <v>0</v>
      </c>
      <c r="AA1017" t="s">
        <v>2</v>
      </c>
      <c r="AB1017" t="s">
        <v>12</v>
      </c>
      <c r="AC1017">
        <f>_xlfn.XLOOKUP(AB1017,'[1]GST Codes'!$A:$A,'[1]GST Codes'!$C:$C,0,0)</f>
        <v>18</v>
      </c>
      <c r="AD1017">
        <f t="shared" si="31"/>
        <v>0</v>
      </c>
      <c r="AE1017" t="s">
        <v>13</v>
      </c>
      <c r="AF1017" t="s">
        <v>0</v>
      </c>
      <c r="AG1017" t="s">
        <v>431</v>
      </c>
      <c r="AH1017" t="s">
        <v>59</v>
      </c>
      <c r="AI1017" t="s">
        <v>96</v>
      </c>
      <c r="AJ1017" t="s">
        <v>17</v>
      </c>
      <c r="AK1017" t="s">
        <v>18</v>
      </c>
      <c r="AL1017" t="s">
        <v>19</v>
      </c>
      <c r="AM1017" t="s">
        <v>474</v>
      </c>
      <c r="AN1017" t="s">
        <v>0</v>
      </c>
      <c r="AO1017" t="s">
        <v>0</v>
      </c>
      <c r="AP1017" t="s">
        <v>0</v>
      </c>
      <c r="AQ1017" s="5">
        <v>5</v>
      </c>
      <c r="AR1017" t="s">
        <v>11</v>
      </c>
      <c r="AS1017" t="s">
        <v>0</v>
      </c>
      <c r="AT1017" t="s">
        <v>17</v>
      </c>
      <c r="AU1017" s="4">
        <v>0</v>
      </c>
      <c r="AV1017" s="4">
        <v>0</v>
      </c>
      <c r="AW1017" s="4">
        <v>0</v>
      </c>
      <c r="AX1017" s="4">
        <v>0</v>
      </c>
      <c r="AY1017" s="5">
        <v>0</v>
      </c>
      <c r="AZ1017" s="5">
        <v>0</v>
      </c>
      <c r="BA1017" s="5">
        <v>0</v>
      </c>
      <c r="BB1017" s="2"/>
      <c r="BC1017" t="s">
        <v>0</v>
      </c>
      <c r="BD1017" s="5">
        <v>1</v>
      </c>
      <c r="BE1017" t="s">
        <v>0</v>
      </c>
      <c r="BF1017" t="s">
        <v>476</v>
      </c>
      <c r="BG1017" t="s">
        <v>17</v>
      </c>
      <c r="BH1017" t="s">
        <v>0</v>
      </c>
      <c r="BI1017" t="s">
        <v>11</v>
      </c>
      <c r="BJ1017" t="s">
        <v>0</v>
      </c>
      <c r="BK1017" t="s">
        <v>0</v>
      </c>
      <c r="BL1017" s="5">
        <v>0</v>
      </c>
      <c r="BM1017" t="s">
        <v>0</v>
      </c>
      <c r="BN1017" t="s">
        <v>0</v>
      </c>
      <c r="BO1017" t="s">
        <v>0</v>
      </c>
      <c r="BP1017" t="s">
        <v>17</v>
      </c>
      <c r="BQ1017" t="s">
        <v>0</v>
      </c>
      <c r="BR1017" t="s">
        <v>17</v>
      </c>
      <c r="BS1017" t="s">
        <v>17</v>
      </c>
      <c r="BT1017" t="s">
        <v>0</v>
      </c>
      <c r="BU1017" t="s">
        <v>0</v>
      </c>
      <c r="BV1017" t="s">
        <v>0</v>
      </c>
      <c r="BW1017" t="s">
        <v>0</v>
      </c>
      <c r="BX1017" t="s">
        <v>0</v>
      </c>
      <c r="BY1017" t="s">
        <v>0</v>
      </c>
      <c r="BZ1017" t="s">
        <v>0</v>
      </c>
      <c r="CA1017" t="s">
        <v>0</v>
      </c>
      <c r="CB1017" t="s">
        <v>0</v>
      </c>
    </row>
    <row r="1018" spans="1:80" x14ac:dyDescent="0.25">
      <c r="A1018" t="s">
        <v>482</v>
      </c>
      <c r="B1018" s="2">
        <v>46189</v>
      </c>
      <c r="C1018" s="2">
        <v>46189</v>
      </c>
      <c r="D1018" s="2">
        <v>46219</v>
      </c>
      <c r="E1018" t="s">
        <v>2</v>
      </c>
      <c r="F1018" t="s">
        <v>3</v>
      </c>
      <c r="G1018" t="s">
        <v>0</v>
      </c>
      <c r="H1018" t="s">
        <v>4</v>
      </c>
      <c r="I1018" t="s">
        <v>474</v>
      </c>
      <c r="J1018" t="s">
        <v>6</v>
      </c>
      <c r="K1018" t="s">
        <v>89</v>
      </c>
      <c r="L1018" t="s">
        <v>39</v>
      </c>
      <c r="M1018" t="s">
        <v>40</v>
      </c>
      <c r="N1018" t="s">
        <v>10</v>
      </c>
      <c r="O1018" t="s">
        <v>0</v>
      </c>
      <c r="P1018" t="s">
        <v>11</v>
      </c>
      <c r="Q1018" s="5">
        <v>5</v>
      </c>
      <c r="R1018" s="4">
        <v>50600</v>
      </c>
      <c r="S1018" s="5">
        <v>1</v>
      </c>
      <c r="T1018" s="4">
        <v>253000</v>
      </c>
      <c r="U1018" s="5">
        <v>5</v>
      </c>
      <c r="V1018" s="4">
        <v>253000</v>
      </c>
      <c r="W1018" s="5">
        <v>5</v>
      </c>
      <c r="X1018" s="4">
        <v>253000</v>
      </c>
      <c r="Y1018" s="4">
        <f t="shared" si="30"/>
        <v>0</v>
      </c>
      <c r="Z1018" t="s">
        <v>0</v>
      </c>
      <c r="AA1018" t="s">
        <v>2</v>
      </c>
      <c r="AB1018" t="s">
        <v>12</v>
      </c>
      <c r="AC1018">
        <f>_xlfn.XLOOKUP(AB1018,'[1]GST Codes'!$A:$A,'[1]GST Codes'!$C:$C,0,0)</f>
        <v>18</v>
      </c>
      <c r="AD1018">
        <f t="shared" si="31"/>
        <v>0</v>
      </c>
      <c r="AE1018" t="s">
        <v>13</v>
      </c>
      <c r="AF1018" t="s">
        <v>0</v>
      </c>
      <c r="AG1018" t="s">
        <v>431</v>
      </c>
      <c r="AH1018" t="s">
        <v>59</v>
      </c>
      <c r="AI1018" t="s">
        <v>96</v>
      </c>
      <c r="AJ1018" t="s">
        <v>17</v>
      </c>
      <c r="AK1018" t="s">
        <v>18</v>
      </c>
      <c r="AL1018" t="s">
        <v>19</v>
      </c>
      <c r="AM1018" t="s">
        <v>474</v>
      </c>
      <c r="AN1018" t="s">
        <v>0</v>
      </c>
      <c r="AO1018" t="s">
        <v>0</v>
      </c>
      <c r="AP1018" t="s">
        <v>0</v>
      </c>
      <c r="AQ1018" s="5">
        <v>5</v>
      </c>
      <c r="AR1018" t="s">
        <v>11</v>
      </c>
      <c r="AS1018" t="s">
        <v>0</v>
      </c>
      <c r="AT1018" t="s">
        <v>17</v>
      </c>
      <c r="AU1018" s="4">
        <v>0</v>
      </c>
      <c r="AV1018" s="4">
        <v>0</v>
      </c>
      <c r="AW1018" s="4">
        <v>0</v>
      </c>
      <c r="AX1018" s="4">
        <v>0</v>
      </c>
      <c r="AY1018" s="5">
        <v>0</v>
      </c>
      <c r="AZ1018" s="5">
        <v>0</v>
      </c>
      <c r="BA1018" s="5">
        <v>0</v>
      </c>
      <c r="BB1018" s="2"/>
      <c r="BC1018" t="s">
        <v>0</v>
      </c>
      <c r="BD1018" s="5">
        <v>1</v>
      </c>
      <c r="BE1018" t="s">
        <v>0</v>
      </c>
      <c r="BF1018" t="s">
        <v>476</v>
      </c>
      <c r="BG1018" t="s">
        <v>17</v>
      </c>
      <c r="BH1018" t="s">
        <v>0</v>
      </c>
      <c r="BI1018" t="s">
        <v>11</v>
      </c>
      <c r="BJ1018" t="s">
        <v>0</v>
      </c>
      <c r="BK1018" t="s">
        <v>0</v>
      </c>
      <c r="BL1018" s="5">
        <v>0</v>
      </c>
      <c r="BM1018" t="s">
        <v>0</v>
      </c>
      <c r="BN1018" t="s">
        <v>0</v>
      </c>
      <c r="BO1018" t="s">
        <v>0</v>
      </c>
      <c r="BP1018" t="s">
        <v>17</v>
      </c>
      <c r="BQ1018" t="s">
        <v>0</v>
      </c>
      <c r="BR1018" t="s">
        <v>17</v>
      </c>
      <c r="BS1018" t="s">
        <v>17</v>
      </c>
      <c r="BT1018" t="s">
        <v>0</v>
      </c>
      <c r="BU1018" t="s">
        <v>0</v>
      </c>
      <c r="BV1018" t="s">
        <v>0</v>
      </c>
      <c r="BW1018" t="s">
        <v>0</v>
      </c>
      <c r="BX1018" t="s">
        <v>0</v>
      </c>
      <c r="BY1018" t="s">
        <v>0</v>
      </c>
      <c r="BZ1018" t="s">
        <v>0</v>
      </c>
      <c r="CA1018" t="s">
        <v>0</v>
      </c>
      <c r="CB1018" t="s">
        <v>0</v>
      </c>
    </row>
    <row r="1019" spans="1:80" x14ac:dyDescent="0.25">
      <c r="A1019" t="s">
        <v>482</v>
      </c>
      <c r="B1019" s="2">
        <v>46189</v>
      </c>
      <c r="C1019" s="2">
        <v>46189</v>
      </c>
      <c r="D1019" s="2">
        <v>46219</v>
      </c>
      <c r="E1019" t="s">
        <v>2</v>
      </c>
      <c r="F1019" t="s">
        <v>3</v>
      </c>
      <c r="G1019" t="s">
        <v>0</v>
      </c>
      <c r="H1019" t="s">
        <v>4</v>
      </c>
      <c r="I1019" t="s">
        <v>474</v>
      </c>
      <c r="J1019" t="s">
        <v>6</v>
      </c>
      <c r="K1019" t="s">
        <v>90</v>
      </c>
      <c r="L1019" t="s">
        <v>39</v>
      </c>
      <c r="M1019" t="s">
        <v>40</v>
      </c>
      <c r="N1019" t="s">
        <v>10</v>
      </c>
      <c r="O1019" t="s">
        <v>0</v>
      </c>
      <c r="P1019" t="s">
        <v>11</v>
      </c>
      <c r="Q1019" s="5">
        <v>5</v>
      </c>
      <c r="R1019" s="4">
        <v>50600</v>
      </c>
      <c r="S1019" s="5">
        <v>1</v>
      </c>
      <c r="T1019" s="4">
        <v>253000</v>
      </c>
      <c r="U1019" s="5">
        <v>5</v>
      </c>
      <c r="V1019" s="4">
        <v>253000</v>
      </c>
      <c r="W1019" s="5">
        <v>5</v>
      </c>
      <c r="X1019" s="4">
        <v>253000</v>
      </c>
      <c r="Y1019" s="4">
        <f t="shared" si="30"/>
        <v>0</v>
      </c>
      <c r="Z1019" t="s">
        <v>0</v>
      </c>
      <c r="AA1019" t="s">
        <v>2</v>
      </c>
      <c r="AB1019" t="s">
        <v>12</v>
      </c>
      <c r="AC1019">
        <f>_xlfn.XLOOKUP(AB1019,'[1]GST Codes'!$A:$A,'[1]GST Codes'!$C:$C,0,0)</f>
        <v>18</v>
      </c>
      <c r="AD1019">
        <f t="shared" si="31"/>
        <v>0</v>
      </c>
      <c r="AE1019" t="s">
        <v>13</v>
      </c>
      <c r="AF1019" t="s">
        <v>0</v>
      </c>
      <c r="AG1019" t="s">
        <v>431</v>
      </c>
      <c r="AH1019" t="s">
        <v>59</v>
      </c>
      <c r="AI1019" t="s">
        <v>96</v>
      </c>
      <c r="AJ1019" t="s">
        <v>17</v>
      </c>
      <c r="AK1019" t="s">
        <v>18</v>
      </c>
      <c r="AL1019" t="s">
        <v>19</v>
      </c>
      <c r="AM1019" t="s">
        <v>474</v>
      </c>
      <c r="AN1019" t="s">
        <v>0</v>
      </c>
      <c r="AO1019" t="s">
        <v>0</v>
      </c>
      <c r="AP1019" t="s">
        <v>0</v>
      </c>
      <c r="AQ1019" s="5">
        <v>5</v>
      </c>
      <c r="AR1019" t="s">
        <v>11</v>
      </c>
      <c r="AS1019" t="s">
        <v>0</v>
      </c>
      <c r="AT1019" t="s">
        <v>17</v>
      </c>
      <c r="AU1019" s="4">
        <v>0</v>
      </c>
      <c r="AV1019" s="4">
        <v>0</v>
      </c>
      <c r="AW1019" s="4">
        <v>0</v>
      </c>
      <c r="AX1019" s="4">
        <v>0</v>
      </c>
      <c r="AY1019" s="5">
        <v>0</v>
      </c>
      <c r="AZ1019" s="5">
        <v>0</v>
      </c>
      <c r="BA1019" s="5">
        <v>0</v>
      </c>
      <c r="BB1019" s="2"/>
      <c r="BC1019" t="s">
        <v>0</v>
      </c>
      <c r="BD1019" s="5">
        <v>1</v>
      </c>
      <c r="BE1019" t="s">
        <v>0</v>
      </c>
      <c r="BF1019" t="s">
        <v>476</v>
      </c>
      <c r="BG1019" t="s">
        <v>17</v>
      </c>
      <c r="BH1019" t="s">
        <v>0</v>
      </c>
      <c r="BI1019" t="s">
        <v>11</v>
      </c>
      <c r="BJ1019" t="s">
        <v>0</v>
      </c>
      <c r="BK1019" t="s">
        <v>0</v>
      </c>
      <c r="BL1019" s="5">
        <v>0</v>
      </c>
      <c r="BM1019" t="s">
        <v>0</v>
      </c>
      <c r="BN1019" t="s">
        <v>0</v>
      </c>
      <c r="BO1019" t="s">
        <v>0</v>
      </c>
      <c r="BP1019" t="s">
        <v>17</v>
      </c>
      <c r="BQ1019" t="s">
        <v>0</v>
      </c>
      <c r="BR1019" t="s">
        <v>17</v>
      </c>
      <c r="BS1019" t="s">
        <v>17</v>
      </c>
      <c r="BT1019" t="s">
        <v>0</v>
      </c>
      <c r="BU1019" t="s">
        <v>0</v>
      </c>
      <c r="BV1019" t="s">
        <v>0</v>
      </c>
      <c r="BW1019" t="s">
        <v>0</v>
      </c>
      <c r="BX1019" t="s">
        <v>0</v>
      </c>
      <c r="BY1019" t="s">
        <v>0</v>
      </c>
      <c r="BZ1019" t="s">
        <v>0</v>
      </c>
      <c r="CA1019" t="s">
        <v>0</v>
      </c>
      <c r="CB1019" t="s">
        <v>0</v>
      </c>
    </row>
    <row r="1020" spans="1:80" x14ac:dyDescent="0.25">
      <c r="A1020" t="s">
        <v>482</v>
      </c>
      <c r="B1020" s="2">
        <v>46189</v>
      </c>
      <c r="C1020" s="2">
        <v>46189</v>
      </c>
      <c r="D1020" s="2">
        <v>46219</v>
      </c>
      <c r="E1020" t="s">
        <v>2</v>
      </c>
      <c r="F1020" t="s">
        <v>3</v>
      </c>
      <c r="G1020" t="s">
        <v>0</v>
      </c>
      <c r="H1020" t="s">
        <v>4</v>
      </c>
      <c r="I1020" t="s">
        <v>474</v>
      </c>
      <c r="J1020" t="s">
        <v>6</v>
      </c>
      <c r="K1020" t="s">
        <v>177</v>
      </c>
      <c r="L1020" t="s">
        <v>329</v>
      </c>
      <c r="M1020" t="s">
        <v>339</v>
      </c>
      <c r="N1020" t="s">
        <v>10</v>
      </c>
      <c r="O1020" t="s">
        <v>0</v>
      </c>
      <c r="P1020" t="s">
        <v>11</v>
      </c>
      <c r="Q1020" s="5">
        <v>5</v>
      </c>
      <c r="R1020" s="4">
        <v>50600</v>
      </c>
      <c r="S1020" s="5">
        <v>1</v>
      </c>
      <c r="T1020" s="4">
        <v>253000</v>
      </c>
      <c r="U1020" s="5">
        <v>5</v>
      </c>
      <c r="V1020" s="4">
        <v>253000</v>
      </c>
      <c r="W1020" s="5">
        <v>5</v>
      </c>
      <c r="X1020" s="4">
        <v>253000</v>
      </c>
      <c r="Y1020" s="4">
        <f t="shared" si="30"/>
        <v>0</v>
      </c>
      <c r="Z1020" t="s">
        <v>0</v>
      </c>
      <c r="AA1020" t="s">
        <v>2</v>
      </c>
      <c r="AB1020" t="s">
        <v>12</v>
      </c>
      <c r="AC1020">
        <f>_xlfn.XLOOKUP(AB1020,'[1]GST Codes'!$A:$A,'[1]GST Codes'!$C:$C,0,0)</f>
        <v>18</v>
      </c>
      <c r="AD1020">
        <f t="shared" si="31"/>
        <v>0</v>
      </c>
      <c r="AE1020" t="s">
        <v>13</v>
      </c>
      <c r="AF1020" t="s">
        <v>0</v>
      </c>
      <c r="AG1020" t="s">
        <v>431</v>
      </c>
      <c r="AH1020" t="s">
        <v>59</v>
      </c>
      <c r="AI1020" t="s">
        <v>96</v>
      </c>
      <c r="AJ1020" t="s">
        <v>17</v>
      </c>
      <c r="AK1020" t="s">
        <v>18</v>
      </c>
      <c r="AL1020" t="s">
        <v>19</v>
      </c>
      <c r="AM1020" t="s">
        <v>474</v>
      </c>
      <c r="AN1020" t="s">
        <v>0</v>
      </c>
      <c r="AO1020" t="s">
        <v>0</v>
      </c>
      <c r="AP1020" t="s">
        <v>0</v>
      </c>
      <c r="AQ1020" s="5">
        <v>5</v>
      </c>
      <c r="AR1020" t="s">
        <v>11</v>
      </c>
      <c r="AS1020" t="s">
        <v>0</v>
      </c>
      <c r="AT1020" t="s">
        <v>17</v>
      </c>
      <c r="AU1020" s="4">
        <v>0</v>
      </c>
      <c r="AV1020" s="4">
        <v>0</v>
      </c>
      <c r="AW1020" s="4">
        <v>0</v>
      </c>
      <c r="AX1020" s="4">
        <v>0</v>
      </c>
      <c r="AY1020" s="5">
        <v>0</v>
      </c>
      <c r="AZ1020" s="5">
        <v>0</v>
      </c>
      <c r="BA1020" s="5">
        <v>0</v>
      </c>
      <c r="BB1020" s="2"/>
      <c r="BC1020" t="s">
        <v>0</v>
      </c>
      <c r="BD1020" s="5">
        <v>1</v>
      </c>
      <c r="BE1020" t="s">
        <v>0</v>
      </c>
      <c r="BF1020" t="s">
        <v>481</v>
      </c>
      <c r="BG1020" t="s">
        <v>17</v>
      </c>
      <c r="BH1020" t="s">
        <v>0</v>
      </c>
      <c r="BI1020" t="s">
        <v>11</v>
      </c>
      <c r="BJ1020" t="s">
        <v>0</v>
      </c>
      <c r="BK1020" t="s">
        <v>0</v>
      </c>
      <c r="BL1020" s="5">
        <v>0</v>
      </c>
      <c r="BM1020" t="s">
        <v>0</v>
      </c>
      <c r="BN1020" t="s">
        <v>0</v>
      </c>
      <c r="BO1020" t="s">
        <v>0</v>
      </c>
      <c r="BP1020" t="s">
        <v>17</v>
      </c>
      <c r="BQ1020" t="s">
        <v>0</v>
      </c>
      <c r="BR1020" t="s">
        <v>17</v>
      </c>
      <c r="BS1020" t="s">
        <v>17</v>
      </c>
      <c r="BT1020" t="s">
        <v>0</v>
      </c>
      <c r="BU1020" t="s">
        <v>0</v>
      </c>
      <c r="BV1020" t="s">
        <v>0</v>
      </c>
      <c r="BW1020" t="s">
        <v>0</v>
      </c>
      <c r="BX1020" t="s">
        <v>0</v>
      </c>
      <c r="BY1020" t="s">
        <v>0</v>
      </c>
      <c r="BZ1020" t="s">
        <v>0</v>
      </c>
      <c r="CA1020" t="s">
        <v>0</v>
      </c>
      <c r="CB1020" t="s">
        <v>0</v>
      </c>
    </row>
    <row r="1021" spans="1:80" x14ac:dyDescent="0.25">
      <c r="A1021" t="s">
        <v>482</v>
      </c>
      <c r="B1021" s="2">
        <v>46189</v>
      </c>
      <c r="C1021" s="2">
        <v>46189</v>
      </c>
      <c r="D1021" s="2">
        <v>46219</v>
      </c>
      <c r="E1021" t="s">
        <v>2</v>
      </c>
      <c r="F1021" t="s">
        <v>3</v>
      </c>
      <c r="G1021" t="s">
        <v>0</v>
      </c>
      <c r="H1021" t="s">
        <v>4</v>
      </c>
      <c r="I1021" t="s">
        <v>474</v>
      </c>
      <c r="J1021" t="s">
        <v>6</v>
      </c>
      <c r="K1021" t="s">
        <v>181</v>
      </c>
      <c r="L1021" t="s">
        <v>329</v>
      </c>
      <c r="M1021" t="s">
        <v>339</v>
      </c>
      <c r="N1021" t="s">
        <v>10</v>
      </c>
      <c r="O1021" t="s">
        <v>0</v>
      </c>
      <c r="P1021" t="s">
        <v>11</v>
      </c>
      <c r="Q1021" s="5">
        <v>5</v>
      </c>
      <c r="R1021" s="4">
        <v>50600</v>
      </c>
      <c r="S1021" s="5">
        <v>1</v>
      </c>
      <c r="T1021" s="4">
        <v>253000</v>
      </c>
      <c r="U1021" s="5">
        <v>5</v>
      </c>
      <c r="V1021" s="4">
        <v>253000</v>
      </c>
      <c r="W1021" s="5">
        <v>5</v>
      </c>
      <c r="X1021" s="4">
        <v>253000</v>
      </c>
      <c r="Y1021" s="4">
        <f t="shared" si="30"/>
        <v>0</v>
      </c>
      <c r="Z1021" t="s">
        <v>0</v>
      </c>
      <c r="AA1021" t="s">
        <v>2</v>
      </c>
      <c r="AB1021" t="s">
        <v>12</v>
      </c>
      <c r="AC1021">
        <f>_xlfn.XLOOKUP(AB1021,'[1]GST Codes'!$A:$A,'[1]GST Codes'!$C:$C,0,0)</f>
        <v>18</v>
      </c>
      <c r="AD1021">
        <f t="shared" si="31"/>
        <v>0</v>
      </c>
      <c r="AE1021" t="s">
        <v>13</v>
      </c>
      <c r="AF1021" t="s">
        <v>0</v>
      </c>
      <c r="AG1021" t="s">
        <v>431</v>
      </c>
      <c r="AH1021" t="s">
        <v>59</v>
      </c>
      <c r="AI1021" t="s">
        <v>96</v>
      </c>
      <c r="AJ1021" t="s">
        <v>17</v>
      </c>
      <c r="AK1021" t="s">
        <v>18</v>
      </c>
      <c r="AL1021" t="s">
        <v>19</v>
      </c>
      <c r="AM1021" t="s">
        <v>474</v>
      </c>
      <c r="AN1021" t="s">
        <v>0</v>
      </c>
      <c r="AO1021" t="s">
        <v>0</v>
      </c>
      <c r="AP1021" t="s">
        <v>0</v>
      </c>
      <c r="AQ1021" s="5">
        <v>5</v>
      </c>
      <c r="AR1021" t="s">
        <v>11</v>
      </c>
      <c r="AS1021" t="s">
        <v>0</v>
      </c>
      <c r="AT1021" t="s">
        <v>17</v>
      </c>
      <c r="AU1021" s="4">
        <v>0</v>
      </c>
      <c r="AV1021" s="4">
        <v>0</v>
      </c>
      <c r="AW1021" s="4">
        <v>0</v>
      </c>
      <c r="AX1021" s="4">
        <v>0</v>
      </c>
      <c r="AY1021" s="5">
        <v>0</v>
      </c>
      <c r="AZ1021" s="5">
        <v>0</v>
      </c>
      <c r="BA1021" s="5">
        <v>0</v>
      </c>
      <c r="BB1021" s="2"/>
      <c r="BC1021" t="s">
        <v>0</v>
      </c>
      <c r="BD1021" s="5">
        <v>1</v>
      </c>
      <c r="BE1021" t="s">
        <v>0</v>
      </c>
      <c r="BF1021" t="s">
        <v>481</v>
      </c>
      <c r="BG1021" t="s">
        <v>17</v>
      </c>
      <c r="BH1021" t="s">
        <v>0</v>
      </c>
      <c r="BI1021" t="s">
        <v>11</v>
      </c>
      <c r="BJ1021" t="s">
        <v>0</v>
      </c>
      <c r="BK1021" t="s">
        <v>0</v>
      </c>
      <c r="BL1021" s="5">
        <v>0</v>
      </c>
      <c r="BM1021" t="s">
        <v>0</v>
      </c>
      <c r="BN1021" t="s">
        <v>0</v>
      </c>
      <c r="BO1021" t="s">
        <v>0</v>
      </c>
      <c r="BP1021" t="s">
        <v>17</v>
      </c>
      <c r="BQ1021" t="s">
        <v>0</v>
      </c>
      <c r="BR1021" t="s">
        <v>17</v>
      </c>
      <c r="BS1021" t="s">
        <v>17</v>
      </c>
      <c r="BT1021" t="s">
        <v>0</v>
      </c>
      <c r="BU1021" t="s">
        <v>0</v>
      </c>
      <c r="BV1021" t="s">
        <v>0</v>
      </c>
      <c r="BW1021" t="s">
        <v>0</v>
      </c>
      <c r="BX1021" t="s">
        <v>0</v>
      </c>
      <c r="BY1021" t="s">
        <v>0</v>
      </c>
      <c r="BZ1021" t="s">
        <v>0</v>
      </c>
      <c r="CA1021" t="s">
        <v>0</v>
      </c>
      <c r="CB1021" t="s">
        <v>0</v>
      </c>
    </row>
    <row r="1022" spans="1:80" x14ac:dyDescent="0.25">
      <c r="A1022" t="s">
        <v>482</v>
      </c>
      <c r="B1022" s="2">
        <v>46189</v>
      </c>
      <c r="C1022" s="2">
        <v>46189</v>
      </c>
      <c r="D1022" s="2">
        <v>46219</v>
      </c>
      <c r="E1022" t="s">
        <v>2</v>
      </c>
      <c r="F1022" t="s">
        <v>3</v>
      </c>
      <c r="G1022" t="s">
        <v>0</v>
      </c>
      <c r="H1022" t="s">
        <v>4</v>
      </c>
      <c r="I1022" t="s">
        <v>474</v>
      </c>
      <c r="J1022" t="s">
        <v>6</v>
      </c>
      <c r="K1022" t="s">
        <v>185</v>
      </c>
      <c r="L1022" t="s">
        <v>329</v>
      </c>
      <c r="M1022" t="s">
        <v>339</v>
      </c>
      <c r="N1022" t="s">
        <v>10</v>
      </c>
      <c r="O1022" t="s">
        <v>0</v>
      </c>
      <c r="P1022" t="s">
        <v>11</v>
      </c>
      <c r="Q1022" s="5">
        <v>5</v>
      </c>
      <c r="R1022" s="4">
        <v>50600</v>
      </c>
      <c r="S1022" s="5">
        <v>1</v>
      </c>
      <c r="T1022" s="4">
        <v>253000</v>
      </c>
      <c r="U1022" s="5">
        <v>5</v>
      </c>
      <c r="V1022" s="4">
        <v>253000</v>
      </c>
      <c r="W1022" s="5">
        <v>5</v>
      </c>
      <c r="X1022" s="4">
        <v>253000</v>
      </c>
      <c r="Y1022" s="4">
        <f t="shared" si="30"/>
        <v>0</v>
      </c>
      <c r="Z1022" t="s">
        <v>0</v>
      </c>
      <c r="AA1022" t="s">
        <v>2</v>
      </c>
      <c r="AB1022" t="s">
        <v>12</v>
      </c>
      <c r="AC1022">
        <f>_xlfn.XLOOKUP(AB1022,'[1]GST Codes'!$A:$A,'[1]GST Codes'!$C:$C,0,0)</f>
        <v>18</v>
      </c>
      <c r="AD1022">
        <f t="shared" si="31"/>
        <v>0</v>
      </c>
      <c r="AE1022" t="s">
        <v>13</v>
      </c>
      <c r="AF1022" t="s">
        <v>0</v>
      </c>
      <c r="AG1022" t="s">
        <v>431</v>
      </c>
      <c r="AH1022" t="s">
        <v>59</v>
      </c>
      <c r="AI1022" t="s">
        <v>96</v>
      </c>
      <c r="AJ1022" t="s">
        <v>17</v>
      </c>
      <c r="AK1022" t="s">
        <v>18</v>
      </c>
      <c r="AL1022" t="s">
        <v>19</v>
      </c>
      <c r="AM1022" t="s">
        <v>474</v>
      </c>
      <c r="AN1022" t="s">
        <v>0</v>
      </c>
      <c r="AO1022" t="s">
        <v>0</v>
      </c>
      <c r="AP1022" t="s">
        <v>0</v>
      </c>
      <c r="AQ1022" s="5">
        <v>5</v>
      </c>
      <c r="AR1022" t="s">
        <v>11</v>
      </c>
      <c r="AS1022" t="s">
        <v>0</v>
      </c>
      <c r="AT1022" t="s">
        <v>17</v>
      </c>
      <c r="AU1022" s="4">
        <v>0</v>
      </c>
      <c r="AV1022" s="4">
        <v>0</v>
      </c>
      <c r="AW1022" s="4">
        <v>0</v>
      </c>
      <c r="AX1022" s="4">
        <v>0</v>
      </c>
      <c r="AY1022" s="5">
        <v>0</v>
      </c>
      <c r="AZ1022" s="5">
        <v>0</v>
      </c>
      <c r="BA1022" s="5">
        <v>0</v>
      </c>
      <c r="BB1022" s="2"/>
      <c r="BC1022" t="s">
        <v>0</v>
      </c>
      <c r="BD1022" s="5">
        <v>1</v>
      </c>
      <c r="BE1022" t="s">
        <v>0</v>
      </c>
      <c r="BF1022" t="s">
        <v>481</v>
      </c>
      <c r="BG1022" t="s">
        <v>17</v>
      </c>
      <c r="BH1022" t="s">
        <v>0</v>
      </c>
      <c r="BI1022" t="s">
        <v>11</v>
      </c>
      <c r="BJ1022" t="s">
        <v>0</v>
      </c>
      <c r="BK1022" t="s">
        <v>0</v>
      </c>
      <c r="BL1022" s="5">
        <v>0</v>
      </c>
      <c r="BM1022" t="s">
        <v>0</v>
      </c>
      <c r="BN1022" t="s">
        <v>0</v>
      </c>
      <c r="BO1022" t="s">
        <v>0</v>
      </c>
      <c r="BP1022" t="s">
        <v>17</v>
      </c>
      <c r="BQ1022" t="s">
        <v>0</v>
      </c>
      <c r="BR1022" t="s">
        <v>17</v>
      </c>
      <c r="BS1022" t="s">
        <v>17</v>
      </c>
      <c r="BT1022" t="s">
        <v>0</v>
      </c>
      <c r="BU1022" t="s">
        <v>0</v>
      </c>
      <c r="BV1022" t="s">
        <v>0</v>
      </c>
      <c r="BW1022" t="s">
        <v>0</v>
      </c>
      <c r="BX1022" t="s">
        <v>0</v>
      </c>
      <c r="BY1022" t="s">
        <v>0</v>
      </c>
      <c r="BZ1022" t="s">
        <v>0</v>
      </c>
      <c r="CA1022" t="s">
        <v>0</v>
      </c>
      <c r="CB1022" t="s">
        <v>0</v>
      </c>
    </row>
    <row r="1023" spans="1:80" x14ac:dyDescent="0.25">
      <c r="A1023" t="s">
        <v>482</v>
      </c>
      <c r="B1023" s="2">
        <v>46189</v>
      </c>
      <c r="C1023" s="2">
        <v>46189</v>
      </c>
      <c r="D1023" s="2">
        <v>46219</v>
      </c>
      <c r="E1023" t="s">
        <v>2</v>
      </c>
      <c r="F1023" t="s">
        <v>3</v>
      </c>
      <c r="G1023" t="s">
        <v>0</v>
      </c>
      <c r="H1023" t="s">
        <v>4</v>
      </c>
      <c r="I1023" t="s">
        <v>474</v>
      </c>
      <c r="J1023" t="s">
        <v>6</v>
      </c>
      <c r="K1023" t="s">
        <v>189</v>
      </c>
      <c r="L1023" t="s">
        <v>329</v>
      </c>
      <c r="M1023" t="s">
        <v>339</v>
      </c>
      <c r="N1023" t="s">
        <v>10</v>
      </c>
      <c r="O1023" t="s">
        <v>0</v>
      </c>
      <c r="P1023" t="s">
        <v>11</v>
      </c>
      <c r="Q1023" s="5">
        <v>5</v>
      </c>
      <c r="R1023" s="4">
        <v>50600</v>
      </c>
      <c r="S1023" s="5">
        <v>1</v>
      </c>
      <c r="T1023" s="4">
        <v>253000</v>
      </c>
      <c r="U1023" s="5">
        <v>5</v>
      </c>
      <c r="V1023" s="4">
        <v>253000</v>
      </c>
      <c r="W1023" s="5">
        <v>5</v>
      </c>
      <c r="X1023" s="4">
        <v>253000</v>
      </c>
      <c r="Y1023" s="4">
        <f t="shared" si="30"/>
        <v>0</v>
      </c>
      <c r="Z1023" t="s">
        <v>0</v>
      </c>
      <c r="AA1023" t="s">
        <v>2</v>
      </c>
      <c r="AB1023" t="s">
        <v>12</v>
      </c>
      <c r="AC1023">
        <f>_xlfn.XLOOKUP(AB1023,'[1]GST Codes'!$A:$A,'[1]GST Codes'!$C:$C,0,0)</f>
        <v>18</v>
      </c>
      <c r="AD1023">
        <f t="shared" si="31"/>
        <v>0</v>
      </c>
      <c r="AE1023" t="s">
        <v>13</v>
      </c>
      <c r="AF1023" t="s">
        <v>0</v>
      </c>
      <c r="AG1023" t="s">
        <v>431</v>
      </c>
      <c r="AH1023" t="s">
        <v>59</v>
      </c>
      <c r="AI1023" t="s">
        <v>96</v>
      </c>
      <c r="AJ1023" t="s">
        <v>17</v>
      </c>
      <c r="AK1023" t="s">
        <v>18</v>
      </c>
      <c r="AL1023" t="s">
        <v>19</v>
      </c>
      <c r="AM1023" t="s">
        <v>474</v>
      </c>
      <c r="AN1023" t="s">
        <v>0</v>
      </c>
      <c r="AO1023" t="s">
        <v>0</v>
      </c>
      <c r="AP1023" t="s">
        <v>0</v>
      </c>
      <c r="AQ1023" s="5">
        <v>5</v>
      </c>
      <c r="AR1023" t="s">
        <v>11</v>
      </c>
      <c r="AS1023" t="s">
        <v>0</v>
      </c>
      <c r="AT1023" t="s">
        <v>17</v>
      </c>
      <c r="AU1023" s="4">
        <v>0</v>
      </c>
      <c r="AV1023" s="4">
        <v>0</v>
      </c>
      <c r="AW1023" s="4">
        <v>0</v>
      </c>
      <c r="AX1023" s="4">
        <v>0</v>
      </c>
      <c r="AY1023" s="5">
        <v>0</v>
      </c>
      <c r="AZ1023" s="5">
        <v>0</v>
      </c>
      <c r="BA1023" s="5">
        <v>0</v>
      </c>
      <c r="BB1023" s="2"/>
      <c r="BC1023" t="s">
        <v>0</v>
      </c>
      <c r="BD1023" s="5">
        <v>1</v>
      </c>
      <c r="BE1023" t="s">
        <v>0</v>
      </c>
      <c r="BF1023" t="s">
        <v>481</v>
      </c>
      <c r="BG1023" t="s">
        <v>17</v>
      </c>
      <c r="BH1023" t="s">
        <v>0</v>
      </c>
      <c r="BI1023" t="s">
        <v>11</v>
      </c>
      <c r="BJ1023" t="s">
        <v>0</v>
      </c>
      <c r="BK1023" t="s">
        <v>0</v>
      </c>
      <c r="BL1023" s="5">
        <v>0</v>
      </c>
      <c r="BM1023" t="s">
        <v>0</v>
      </c>
      <c r="BN1023" t="s">
        <v>0</v>
      </c>
      <c r="BO1023" t="s">
        <v>0</v>
      </c>
      <c r="BP1023" t="s">
        <v>17</v>
      </c>
      <c r="BQ1023" t="s">
        <v>0</v>
      </c>
      <c r="BR1023" t="s">
        <v>17</v>
      </c>
      <c r="BS1023" t="s">
        <v>17</v>
      </c>
      <c r="BT1023" t="s">
        <v>0</v>
      </c>
      <c r="BU1023" t="s">
        <v>0</v>
      </c>
      <c r="BV1023" t="s">
        <v>0</v>
      </c>
      <c r="BW1023" t="s">
        <v>0</v>
      </c>
      <c r="BX1023" t="s">
        <v>0</v>
      </c>
      <c r="BY1023" t="s">
        <v>0</v>
      </c>
      <c r="BZ1023" t="s">
        <v>0</v>
      </c>
      <c r="CA1023" t="s">
        <v>0</v>
      </c>
      <c r="CB1023" t="s">
        <v>0</v>
      </c>
    </row>
    <row r="1024" spans="1:80" x14ac:dyDescent="0.25">
      <c r="A1024" t="s">
        <v>482</v>
      </c>
      <c r="B1024" s="2">
        <v>46189</v>
      </c>
      <c r="C1024" s="2">
        <v>46189</v>
      </c>
      <c r="D1024" s="2">
        <v>46219</v>
      </c>
      <c r="E1024" t="s">
        <v>2</v>
      </c>
      <c r="F1024" t="s">
        <v>3</v>
      </c>
      <c r="G1024" t="s">
        <v>0</v>
      </c>
      <c r="H1024" t="s">
        <v>4</v>
      </c>
      <c r="I1024" t="s">
        <v>474</v>
      </c>
      <c r="J1024" t="s">
        <v>6</v>
      </c>
      <c r="K1024" t="s">
        <v>193</v>
      </c>
      <c r="L1024" t="s">
        <v>329</v>
      </c>
      <c r="M1024" t="s">
        <v>339</v>
      </c>
      <c r="N1024" t="s">
        <v>10</v>
      </c>
      <c r="O1024" t="s">
        <v>0</v>
      </c>
      <c r="P1024" t="s">
        <v>11</v>
      </c>
      <c r="Q1024" s="5">
        <v>5</v>
      </c>
      <c r="R1024" s="4">
        <v>50600</v>
      </c>
      <c r="S1024" s="5">
        <v>1</v>
      </c>
      <c r="T1024" s="4">
        <v>253000</v>
      </c>
      <c r="U1024" s="5">
        <v>5</v>
      </c>
      <c r="V1024" s="4">
        <v>253000</v>
      </c>
      <c r="W1024" s="5">
        <v>5</v>
      </c>
      <c r="X1024" s="4">
        <v>253000</v>
      </c>
      <c r="Y1024" s="4">
        <f t="shared" si="30"/>
        <v>0</v>
      </c>
      <c r="Z1024" t="s">
        <v>0</v>
      </c>
      <c r="AA1024" t="s">
        <v>2</v>
      </c>
      <c r="AB1024" t="s">
        <v>12</v>
      </c>
      <c r="AC1024">
        <f>_xlfn.XLOOKUP(AB1024,'[1]GST Codes'!$A:$A,'[1]GST Codes'!$C:$C,0,0)</f>
        <v>18</v>
      </c>
      <c r="AD1024">
        <f t="shared" si="31"/>
        <v>0</v>
      </c>
      <c r="AE1024" t="s">
        <v>13</v>
      </c>
      <c r="AF1024" t="s">
        <v>0</v>
      </c>
      <c r="AG1024" t="s">
        <v>431</v>
      </c>
      <c r="AH1024" t="s">
        <v>59</v>
      </c>
      <c r="AI1024" t="s">
        <v>96</v>
      </c>
      <c r="AJ1024" t="s">
        <v>17</v>
      </c>
      <c r="AK1024" t="s">
        <v>18</v>
      </c>
      <c r="AL1024" t="s">
        <v>19</v>
      </c>
      <c r="AM1024" t="s">
        <v>474</v>
      </c>
      <c r="AN1024" t="s">
        <v>0</v>
      </c>
      <c r="AO1024" t="s">
        <v>0</v>
      </c>
      <c r="AP1024" t="s">
        <v>0</v>
      </c>
      <c r="AQ1024" s="5">
        <v>5</v>
      </c>
      <c r="AR1024" t="s">
        <v>11</v>
      </c>
      <c r="AS1024" t="s">
        <v>0</v>
      </c>
      <c r="AT1024" t="s">
        <v>17</v>
      </c>
      <c r="AU1024" s="4">
        <v>0</v>
      </c>
      <c r="AV1024" s="4">
        <v>0</v>
      </c>
      <c r="AW1024" s="4">
        <v>0</v>
      </c>
      <c r="AX1024" s="4">
        <v>0</v>
      </c>
      <c r="AY1024" s="5">
        <v>0</v>
      </c>
      <c r="AZ1024" s="5">
        <v>0</v>
      </c>
      <c r="BA1024" s="5">
        <v>0</v>
      </c>
      <c r="BB1024" s="2"/>
      <c r="BC1024" t="s">
        <v>0</v>
      </c>
      <c r="BD1024" s="5">
        <v>1</v>
      </c>
      <c r="BE1024" t="s">
        <v>0</v>
      </c>
      <c r="BF1024" t="s">
        <v>481</v>
      </c>
      <c r="BG1024" t="s">
        <v>17</v>
      </c>
      <c r="BH1024" t="s">
        <v>0</v>
      </c>
      <c r="BI1024" t="s">
        <v>11</v>
      </c>
      <c r="BJ1024" t="s">
        <v>0</v>
      </c>
      <c r="BK1024" t="s">
        <v>0</v>
      </c>
      <c r="BL1024" s="5">
        <v>0</v>
      </c>
      <c r="BM1024" t="s">
        <v>0</v>
      </c>
      <c r="BN1024" t="s">
        <v>0</v>
      </c>
      <c r="BO1024" t="s">
        <v>0</v>
      </c>
      <c r="BP1024" t="s">
        <v>17</v>
      </c>
      <c r="BQ1024" t="s">
        <v>0</v>
      </c>
      <c r="BR1024" t="s">
        <v>17</v>
      </c>
      <c r="BS1024" t="s">
        <v>17</v>
      </c>
      <c r="BT1024" t="s">
        <v>0</v>
      </c>
      <c r="BU1024" t="s">
        <v>0</v>
      </c>
      <c r="BV1024" t="s">
        <v>0</v>
      </c>
      <c r="BW1024" t="s">
        <v>0</v>
      </c>
      <c r="BX1024" t="s">
        <v>0</v>
      </c>
      <c r="BY1024" t="s">
        <v>0</v>
      </c>
      <c r="BZ1024" t="s">
        <v>0</v>
      </c>
      <c r="CA1024" t="s">
        <v>0</v>
      </c>
      <c r="CB1024" t="s">
        <v>0</v>
      </c>
    </row>
    <row r="1025" spans="1:80" x14ac:dyDescent="0.25">
      <c r="A1025" t="s">
        <v>482</v>
      </c>
      <c r="B1025" s="2">
        <v>46189</v>
      </c>
      <c r="C1025" s="2">
        <v>46189</v>
      </c>
      <c r="D1025" s="2">
        <v>46219</v>
      </c>
      <c r="E1025" t="s">
        <v>2</v>
      </c>
      <c r="F1025" t="s">
        <v>3</v>
      </c>
      <c r="G1025" t="s">
        <v>0</v>
      </c>
      <c r="H1025" t="s">
        <v>4</v>
      </c>
      <c r="I1025" t="s">
        <v>474</v>
      </c>
      <c r="J1025" t="s">
        <v>6</v>
      </c>
      <c r="K1025" t="s">
        <v>197</v>
      </c>
      <c r="L1025" t="s">
        <v>329</v>
      </c>
      <c r="M1025" t="s">
        <v>339</v>
      </c>
      <c r="N1025" t="s">
        <v>10</v>
      </c>
      <c r="O1025" t="s">
        <v>0</v>
      </c>
      <c r="P1025" t="s">
        <v>11</v>
      </c>
      <c r="Q1025" s="5">
        <v>5</v>
      </c>
      <c r="R1025" s="4">
        <v>50600</v>
      </c>
      <c r="S1025" s="5">
        <v>1</v>
      </c>
      <c r="T1025" s="4">
        <v>253000</v>
      </c>
      <c r="U1025" s="5">
        <v>5</v>
      </c>
      <c r="V1025" s="4">
        <v>253000</v>
      </c>
      <c r="W1025" s="5">
        <v>5</v>
      </c>
      <c r="X1025" s="4">
        <v>253000</v>
      </c>
      <c r="Y1025" s="4">
        <f t="shared" si="30"/>
        <v>0</v>
      </c>
      <c r="Z1025" t="s">
        <v>0</v>
      </c>
      <c r="AA1025" t="s">
        <v>2</v>
      </c>
      <c r="AB1025" t="s">
        <v>12</v>
      </c>
      <c r="AC1025">
        <f>_xlfn.XLOOKUP(AB1025,'[1]GST Codes'!$A:$A,'[1]GST Codes'!$C:$C,0,0)</f>
        <v>18</v>
      </c>
      <c r="AD1025">
        <f t="shared" si="31"/>
        <v>0</v>
      </c>
      <c r="AE1025" t="s">
        <v>13</v>
      </c>
      <c r="AF1025" t="s">
        <v>0</v>
      </c>
      <c r="AG1025" t="s">
        <v>431</v>
      </c>
      <c r="AH1025" t="s">
        <v>59</v>
      </c>
      <c r="AI1025" t="s">
        <v>96</v>
      </c>
      <c r="AJ1025" t="s">
        <v>17</v>
      </c>
      <c r="AK1025" t="s">
        <v>18</v>
      </c>
      <c r="AL1025" t="s">
        <v>19</v>
      </c>
      <c r="AM1025" t="s">
        <v>474</v>
      </c>
      <c r="AN1025" t="s">
        <v>0</v>
      </c>
      <c r="AO1025" t="s">
        <v>0</v>
      </c>
      <c r="AP1025" t="s">
        <v>0</v>
      </c>
      <c r="AQ1025" s="5">
        <v>5</v>
      </c>
      <c r="AR1025" t="s">
        <v>11</v>
      </c>
      <c r="AS1025" t="s">
        <v>0</v>
      </c>
      <c r="AT1025" t="s">
        <v>17</v>
      </c>
      <c r="AU1025" s="4">
        <v>0</v>
      </c>
      <c r="AV1025" s="4">
        <v>0</v>
      </c>
      <c r="AW1025" s="4">
        <v>0</v>
      </c>
      <c r="AX1025" s="4">
        <v>0</v>
      </c>
      <c r="AY1025" s="5">
        <v>0</v>
      </c>
      <c r="AZ1025" s="5">
        <v>0</v>
      </c>
      <c r="BA1025" s="5">
        <v>0</v>
      </c>
      <c r="BB1025" s="2"/>
      <c r="BC1025" t="s">
        <v>0</v>
      </c>
      <c r="BD1025" s="5">
        <v>1</v>
      </c>
      <c r="BE1025" t="s">
        <v>0</v>
      </c>
      <c r="BF1025" t="s">
        <v>481</v>
      </c>
      <c r="BG1025" t="s">
        <v>17</v>
      </c>
      <c r="BH1025" t="s">
        <v>0</v>
      </c>
      <c r="BI1025" t="s">
        <v>11</v>
      </c>
      <c r="BJ1025" t="s">
        <v>0</v>
      </c>
      <c r="BK1025" t="s">
        <v>0</v>
      </c>
      <c r="BL1025" s="5">
        <v>0</v>
      </c>
      <c r="BM1025" t="s">
        <v>0</v>
      </c>
      <c r="BN1025" t="s">
        <v>0</v>
      </c>
      <c r="BO1025" t="s">
        <v>0</v>
      </c>
      <c r="BP1025" t="s">
        <v>17</v>
      </c>
      <c r="BQ1025" t="s">
        <v>0</v>
      </c>
      <c r="BR1025" t="s">
        <v>17</v>
      </c>
      <c r="BS1025" t="s">
        <v>17</v>
      </c>
      <c r="BT1025" t="s">
        <v>0</v>
      </c>
      <c r="BU1025" t="s">
        <v>0</v>
      </c>
      <c r="BV1025" t="s">
        <v>0</v>
      </c>
      <c r="BW1025" t="s">
        <v>0</v>
      </c>
      <c r="BX1025" t="s">
        <v>0</v>
      </c>
      <c r="BY1025" t="s">
        <v>0</v>
      </c>
      <c r="BZ1025" t="s">
        <v>0</v>
      </c>
      <c r="CA1025" t="s">
        <v>0</v>
      </c>
      <c r="CB1025" t="s">
        <v>0</v>
      </c>
    </row>
    <row r="1026" spans="1:80" ht="13.95" customHeight="1" x14ac:dyDescent="0.25">
      <c r="A1026" t="s">
        <v>483</v>
      </c>
      <c r="B1026" s="2">
        <v>46119</v>
      </c>
      <c r="C1026" s="2"/>
      <c r="D1026" s="2"/>
      <c r="E1026" t="s">
        <v>2</v>
      </c>
      <c r="F1026" t="s">
        <v>47</v>
      </c>
      <c r="G1026" t="s">
        <v>0</v>
      </c>
      <c r="H1026" t="s">
        <v>4</v>
      </c>
      <c r="I1026" t="s">
        <v>484</v>
      </c>
      <c r="J1026" t="s">
        <v>6</v>
      </c>
      <c r="K1026" t="s">
        <v>7</v>
      </c>
      <c r="L1026" t="s">
        <v>485</v>
      </c>
      <c r="M1026" t="s">
        <v>486</v>
      </c>
      <c r="N1026" t="s">
        <v>10</v>
      </c>
      <c r="O1026" t="s">
        <v>0</v>
      </c>
      <c r="P1026" t="s">
        <v>147</v>
      </c>
      <c r="Q1026" s="5">
        <v>26</v>
      </c>
      <c r="R1026" s="4">
        <v>2880</v>
      </c>
      <c r="S1026" s="5">
        <v>1</v>
      </c>
      <c r="T1026" s="4">
        <v>74880</v>
      </c>
      <c r="U1026" s="5">
        <v>0</v>
      </c>
      <c r="V1026" s="4">
        <v>0</v>
      </c>
      <c r="W1026" s="5">
        <v>0</v>
      </c>
      <c r="X1026" s="4">
        <v>0</v>
      </c>
      <c r="Y1026" s="4">
        <f t="shared" si="30"/>
        <v>74880</v>
      </c>
      <c r="Z1026" s="6" t="s">
        <v>0</v>
      </c>
      <c r="AA1026" t="s">
        <v>2</v>
      </c>
      <c r="AB1026" t="s">
        <v>12</v>
      </c>
      <c r="AC1026">
        <f>_xlfn.XLOOKUP(AB1026,'[1]GST Codes'!$A:$A,'[1]GST Codes'!$C:$C,0,0)</f>
        <v>18</v>
      </c>
      <c r="AD1026">
        <f t="shared" si="31"/>
        <v>88358.399999999994</v>
      </c>
      <c r="AE1026" t="s">
        <v>13</v>
      </c>
      <c r="AF1026" t="s">
        <v>0</v>
      </c>
      <c r="AG1026" t="s">
        <v>14</v>
      </c>
      <c r="AH1026" t="s">
        <v>15</v>
      </c>
      <c r="AI1026" t="s">
        <v>438</v>
      </c>
      <c r="AJ1026" t="s">
        <v>17</v>
      </c>
      <c r="AK1026" t="s">
        <v>18</v>
      </c>
      <c r="AL1026" t="s">
        <v>148</v>
      </c>
      <c r="AM1026" t="s">
        <v>484</v>
      </c>
      <c r="AN1026" t="s">
        <v>0</v>
      </c>
      <c r="AO1026" t="s">
        <v>0</v>
      </c>
      <c r="AP1026" t="s">
        <v>0</v>
      </c>
      <c r="AQ1026" s="5">
        <v>26</v>
      </c>
      <c r="AR1026" t="s">
        <v>147</v>
      </c>
      <c r="AS1026" t="s">
        <v>0</v>
      </c>
      <c r="AT1026" t="s">
        <v>17</v>
      </c>
      <c r="AU1026" s="4">
        <v>0</v>
      </c>
      <c r="AV1026" s="4">
        <v>0</v>
      </c>
      <c r="AW1026" s="4">
        <v>0</v>
      </c>
      <c r="AX1026" s="4">
        <v>0</v>
      </c>
      <c r="AY1026" s="5">
        <v>0</v>
      </c>
      <c r="AZ1026" s="5">
        <v>0</v>
      </c>
      <c r="BA1026" s="5">
        <v>0</v>
      </c>
      <c r="BB1026" s="2"/>
      <c r="BC1026" t="s">
        <v>0</v>
      </c>
      <c r="BD1026" s="5">
        <v>1</v>
      </c>
      <c r="BE1026" t="s">
        <v>0</v>
      </c>
      <c r="BF1026" t="s">
        <v>487</v>
      </c>
      <c r="BG1026" t="s">
        <v>17</v>
      </c>
      <c r="BH1026" t="s">
        <v>0</v>
      </c>
      <c r="BI1026" t="s">
        <v>147</v>
      </c>
      <c r="BJ1026" t="s">
        <v>0</v>
      </c>
      <c r="BK1026" t="s">
        <v>0</v>
      </c>
      <c r="BL1026" s="5">
        <v>0</v>
      </c>
      <c r="BM1026" t="s">
        <v>0</v>
      </c>
      <c r="BN1026" t="s">
        <v>0</v>
      </c>
      <c r="BO1026" t="s">
        <v>0</v>
      </c>
      <c r="BP1026" t="s">
        <v>17</v>
      </c>
      <c r="BQ1026" t="s">
        <v>0</v>
      </c>
      <c r="BR1026" t="s">
        <v>17</v>
      </c>
      <c r="BS1026" t="s">
        <v>17</v>
      </c>
      <c r="BT1026" t="s">
        <v>0</v>
      </c>
      <c r="BU1026" t="s">
        <v>0</v>
      </c>
      <c r="BV1026" t="s">
        <v>0</v>
      </c>
      <c r="BW1026" t="s">
        <v>0</v>
      </c>
      <c r="BX1026" t="s">
        <v>0</v>
      </c>
      <c r="BY1026" t="s">
        <v>0</v>
      </c>
      <c r="BZ1026" t="s">
        <v>0</v>
      </c>
      <c r="CA1026" t="s">
        <v>0</v>
      </c>
      <c r="CB1026" t="s">
        <v>0</v>
      </c>
    </row>
    <row r="1027" spans="1:80" ht="13.95" customHeight="1" x14ac:dyDescent="0.25">
      <c r="A1027" t="s">
        <v>483</v>
      </c>
      <c r="B1027" s="2">
        <v>46119</v>
      </c>
      <c r="C1027" s="2"/>
      <c r="D1027" s="2"/>
      <c r="E1027" t="s">
        <v>2</v>
      </c>
      <c r="F1027" t="s">
        <v>47</v>
      </c>
      <c r="G1027" t="s">
        <v>0</v>
      </c>
      <c r="H1027" t="s">
        <v>4</v>
      </c>
      <c r="I1027" t="s">
        <v>484</v>
      </c>
      <c r="J1027" t="s">
        <v>6</v>
      </c>
      <c r="K1027" t="s">
        <v>22</v>
      </c>
      <c r="L1027" t="s">
        <v>488</v>
      </c>
      <c r="M1027" t="s">
        <v>489</v>
      </c>
      <c r="N1027" t="s">
        <v>10</v>
      </c>
      <c r="O1027" t="s">
        <v>0</v>
      </c>
      <c r="P1027" t="s">
        <v>147</v>
      </c>
      <c r="Q1027" s="5">
        <v>7</v>
      </c>
      <c r="R1027" s="4">
        <v>2880</v>
      </c>
      <c r="S1027" s="5">
        <v>1</v>
      </c>
      <c r="T1027" s="4">
        <v>20160</v>
      </c>
      <c r="U1027" s="5">
        <v>0</v>
      </c>
      <c r="V1027" s="4">
        <v>0</v>
      </c>
      <c r="W1027" s="5">
        <v>0</v>
      </c>
      <c r="X1027" s="4">
        <v>0</v>
      </c>
      <c r="Y1027" s="4">
        <f t="shared" ref="Y1027:Y1090" si="32">T1027-V1027</f>
        <v>20160</v>
      </c>
      <c r="Z1027" s="6" t="s">
        <v>0</v>
      </c>
      <c r="AA1027" t="s">
        <v>2</v>
      </c>
      <c r="AB1027" t="s">
        <v>12</v>
      </c>
      <c r="AC1027">
        <f>_xlfn.XLOOKUP(AB1027,'[1]GST Codes'!$A:$A,'[1]GST Codes'!$C:$C,0,0)</f>
        <v>18</v>
      </c>
      <c r="AD1027">
        <f t="shared" ref="AD1027:AD1090" si="33">Y1027+(Y1027*AC1027/100)</f>
        <v>23788.799999999999</v>
      </c>
      <c r="AE1027" t="s">
        <v>13</v>
      </c>
      <c r="AF1027" t="s">
        <v>0</v>
      </c>
      <c r="AG1027" t="s">
        <v>14</v>
      </c>
      <c r="AH1027" t="s">
        <v>15</v>
      </c>
      <c r="AI1027" t="s">
        <v>438</v>
      </c>
      <c r="AJ1027" t="s">
        <v>17</v>
      </c>
      <c r="AK1027" t="s">
        <v>18</v>
      </c>
      <c r="AL1027" t="s">
        <v>148</v>
      </c>
      <c r="AM1027" t="s">
        <v>484</v>
      </c>
      <c r="AN1027" t="s">
        <v>0</v>
      </c>
      <c r="AO1027" t="s">
        <v>0</v>
      </c>
      <c r="AP1027" t="s">
        <v>0</v>
      </c>
      <c r="AQ1027" s="5">
        <v>7</v>
      </c>
      <c r="AR1027" t="s">
        <v>147</v>
      </c>
      <c r="AS1027" t="s">
        <v>0</v>
      </c>
      <c r="AT1027" t="s">
        <v>17</v>
      </c>
      <c r="AU1027" s="4">
        <v>0</v>
      </c>
      <c r="AV1027" s="4">
        <v>0</v>
      </c>
      <c r="AW1027" s="4">
        <v>0</v>
      </c>
      <c r="AX1027" s="4">
        <v>0</v>
      </c>
      <c r="AY1027" s="5">
        <v>0</v>
      </c>
      <c r="AZ1027" s="5">
        <v>0</v>
      </c>
      <c r="BA1027" s="5">
        <v>0</v>
      </c>
      <c r="BB1027" s="2"/>
      <c r="BC1027" t="s">
        <v>0</v>
      </c>
      <c r="BD1027" s="5">
        <v>1</v>
      </c>
      <c r="BE1027" t="s">
        <v>0</v>
      </c>
      <c r="BF1027" t="s">
        <v>490</v>
      </c>
      <c r="BG1027" t="s">
        <v>17</v>
      </c>
      <c r="BH1027" t="s">
        <v>0</v>
      </c>
      <c r="BI1027" t="s">
        <v>147</v>
      </c>
      <c r="BJ1027" t="s">
        <v>0</v>
      </c>
      <c r="BK1027" t="s">
        <v>0</v>
      </c>
      <c r="BL1027" s="5">
        <v>0</v>
      </c>
      <c r="BM1027" t="s">
        <v>0</v>
      </c>
      <c r="BN1027" t="s">
        <v>0</v>
      </c>
      <c r="BO1027" t="s">
        <v>0</v>
      </c>
      <c r="BP1027" t="s">
        <v>17</v>
      </c>
      <c r="BQ1027" t="s">
        <v>0</v>
      </c>
      <c r="BR1027" t="s">
        <v>17</v>
      </c>
      <c r="BS1027" t="s">
        <v>17</v>
      </c>
      <c r="BT1027" t="s">
        <v>0</v>
      </c>
      <c r="BU1027" t="s">
        <v>0</v>
      </c>
      <c r="BV1027" t="s">
        <v>0</v>
      </c>
      <c r="BW1027" t="s">
        <v>0</v>
      </c>
      <c r="BX1027" t="s">
        <v>0</v>
      </c>
      <c r="BY1027" t="s">
        <v>0</v>
      </c>
      <c r="BZ1027" t="s">
        <v>0</v>
      </c>
      <c r="CA1027" t="s">
        <v>0</v>
      </c>
      <c r="CB1027" t="s">
        <v>0</v>
      </c>
    </row>
    <row r="1028" spans="1:80" ht="13.95" customHeight="1" x14ac:dyDescent="0.25">
      <c r="A1028" t="s">
        <v>483</v>
      </c>
      <c r="B1028" s="2">
        <v>46119</v>
      </c>
      <c r="C1028" s="2"/>
      <c r="D1028" s="2"/>
      <c r="E1028" t="s">
        <v>2</v>
      </c>
      <c r="F1028" t="s">
        <v>47</v>
      </c>
      <c r="G1028" t="s">
        <v>0</v>
      </c>
      <c r="H1028" t="s">
        <v>4</v>
      </c>
      <c r="I1028" t="s">
        <v>484</v>
      </c>
      <c r="J1028" t="s">
        <v>6</v>
      </c>
      <c r="K1028" t="s">
        <v>26</v>
      </c>
      <c r="L1028" t="s">
        <v>491</v>
      </c>
      <c r="M1028" t="s">
        <v>492</v>
      </c>
      <c r="N1028" t="s">
        <v>10</v>
      </c>
      <c r="O1028" t="s">
        <v>0</v>
      </c>
      <c r="P1028" t="s">
        <v>147</v>
      </c>
      <c r="Q1028" s="5">
        <v>52</v>
      </c>
      <c r="R1028" s="4">
        <v>150</v>
      </c>
      <c r="S1028" s="5">
        <v>1</v>
      </c>
      <c r="T1028" s="4">
        <v>7800</v>
      </c>
      <c r="U1028" s="5">
        <v>0</v>
      </c>
      <c r="V1028" s="4">
        <v>0</v>
      </c>
      <c r="W1028" s="5">
        <v>0</v>
      </c>
      <c r="X1028" s="4">
        <v>0</v>
      </c>
      <c r="Y1028" s="4">
        <f t="shared" si="32"/>
        <v>7800</v>
      </c>
      <c r="Z1028" s="6" t="s">
        <v>0</v>
      </c>
      <c r="AA1028" t="s">
        <v>2</v>
      </c>
      <c r="AB1028" t="s">
        <v>12</v>
      </c>
      <c r="AC1028">
        <f>_xlfn.XLOOKUP(AB1028,'[1]GST Codes'!$A:$A,'[1]GST Codes'!$C:$C,0,0)</f>
        <v>18</v>
      </c>
      <c r="AD1028">
        <f t="shared" si="33"/>
        <v>9204</v>
      </c>
      <c r="AE1028" t="s">
        <v>13</v>
      </c>
      <c r="AF1028" t="s">
        <v>0</v>
      </c>
      <c r="AG1028" t="s">
        <v>14</v>
      </c>
      <c r="AH1028" t="s">
        <v>15</v>
      </c>
      <c r="AI1028" t="s">
        <v>438</v>
      </c>
      <c r="AJ1028" t="s">
        <v>17</v>
      </c>
      <c r="AK1028" t="s">
        <v>18</v>
      </c>
      <c r="AL1028" t="s">
        <v>148</v>
      </c>
      <c r="AM1028" t="s">
        <v>484</v>
      </c>
      <c r="AN1028" t="s">
        <v>0</v>
      </c>
      <c r="AO1028" t="s">
        <v>0</v>
      </c>
      <c r="AP1028" t="s">
        <v>0</v>
      </c>
      <c r="AQ1028" s="5">
        <v>52</v>
      </c>
      <c r="AR1028" t="s">
        <v>147</v>
      </c>
      <c r="AS1028" t="s">
        <v>0</v>
      </c>
      <c r="AT1028" t="s">
        <v>17</v>
      </c>
      <c r="AU1028" s="4">
        <v>0</v>
      </c>
      <c r="AV1028" s="4">
        <v>0</v>
      </c>
      <c r="AW1028" s="4">
        <v>0</v>
      </c>
      <c r="AX1028" s="4">
        <v>0</v>
      </c>
      <c r="AY1028" s="5">
        <v>0</v>
      </c>
      <c r="AZ1028" s="5">
        <v>0</v>
      </c>
      <c r="BA1028" s="5">
        <v>0</v>
      </c>
      <c r="BB1028" s="2"/>
      <c r="BC1028" t="s">
        <v>0</v>
      </c>
      <c r="BD1028" s="5">
        <v>1</v>
      </c>
      <c r="BE1028" t="s">
        <v>0</v>
      </c>
      <c r="BF1028" t="s">
        <v>493</v>
      </c>
      <c r="BG1028" t="s">
        <v>17</v>
      </c>
      <c r="BH1028" t="s">
        <v>0</v>
      </c>
      <c r="BI1028" t="s">
        <v>147</v>
      </c>
      <c r="BJ1028" t="s">
        <v>0</v>
      </c>
      <c r="BK1028" t="s">
        <v>0</v>
      </c>
      <c r="BL1028" s="5">
        <v>0</v>
      </c>
      <c r="BM1028" t="s">
        <v>0</v>
      </c>
      <c r="BN1028" t="s">
        <v>0</v>
      </c>
      <c r="BO1028" t="s">
        <v>0</v>
      </c>
      <c r="BP1028" t="s">
        <v>17</v>
      </c>
      <c r="BQ1028" t="s">
        <v>0</v>
      </c>
      <c r="BR1028" t="s">
        <v>17</v>
      </c>
      <c r="BS1028" t="s">
        <v>17</v>
      </c>
      <c r="BT1028" t="s">
        <v>0</v>
      </c>
      <c r="BU1028" t="s">
        <v>0</v>
      </c>
      <c r="BV1028" t="s">
        <v>0</v>
      </c>
      <c r="BW1028" t="s">
        <v>0</v>
      </c>
      <c r="BX1028" t="s">
        <v>0</v>
      </c>
      <c r="BY1028" t="s">
        <v>0</v>
      </c>
      <c r="BZ1028" t="s">
        <v>0</v>
      </c>
      <c r="CA1028" t="s">
        <v>0</v>
      </c>
      <c r="CB1028" t="s">
        <v>0</v>
      </c>
    </row>
    <row r="1029" spans="1:80" ht="13.95" customHeight="1" x14ac:dyDescent="0.25">
      <c r="A1029" t="s">
        <v>494</v>
      </c>
      <c r="B1029" s="2">
        <v>46133</v>
      </c>
      <c r="C1029" s="2">
        <v>46133</v>
      </c>
      <c r="D1029" s="2">
        <v>46163</v>
      </c>
      <c r="E1029" t="s">
        <v>2</v>
      </c>
      <c r="F1029" t="s">
        <v>3</v>
      </c>
      <c r="G1029" t="s">
        <v>0</v>
      </c>
      <c r="H1029" t="s">
        <v>4</v>
      </c>
      <c r="I1029" t="s">
        <v>495</v>
      </c>
      <c r="J1029" t="s">
        <v>6</v>
      </c>
      <c r="K1029" t="s">
        <v>7</v>
      </c>
      <c r="L1029" t="s">
        <v>386</v>
      </c>
      <c r="M1029" t="s">
        <v>387</v>
      </c>
      <c r="N1029" t="s">
        <v>10</v>
      </c>
      <c r="O1029" t="s">
        <v>0</v>
      </c>
      <c r="P1029" t="s">
        <v>11</v>
      </c>
      <c r="Q1029" s="5">
        <v>60</v>
      </c>
      <c r="R1029" s="4">
        <v>64800</v>
      </c>
      <c r="S1029" s="5">
        <v>1</v>
      </c>
      <c r="T1029" s="4">
        <v>3888000</v>
      </c>
      <c r="U1029" s="5">
        <v>60</v>
      </c>
      <c r="V1029" s="4">
        <v>3888000</v>
      </c>
      <c r="W1029" s="5">
        <v>60</v>
      </c>
      <c r="X1029" s="4">
        <v>3888000</v>
      </c>
      <c r="Y1029" s="4">
        <f t="shared" si="32"/>
        <v>0</v>
      </c>
      <c r="Z1029" s="6" t="s">
        <v>0</v>
      </c>
      <c r="AA1029" t="s">
        <v>2</v>
      </c>
      <c r="AB1029" t="s">
        <v>12</v>
      </c>
      <c r="AC1029">
        <f>_xlfn.XLOOKUP(AB1029,'[1]GST Codes'!$A:$A,'[1]GST Codes'!$C:$C,0,0)</f>
        <v>18</v>
      </c>
      <c r="AD1029">
        <f t="shared" si="33"/>
        <v>0</v>
      </c>
      <c r="AE1029" t="s">
        <v>13</v>
      </c>
      <c r="AF1029" t="s">
        <v>0</v>
      </c>
      <c r="AG1029" t="s">
        <v>14</v>
      </c>
      <c r="AH1029" t="s">
        <v>15</v>
      </c>
      <c r="AI1029" t="s">
        <v>85</v>
      </c>
      <c r="AJ1029" t="s">
        <v>17</v>
      </c>
      <c r="AK1029" t="s">
        <v>18</v>
      </c>
      <c r="AL1029" t="s">
        <v>19</v>
      </c>
      <c r="AM1029" t="s">
        <v>496</v>
      </c>
      <c r="AN1029" t="s">
        <v>0</v>
      </c>
      <c r="AO1029" t="s">
        <v>0</v>
      </c>
      <c r="AP1029" t="s">
        <v>0</v>
      </c>
      <c r="AQ1029" s="5">
        <v>60</v>
      </c>
      <c r="AR1029" t="s">
        <v>11</v>
      </c>
      <c r="AS1029" t="s">
        <v>0</v>
      </c>
      <c r="AT1029" t="s">
        <v>17</v>
      </c>
      <c r="AU1029" s="4">
        <v>0</v>
      </c>
      <c r="AV1029" s="4">
        <v>0</v>
      </c>
      <c r="AW1029" s="4">
        <v>0</v>
      </c>
      <c r="AX1029" s="4">
        <v>0</v>
      </c>
      <c r="AY1029" s="5">
        <v>0</v>
      </c>
      <c r="AZ1029" s="5">
        <v>0</v>
      </c>
      <c r="BA1029" s="5">
        <v>0</v>
      </c>
      <c r="BB1029" s="2"/>
      <c r="BC1029" t="s">
        <v>0</v>
      </c>
      <c r="BD1029" s="5">
        <v>1</v>
      </c>
      <c r="BE1029" t="s">
        <v>0</v>
      </c>
      <c r="BF1029" t="s">
        <v>497</v>
      </c>
      <c r="BG1029" t="s">
        <v>17</v>
      </c>
      <c r="BH1029" t="s">
        <v>0</v>
      </c>
      <c r="BI1029" t="s">
        <v>11</v>
      </c>
      <c r="BJ1029" t="s">
        <v>0</v>
      </c>
      <c r="BK1029" t="s">
        <v>0</v>
      </c>
      <c r="BL1029" s="5">
        <v>0</v>
      </c>
      <c r="BM1029" t="s">
        <v>0</v>
      </c>
      <c r="BN1029" t="s">
        <v>0</v>
      </c>
      <c r="BO1029" t="s">
        <v>0</v>
      </c>
      <c r="BP1029" t="s">
        <v>17</v>
      </c>
      <c r="BQ1029" t="s">
        <v>0</v>
      </c>
      <c r="BR1029" t="s">
        <v>17</v>
      </c>
      <c r="BS1029" t="s">
        <v>17</v>
      </c>
      <c r="BT1029" t="s">
        <v>0</v>
      </c>
      <c r="BU1029" t="s">
        <v>0</v>
      </c>
      <c r="BV1029" t="s">
        <v>0</v>
      </c>
      <c r="BW1029" t="s">
        <v>0</v>
      </c>
      <c r="BX1029" t="s">
        <v>0</v>
      </c>
      <c r="BY1029" t="s">
        <v>0</v>
      </c>
      <c r="BZ1029" t="s">
        <v>0</v>
      </c>
      <c r="CA1029" t="s">
        <v>0</v>
      </c>
      <c r="CB1029" t="s">
        <v>0</v>
      </c>
    </row>
    <row r="1030" spans="1:80" x14ac:dyDescent="0.25">
      <c r="A1030" t="s">
        <v>494</v>
      </c>
      <c r="B1030" s="2">
        <v>46133</v>
      </c>
      <c r="C1030" s="2">
        <v>46133</v>
      </c>
      <c r="D1030" s="2">
        <v>46163</v>
      </c>
      <c r="E1030" t="s">
        <v>2</v>
      </c>
      <c r="F1030" t="s">
        <v>3</v>
      </c>
      <c r="G1030" t="s">
        <v>0</v>
      </c>
      <c r="H1030" t="s">
        <v>4</v>
      </c>
      <c r="I1030" t="s">
        <v>495</v>
      </c>
      <c r="J1030" t="s">
        <v>6</v>
      </c>
      <c r="K1030" t="s">
        <v>22</v>
      </c>
      <c r="L1030" t="s">
        <v>390</v>
      </c>
      <c r="M1030" t="s">
        <v>391</v>
      </c>
      <c r="N1030" t="s">
        <v>10</v>
      </c>
      <c r="O1030" t="s">
        <v>0</v>
      </c>
      <c r="P1030" t="s">
        <v>11</v>
      </c>
      <c r="Q1030" s="5">
        <v>40</v>
      </c>
      <c r="R1030" s="4">
        <v>62800</v>
      </c>
      <c r="S1030" s="5">
        <v>1</v>
      </c>
      <c r="T1030" s="4">
        <v>2512000</v>
      </c>
      <c r="U1030" s="5">
        <v>40</v>
      </c>
      <c r="V1030" s="4">
        <v>2512000</v>
      </c>
      <c r="W1030" s="5">
        <v>40</v>
      </c>
      <c r="X1030" s="4">
        <v>2512000</v>
      </c>
      <c r="Y1030" s="4">
        <f t="shared" si="32"/>
        <v>0</v>
      </c>
      <c r="Z1030" t="s">
        <v>0</v>
      </c>
      <c r="AA1030" t="s">
        <v>2</v>
      </c>
      <c r="AB1030" t="s">
        <v>12</v>
      </c>
      <c r="AC1030">
        <f>_xlfn.XLOOKUP(AB1030,'[1]GST Codes'!$A:$A,'[1]GST Codes'!$C:$C,0,0)</f>
        <v>18</v>
      </c>
      <c r="AD1030">
        <f t="shared" si="33"/>
        <v>0</v>
      </c>
      <c r="AE1030" t="s">
        <v>13</v>
      </c>
      <c r="AF1030" t="s">
        <v>0</v>
      </c>
      <c r="AG1030" t="s">
        <v>14</v>
      </c>
      <c r="AH1030" t="s">
        <v>15</v>
      </c>
      <c r="AI1030" t="s">
        <v>85</v>
      </c>
      <c r="AJ1030" t="s">
        <v>17</v>
      </c>
      <c r="AK1030" t="s">
        <v>18</v>
      </c>
      <c r="AL1030" t="s">
        <v>19</v>
      </c>
      <c r="AM1030" t="s">
        <v>496</v>
      </c>
      <c r="AN1030" t="s">
        <v>0</v>
      </c>
      <c r="AO1030" t="s">
        <v>0</v>
      </c>
      <c r="AP1030" t="s">
        <v>0</v>
      </c>
      <c r="AQ1030" s="5">
        <v>40</v>
      </c>
      <c r="AR1030" t="s">
        <v>11</v>
      </c>
      <c r="AS1030" t="s">
        <v>0</v>
      </c>
      <c r="AT1030" t="s">
        <v>17</v>
      </c>
      <c r="AU1030" s="4">
        <v>0</v>
      </c>
      <c r="AV1030" s="4">
        <v>0</v>
      </c>
      <c r="AW1030" s="4">
        <v>0</v>
      </c>
      <c r="AX1030" s="4">
        <v>0</v>
      </c>
      <c r="AY1030" s="5">
        <v>0</v>
      </c>
      <c r="AZ1030" s="5">
        <v>0</v>
      </c>
      <c r="BA1030" s="5">
        <v>0</v>
      </c>
      <c r="BB1030" s="2"/>
      <c r="BC1030" t="s">
        <v>0</v>
      </c>
      <c r="BD1030" s="5">
        <v>1</v>
      </c>
      <c r="BE1030" t="s">
        <v>0</v>
      </c>
      <c r="BF1030" t="s">
        <v>498</v>
      </c>
      <c r="BG1030" t="s">
        <v>17</v>
      </c>
      <c r="BH1030" t="s">
        <v>0</v>
      </c>
      <c r="BI1030" t="s">
        <v>11</v>
      </c>
      <c r="BJ1030" t="s">
        <v>0</v>
      </c>
      <c r="BK1030" t="s">
        <v>0</v>
      </c>
      <c r="BL1030" s="5">
        <v>0</v>
      </c>
      <c r="BM1030" t="s">
        <v>0</v>
      </c>
      <c r="BN1030" t="s">
        <v>0</v>
      </c>
      <c r="BO1030" t="s">
        <v>0</v>
      </c>
      <c r="BP1030" t="s">
        <v>17</v>
      </c>
      <c r="BQ1030" t="s">
        <v>0</v>
      </c>
      <c r="BR1030" t="s">
        <v>17</v>
      </c>
      <c r="BS1030" t="s">
        <v>17</v>
      </c>
      <c r="BT1030" t="s">
        <v>0</v>
      </c>
      <c r="BU1030" t="s">
        <v>0</v>
      </c>
      <c r="BV1030" t="s">
        <v>0</v>
      </c>
      <c r="BW1030" t="s">
        <v>0</v>
      </c>
      <c r="BX1030" t="s">
        <v>0</v>
      </c>
      <c r="BY1030" t="s">
        <v>0</v>
      </c>
      <c r="BZ1030" t="s">
        <v>0</v>
      </c>
      <c r="CA1030" t="s">
        <v>0</v>
      </c>
      <c r="CB1030" t="s">
        <v>0</v>
      </c>
    </row>
    <row r="1031" spans="1:80" x14ac:dyDescent="0.25">
      <c r="A1031" t="s">
        <v>499</v>
      </c>
      <c r="B1031" s="2">
        <v>46189</v>
      </c>
      <c r="C1031" s="2">
        <v>46189</v>
      </c>
      <c r="D1031" s="2">
        <v>46219</v>
      </c>
      <c r="E1031" t="s">
        <v>2</v>
      </c>
      <c r="F1031" t="s">
        <v>3</v>
      </c>
      <c r="G1031" t="s">
        <v>0</v>
      </c>
      <c r="H1031" t="s">
        <v>4</v>
      </c>
      <c r="I1031" t="s">
        <v>500</v>
      </c>
      <c r="J1031" t="s">
        <v>6</v>
      </c>
      <c r="K1031" t="s">
        <v>7</v>
      </c>
      <c r="L1031" t="s">
        <v>35</v>
      </c>
      <c r="M1031" t="s">
        <v>36</v>
      </c>
      <c r="N1031" t="s">
        <v>10</v>
      </c>
      <c r="O1031" t="s">
        <v>0</v>
      </c>
      <c r="P1031" t="s">
        <v>11</v>
      </c>
      <c r="Q1031" s="5">
        <v>9</v>
      </c>
      <c r="R1031" s="4">
        <v>47600</v>
      </c>
      <c r="S1031" s="5">
        <v>1</v>
      </c>
      <c r="T1031" s="4">
        <v>428400</v>
      </c>
      <c r="U1031" s="5">
        <v>9</v>
      </c>
      <c r="V1031" s="4">
        <v>428400</v>
      </c>
      <c r="W1031" s="5">
        <v>9</v>
      </c>
      <c r="X1031" s="4">
        <v>428400</v>
      </c>
      <c r="Y1031" s="4">
        <f t="shared" si="32"/>
        <v>0</v>
      </c>
      <c r="Z1031" t="s">
        <v>0</v>
      </c>
      <c r="AA1031" t="s">
        <v>2</v>
      </c>
      <c r="AB1031" t="s">
        <v>12</v>
      </c>
      <c r="AC1031">
        <f>_xlfn.XLOOKUP(AB1031,'[1]GST Codes'!$A:$A,'[1]GST Codes'!$C:$C,0,0)</f>
        <v>18</v>
      </c>
      <c r="AD1031">
        <f t="shared" si="33"/>
        <v>0</v>
      </c>
      <c r="AE1031" t="s">
        <v>13</v>
      </c>
      <c r="AF1031" t="s">
        <v>0</v>
      </c>
      <c r="AG1031" t="s">
        <v>431</v>
      </c>
      <c r="AH1031" t="s">
        <v>59</v>
      </c>
      <c r="AI1031" t="s">
        <v>96</v>
      </c>
      <c r="AJ1031" t="s">
        <v>17</v>
      </c>
      <c r="AK1031" t="s">
        <v>18</v>
      </c>
      <c r="AL1031" t="s">
        <v>19</v>
      </c>
      <c r="AM1031" t="s">
        <v>501</v>
      </c>
      <c r="AN1031" t="s">
        <v>0</v>
      </c>
      <c r="AO1031" t="s">
        <v>0</v>
      </c>
      <c r="AP1031" t="s">
        <v>0</v>
      </c>
      <c r="AQ1031" s="5">
        <v>9</v>
      </c>
      <c r="AR1031" t="s">
        <v>11</v>
      </c>
      <c r="AS1031" t="s">
        <v>0</v>
      </c>
      <c r="AT1031" t="s">
        <v>17</v>
      </c>
      <c r="AU1031" s="4">
        <v>0</v>
      </c>
      <c r="AV1031" s="4">
        <v>0</v>
      </c>
      <c r="AW1031" s="4">
        <v>0</v>
      </c>
      <c r="AX1031" s="4">
        <v>0</v>
      </c>
      <c r="AY1031" s="5">
        <v>0</v>
      </c>
      <c r="AZ1031" s="5">
        <v>0</v>
      </c>
      <c r="BA1031" s="5">
        <v>0</v>
      </c>
      <c r="BB1031" s="2"/>
      <c r="BC1031" t="s">
        <v>0</v>
      </c>
      <c r="BD1031" s="5">
        <v>1</v>
      </c>
      <c r="BE1031" t="s">
        <v>0</v>
      </c>
      <c r="BF1031" t="s">
        <v>502</v>
      </c>
      <c r="BG1031" t="s">
        <v>17</v>
      </c>
      <c r="BH1031" t="s">
        <v>0</v>
      </c>
      <c r="BI1031" t="s">
        <v>11</v>
      </c>
      <c r="BJ1031" t="s">
        <v>0</v>
      </c>
      <c r="BK1031" t="s">
        <v>0</v>
      </c>
      <c r="BL1031" s="5">
        <v>0</v>
      </c>
      <c r="BM1031" t="s">
        <v>0</v>
      </c>
      <c r="BN1031" t="s">
        <v>0</v>
      </c>
      <c r="BO1031" t="s">
        <v>0</v>
      </c>
      <c r="BP1031" t="s">
        <v>17</v>
      </c>
      <c r="BQ1031" t="s">
        <v>0</v>
      </c>
      <c r="BR1031" t="s">
        <v>17</v>
      </c>
      <c r="BS1031" t="s">
        <v>17</v>
      </c>
      <c r="BT1031" t="s">
        <v>0</v>
      </c>
      <c r="BU1031" t="s">
        <v>0</v>
      </c>
      <c r="BV1031" t="s">
        <v>0</v>
      </c>
      <c r="BW1031" t="s">
        <v>0</v>
      </c>
      <c r="BX1031" t="s">
        <v>0</v>
      </c>
      <c r="BY1031" t="s">
        <v>0</v>
      </c>
      <c r="BZ1031" t="s">
        <v>0</v>
      </c>
      <c r="CA1031" t="s">
        <v>0</v>
      </c>
      <c r="CB1031" t="s">
        <v>0</v>
      </c>
    </row>
    <row r="1032" spans="1:80" x14ac:dyDescent="0.25">
      <c r="A1032" t="s">
        <v>499</v>
      </c>
      <c r="B1032" s="2">
        <v>46189</v>
      </c>
      <c r="C1032" s="2">
        <v>46189</v>
      </c>
      <c r="D1032" s="2">
        <v>46219</v>
      </c>
      <c r="E1032" t="s">
        <v>2</v>
      </c>
      <c r="F1032" t="s">
        <v>3</v>
      </c>
      <c r="G1032" t="s">
        <v>0</v>
      </c>
      <c r="H1032" t="s">
        <v>4</v>
      </c>
      <c r="I1032" t="s">
        <v>500</v>
      </c>
      <c r="J1032" t="s">
        <v>6</v>
      </c>
      <c r="K1032" t="s">
        <v>22</v>
      </c>
      <c r="L1032" t="s">
        <v>35</v>
      </c>
      <c r="M1032" t="s">
        <v>36</v>
      </c>
      <c r="N1032" t="s">
        <v>10</v>
      </c>
      <c r="O1032" t="s">
        <v>0</v>
      </c>
      <c r="P1032" t="s">
        <v>11</v>
      </c>
      <c r="Q1032" s="5">
        <v>9</v>
      </c>
      <c r="R1032" s="4">
        <v>47600</v>
      </c>
      <c r="S1032" s="5">
        <v>1</v>
      </c>
      <c r="T1032" s="4">
        <v>428400</v>
      </c>
      <c r="U1032" s="5">
        <v>9</v>
      </c>
      <c r="V1032" s="4">
        <v>428400</v>
      </c>
      <c r="W1032" s="5">
        <v>9</v>
      </c>
      <c r="X1032" s="4">
        <v>428400</v>
      </c>
      <c r="Y1032" s="4">
        <f t="shared" si="32"/>
        <v>0</v>
      </c>
      <c r="Z1032" t="s">
        <v>0</v>
      </c>
      <c r="AA1032" t="s">
        <v>2</v>
      </c>
      <c r="AB1032" t="s">
        <v>12</v>
      </c>
      <c r="AC1032">
        <f>_xlfn.XLOOKUP(AB1032,'[1]GST Codes'!$A:$A,'[1]GST Codes'!$C:$C,0,0)</f>
        <v>18</v>
      </c>
      <c r="AD1032">
        <f t="shared" si="33"/>
        <v>0</v>
      </c>
      <c r="AE1032" t="s">
        <v>13</v>
      </c>
      <c r="AF1032" t="s">
        <v>0</v>
      </c>
      <c r="AG1032" t="s">
        <v>431</v>
      </c>
      <c r="AH1032" t="s">
        <v>59</v>
      </c>
      <c r="AI1032" t="s">
        <v>96</v>
      </c>
      <c r="AJ1032" t="s">
        <v>17</v>
      </c>
      <c r="AK1032" t="s">
        <v>18</v>
      </c>
      <c r="AL1032" t="s">
        <v>19</v>
      </c>
      <c r="AM1032" t="s">
        <v>501</v>
      </c>
      <c r="AN1032" t="s">
        <v>0</v>
      </c>
      <c r="AO1032" t="s">
        <v>0</v>
      </c>
      <c r="AP1032" t="s">
        <v>0</v>
      </c>
      <c r="AQ1032" s="5">
        <v>9</v>
      </c>
      <c r="AR1032" t="s">
        <v>11</v>
      </c>
      <c r="AS1032" t="s">
        <v>0</v>
      </c>
      <c r="AT1032" t="s">
        <v>17</v>
      </c>
      <c r="AU1032" s="4">
        <v>0</v>
      </c>
      <c r="AV1032" s="4">
        <v>0</v>
      </c>
      <c r="AW1032" s="4">
        <v>0</v>
      </c>
      <c r="AX1032" s="4">
        <v>0</v>
      </c>
      <c r="AY1032" s="5">
        <v>0</v>
      </c>
      <c r="AZ1032" s="5">
        <v>0</v>
      </c>
      <c r="BA1032" s="5">
        <v>0</v>
      </c>
      <c r="BB1032" s="2"/>
      <c r="BC1032" t="s">
        <v>0</v>
      </c>
      <c r="BD1032" s="5">
        <v>1</v>
      </c>
      <c r="BE1032" t="s">
        <v>0</v>
      </c>
      <c r="BF1032" t="s">
        <v>502</v>
      </c>
      <c r="BG1032" t="s">
        <v>17</v>
      </c>
      <c r="BH1032" t="s">
        <v>0</v>
      </c>
      <c r="BI1032" t="s">
        <v>11</v>
      </c>
      <c r="BJ1032" t="s">
        <v>0</v>
      </c>
      <c r="BK1032" t="s">
        <v>0</v>
      </c>
      <c r="BL1032" s="5">
        <v>0</v>
      </c>
      <c r="BM1032" t="s">
        <v>0</v>
      </c>
      <c r="BN1032" t="s">
        <v>0</v>
      </c>
      <c r="BO1032" t="s">
        <v>0</v>
      </c>
      <c r="BP1032" t="s">
        <v>17</v>
      </c>
      <c r="BQ1032" t="s">
        <v>0</v>
      </c>
      <c r="BR1032" t="s">
        <v>17</v>
      </c>
      <c r="BS1032" t="s">
        <v>17</v>
      </c>
      <c r="BT1032" t="s">
        <v>0</v>
      </c>
      <c r="BU1032" t="s">
        <v>0</v>
      </c>
      <c r="BV1032" t="s">
        <v>0</v>
      </c>
      <c r="BW1032" t="s">
        <v>0</v>
      </c>
      <c r="BX1032" t="s">
        <v>0</v>
      </c>
      <c r="BY1032" t="s">
        <v>0</v>
      </c>
      <c r="BZ1032" t="s">
        <v>0</v>
      </c>
      <c r="CA1032" t="s">
        <v>0</v>
      </c>
      <c r="CB1032" t="s">
        <v>0</v>
      </c>
    </row>
    <row r="1033" spans="1:80" x14ac:dyDescent="0.25">
      <c r="A1033" t="s">
        <v>499</v>
      </c>
      <c r="B1033" s="2">
        <v>46189</v>
      </c>
      <c r="C1033" s="2">
        <v>46189</v>
      </c>
      <c r="D1033" s="2">
        <v>46219</v>
      </c>
      <c r="E1033" t="s">
        <v>2</v>
      </c>
      <c r="F1033" t="s">
        <v>3</v>
      </c>
      <c r="G1033" t="s">
        <v>0</v>
      </c>
      <c r="H1033" t="s">
        <v>4</v>
      </c>
      <c r="I1033" t="s">
        <v>500</v>
      </c>
      <c r="J1033" t="s">
        <v>6</v>
      </c>
      <c r="K1033" t="s">
        <v>26</v>
      </c>
      <c r="L1033" t="s">
        <v>35</v>
      </c>
      <c r="M1033" t="s">
        <v>36</v>
      </c>
      <c r="N1033" t="s">
        <v>10</v>
      </c>
      <c r="O1033" t="s">
        <v>0</v>
      </c>
      <c r="P1033" t="s">
        <v>11</v>
      </c>
      <c r="Q1033" s="5">
        <v>8</v>
      </c>
      <c r="R1033" s="4">
        <v>47600</v>
      </c>
      <c r="S1033" s="5">
        <v>1</v>
      </c>
      <c r="T1033" s="4">
        <v>380800</v>
      </c>
      <c r="U1033" s="5">
        <v>8</v>
      </c>
      <c r="V1033" s="4">
        <v>380800</v>
      </c>
      <c r="W1033" s="5">
        <v>8</v>
      </c>
      <c r="X1033" s="4">
        <v>380800</v>
      </c>
      <c r="Y1033" s="4">
        <f t="shared" si="32"/>
        <v>0</v>
      </c>
      <c r="Z1033" t="s">
        <v>0</v>
      </c>
      <c r="AA1033" t="s">
        <v>2</v>
      </c>
      <c r="AB1033" t="s">
        <v>12</v>
      </c>
      <c r="AC1033">
        <f>_xlfn.XLOOKUP(AB1033,'[1]GST Codes'!$A:$A,'[1]GST Codes'!$C:$C,0,0)</f>
        <v>18</v>
      </c>
      <c r="AD1033">
        <f t="shared" si="33"/>
        <v>0</v>
      </c>
      <c r="AE1033" t="s">
        <v>13</v>
      </c>
      <c r="AF1033" t="s">
        <v>0</v>
      </c>
      <c r="AG1033" t="s">
        <v>431</v>
      </c>
      <c r="AH1033" t="s">
        <v>59</v>
      </c>
      <c r="AI1033" t="s">
        <v>96</v>
      </c>
      <c r="AJ1033" t="s">
        <v>17</v>
      </c>
      <c r="AK1033" t="s">
        <v>18</v>
      </c>
      <c r="AL1033" t="s">
        <v>19</v>
      </c>
      <c r="AM1033" t="s">
        <v>501</v>
      </c>
      <c r="AN1033" t="s">
        <v>0</v>
      </c>
      <c r="AO1033" t="s">
        <v>0</v>
      </c>
      <c r="AP1033" t="s">
        <v>0</v>
      </c>
      <c r="AQ1033" s="5">
        <v>8</v>
      </c>
      <c r="AR1033" t="s">
        <v>11</v>
      </c>
      <c r="AS1033" t="s">
        <v>0</v>
      </c>
      <c r="AT1033" t="s">
        <v>17</v>
      </c>
      <c r="AU1033" s="4">
        <v>0</v>
      </c>
      <c r="AV1033" s="4">
        <v>0</v>
      </c>
      <c r="AW1033" s="4">
        <v>0</v>
      </c>
      <c r="AX1033" s="4">
        <v>0</v>
      </c>
      <c r="AY1033" s="5">
        <v>0</v>
      </c>
      <c r="AZ1033" s="5">
        <v>0</v>
      </c>
      <c r="BA1033" s="5">
        <v>0</v>
      </c>
      <c r="BB1033" s="2"/>
      <c r="BC1033" t="s">
        <v>0</v>
      </c>
      <c r="BD1033" s="5">
        <v>1</v>
      </c>
      <c r="BE1033" t="s">
        <v>0</v>
      </c>
      <c r="BF1033" t="s">
        <v>502</v>
      </c>
      <c r="BG1033" t="s">
        <v>17</v>
      </c>
      <c r="BH1033" t="s">
        <v>0</v>
      </c>
      <c r="BI1033" t="s">
        <v>11</v>
      </c>
      <c r="BJ1033" t="s">
        <v>0</v>
      </c>
      <c r="BK1033" t="s">
        <v>0</v>
      </c>
      <c r="BL1033" s="5">
        <v>0</v>
      </c>
      <c r="BM1033" t="s">
        <v>0</v>
      </c>
      <c r="BN1033" t="s">
        <v>0</v>
      </c>
      <c r="BO1033" t="s">
        <v>0</v>
      </c>
      <c r="BP1033" t="s">
        <v>17</v>
      </c>
      <c r="BQ1033" t="s">
        <v>0</v>
      </c>
      <c r="BR1033" t="s">
        <v>17</v>
      </c>
      <c r="BS1033" t="s">
        <v>17</v>
      </c>
      <c r="BT1033" t="s">
        <v>0</v>
      </c>
      <c r="BU1033" t="s">
        <v>0</v>
      </c>
      <c r="BV1033" t="s">
        <v>0</v>
      </c>
      <c r="BW1033" t="s">
        <v>0</v>
      </c>
      <c r="BX1033" t="s">
        <v>0</v>
      </c>
      <c r="BY1033" t="s">
        <v>0</v>
      </c>
      <c r="BZ1033" t="s">
        <v>0</v>
      </c>
      <c r="CA1033" t="s">
        <v>0</v>
      </c>
      <c r="CB1033" t="s">
        <v>0</v>
      </c>
    </row>
    <row r="1034" spans="1:80" x14ac:dyDescent="0.25">
      <c r="A1034" t="s">
        <v>499</v>
      </c>
      <c r="B1034" s="2">
        <v>46189</v>
      </c>
      <c r="C1034" s="2">
        <v>46189</v>
      </c>
      <c r="D1034" s="2">
        <v>46219</v>
      </c>
      <c r="E1034" t="s">
        <v>2</v>
      </c>
      <c r="F1034" t="s">
        <v>3</v>
      </c>
      <c r="G1034" t="s">
        <v>0</v>
      </c>
      <c r="H1034" t="s">
        <v>4</v>
      </c>
      <c r="I1034" t="s">
        <v>500</v>
      </c>
      <c r="J1034" t="s">
        <v>6</v>
      </c>
      <c r="K1034" t="s">
        <v>30</v>
      </c>
      <c r="L1034" t="s">
        <v>35</v>
      </c>
      <c r="M1034" t="s">
        <v>36</v>
      </c>
      <c r="N1034" t="s">
        <v>10</v>
      </c>
      <c r="O1034" t="s">
        <v>0</v>
      </c>
      <c r="P1034" t="s">
        <v>11</v>
      </c>
      <c r="Q1034" s="5">
        <v>8</v>
      </c>
      <c r="R1034" s="4">
        <v>47600</v>
      </c>
      <c r="S1034" s="5">
        <v>1</v>
      </c>
      <c r="T1034" s="4">
        <v>380800</v>
      </c>
      <c r="U1034" s="5">
        <v>8</v>
      </c>
      <c r="V1034" s="4">
        <v>380800</v>
      </c>
      <c r="W1034" s="5">
        <v>8</v>
      </c>
      <c r="X1034" s="4">
        <v>380800</v>
      </c>
      <c r="Y1034" s="4">
        <f t="shared" si="32"/>
        <v>0</v>
      </c>
      <c r="Z1034" t="s">
        <v>0</v>
      </c>
      <c r="AA1034" t="s">
        <v>2</v>
      </c>
      <c r="AB1034" t="s">
        <v>12</v>
      </c>
      <c r="AC1034">
        <f>_xlfn.XLOOKUP(AB1034,'[1]GST Codes'!$A:$A,'[1]GST Codes'!$C:$C,0,0)</f>
        <v>18</v>
      </c>
      <c r="AD1034">
        <f t="shared" si="33"/>
        <v>0</v>
      </c>
      <c r="AE1034" t="s">
        <v>13</v>
      </c>
      <c r="AF1034" t="s">
        <v>0</v>
      </c>
      <c r="AG1034" t="s">
        <v>431</v>
      </c>
      <c r="AH1034" t="s">
        <v>59</v>
      </c>
      <c r="AI1034" t="s">
        <v>96</v>
      </c>
      <c r="AJ1034" t="s">
        <v>17</v>
      </c>
      <c r="AK1034" t="s">
        <v>18</v>
      </c>
      <c r="AL1034" t="s">
        <v>19</v>
      </c>
      <c r="AM1034" t="s">
        <v>501</v>
      </c>
      <c r="AN1034" t="s">
        <v>0</v>
      </c>
      <c r="AO1034" t="s">
        <v>0</v>
      </c>
      <c r="AP1034" t="s">
        <v>0</v>
      </c>
      <c r="AQ1034" s="5">
        <v>8</v>
      </c>
      <c r="AR1034" t="s">
        <v>11</v>
      </c>
      <c r="AS1034" t="s">
        <v>0</v>
      </c>
      <c r="AT1034" t="s">
        <v>17</v>
      </c>
      <c r="AU1034" s="4">
        <v>0</v>
      </c>
      <c r="AV1034" s="4">
        <v>0</v>
      </c>
      <c r="AW1034" s="4">
        <v>0</v>
      </c>
      <c r="AX1034" s="4">
        <v>0</v>
      </c>
      <c r="AY1034" s="5">
        <v>0</v>
      </c>
      <c r="AZ1034" s="5">
        <v>0</v>
      </c>
      <c r="BA1034" s="5">
        <v>0</v>
      </c>
      <c r="BB1034" s="2"/>
      <c r="BC1034" t="s">
        <v>0</v>
      </c>
      <c r="BD1034" s="5">
        <v>1</v>
      </c>
      <c r="BE1034" t="s">
        <v>0</v>
      </c>
      <c r="BF1034" t="s">
        <v>502</v>
      </c>
      <c r="BG1034" t="s">
        <v>17</v>
      </c>
      <c r="BH1034" t="s">
        <v>0</v>
      </c>
      <c r="BI1034" t="s">
        <v>11</v>
      </c>
      <c r="BJ1034" t="s">
        <v>0</v>
      </c>
      <c r="BK1034" t="s">
        <v>0</v>
      </c>
      <c r="BL1034" s="5">
        <v>0</v>
      </c>
      <c r="BM1034" t="s">
        <v>0</v>
      </c>
      <c r="BN1034" t="s">
        <v>0</v>
      </c>
      <c r="BO1034" t="s">
        <v>0</v>
      </c>
      <c r="BP1034" t="s">
        <v>17</v>
      </c>
      <c r="BQ1034" t="s">
        <v>0</v>
      </c>
      <c r="BR1034" t="s">
        <v>17</v>
      </c>
      <c r="BS1034" t="s">
        <v>17</v>
      </c>
      <c r="BT1034" t="s">
        <v>0</v>
      </c>
      <c r="BU1034" t="s">
        <v>0</v>
      </c>
      <c r="BV1034" t="s">
        <v>0</v>
      </c>
      <c r="BW1034" t="s">
        <v>0</v>
      </c>
      <c r="BX1034" t="s">
        <v>0</v>
      </c>
      <c r="BY1034" t="s">
        <v>0</v>
      </c>
      <c r="BZ1034" t="s">
        <v>0</v>
      </c>
      <c r="CA1034" t="s">
        <v>0</v>
      </c>
      <c r="CB1034" t="s">
        <v>0</v>
      </c>
    </row>
    <row r="1035" spans="1:80" x14ac:dyDescent="0.25">
      <c r="A1035" t="s">
        <v>499</v>
      </c>
      <c r="B1035" s="2">
        <v>46189</v>
      </c>
      <c r="C1035" s="2">
        <v>46189</v>
      </c>
      <c r="D1035" s="2">
        <v>46219</v>
      </c>
      <c r="E1035" t="s">
        <v>2</v>
      </c>
      <c r="F1035" t="s">
        <v>3</v>
      </c>
      <c r="G1035" t="s">
        <v>0</v>
      </c>
      <c r="H1035" t="s">
        <v>4</v>
      </c>
      <c r="I1035" t="s">
        <v>500</v>
      </c>
      <c r="J1035" t="s">
        <v>6</v>
      </c>
      <c r="K1035" t="s">
        <v>34</v>
      </c>
      <c r="L1035" t="s">
        <v>35</v>
      </c>
      <c r="M1035" t="s">
        <v>36</v>
      </c>
      <c r="N1035" t="s">
        <v>10</v>
      </c>
      <c r="O1035" t="s">
        <v>0</v>
      </c>
      <c r="P1035" t="s">
        <v>11</v>
      </c>
      <c r="Q1035" s="5">
        <v>8</v>
      </c>
      <c r="R1035" s="4">
        <v>47600</v>
      </c>
      <c r="S1035" s="5">
        <v>1</v>
      </c>
      <c r="T1035" s="4">
        <v>380800</v>
      </c>
      <c r="U1035" s="5">
        <v>8</v>
      </c>
      <c r="V1035" s="4">
        <v>380800</v>
      </c>
      <c r="W1035" s="5">
        <v>8</v>
      </c>
      <c r="X1035" s="4">
        <v>380800</v>
      </c>
      <c r="Y1035" s="4">
        <f t="shared" si="32"/>
        <v>0</v>
      </c>
      <c r="Z1035" t="s">
        <v>0</v>
      </c>
      <c r="AA1035" t="s">
        <v>2</v>
      </c>
      <c r="AB1035" t="s">
        <v>12</v>
      </c>
      <c r="AC1035">
        <f>_xlfn.XLOOKUP(AB1035,'[1]GST Codes'!$A:$A,'[1]GST Codes'!$C:$C,0,0)</f>
        <v>18</v>
      </c>
      <c r="AD1035">
        <f t="shared" si="33"/>
        <v>0</v>
      </c>
      <c r="AE1035" t="s">
        <v>13</v>
      </c>
      <c r="AF1035" t="s">
        <v>0</v>
      </c>
      <c r="AG1035" t="s">
        <v>431</v>
      </c>
      <c r="AH1035" t="s">
        <v>59</v>
      </c>
      <c r="AI1035" t="s">
        <v>96</v>
      </c>
      <c r="AJ1035" t="s">
        <v>17</v>
      </c>
      <c r="AK1035" t="s">
        <v>18</v>
      </c>
      <c r="AL1035" t="s">
        <v>19</v>
      </c>
      <c r="AM1035" t="s">
        <v>501</v>
      </c>
      <c r="AN1035" t="s">
        <v>0</v>
      </c>
      <c r="AO1035" t="s">
        <v>0</v>
      </c>
      <c r="AP1035" t="s">
        <v>0</v>
      </c>
      <c r="AQ1035" s="5">
        <v>8</v>
      </c>
      <c r="AR1035" t="s">
        <v>11</v>
      </c>
      <c r="AS1035" t="s">
        <v>0</v>
      </c>
      <c r="AT1035" t="s">
        <v>17</v>
      </c>
      <c r="AU1035" s="4">
        <v>0</v>
      </c>
      <c r="AV1035" s="4">
        <v>0</v>
      </c>
      <c r="AW1035" s="4">
        <v>0</v>
      </c>
      <c r="AX1035" s="4">
        <v>0</v>
      </c>
      <c r="AY1035" s="5">
        <v>0</v>
      </c>
      <c r="AZ1035" s="5">
        <v>0</v>
      </c>
      <c r="BA1035" s="5">
        <v>0</v>
      </c>
      <c r="BB1035" s="2"/>
      <c r="BC1035" t="s">
        <v>0</v>
      </c>
      <c r="BD1035" s="5">
        <v>1</v>
      </c>
      <c r="BE1035" t="s">
        <v>0</v>
      </c>
      <c r="BF1035" t="s">
        <v>502</v>
      </c>
      <c r="BG1035" t="s">
        <v>17</v>
      </c>
      <c r="BH1035" t="s">
        <v>0</v>
      </c>
      <c r="BI1035" t="s">
        <v>11</v>
      </c>
      <c r="BJ1035" t="s">
        <v>0</v>
      </c>
      <c r="BK1035" t="s">
        <v>0</v>
      </c>
      <c r="BL1035" s="5">
        <v>0</v>
      </c>
      <c r="BM1035" t="s">
        <v>0</v>
      </c>
      <c r="BN1035" t="s">
        <v>0</v>
      </c>
      <c r="BO1035" t="s">
        <v>0</v>
      </c>
      <c r="BP1035" t="s">
        <v>17</v>
      </c>
      <c r="BQ1035" t="s">
        <v>0</v>
      </c>
      <c r="BR1035" t="s">
        <v>17</v>
      </c>
      <c r="BS1035" t="s">
        <v>17</v>
      </c>
      <c r="BT1035" t="s">
        <v>0</v>
      </c>
      <c r="BU1035" t="s">
        <v>0</v>
      </c>
      <c r="BV1035" t="s">
        <v>0</v>
      </c>
      <c r="BW1035" t="s">
        <v>0</v>
      </c>
      <c r="BX1035" t="s">
        <v>0</v>
      </c>
      <c r="BY1035" t="s">
        <v>0</v>
      </c>
      <c r="BZ1035" t="s">
        <v>0</v>
      </c>
      <c r="CA1035" t="s">
        <v>0</v>
      </c>
      <c r="CB1035" t="s">
        <v>0</v>
      </c>
    </row>
    <row r="1036" spans="1:80" x14ac:dyDescent="0.25">
      <c r="A1036" t="s">
        <v>499</v>
      </c>
      <c r="B1036" s="2">
        <v>46189</v>
      </c>
      <c r="C1036" s="2">
        <v>46189</v>
      </c>
      <c r="D1036" s="2">
        <v>46219</v>
      </c>
      <c r="E1036" t="s">
        <v>2</v>
      </c>
      <c r="F1036" t="s">
        <v>3</v>
      </c>
      <c r="G1036" t="s">
        <v>0</v>
      </c>
      <c r="H1036" t="s">
        <v>4</v>
      </c>
      <c r="I1036" t="s">
        <v>500</v>
      </c>
      <c r="J1036" t="s">
        <v>6</v>
      </c>
      <c r="K1036" t="s">
        <v>38</v>
      </c>
      <c r="L1036" t="s">
        <v>35</v>
      </c>
      <c r="M1036" t="s">
        <v>36</v>
      </c>
      <c r="N1036" t="s">
        <v>10</v>
      </c>
      <c r="O1036" t="s">
        <v>0</v>
      </c>
      <c r="P1036" t="s">
        <v>11</v>
      </c>
      <c r="Q1036" s="5">
        <v>8</v>
      </c>
      <c r="R1036" s="4">
        <v>47600</v>
      </c>
      <c r="S1036" s="5">
        <v>1</v>
      </c>
      <c r="T1036" s="4">
        <v>380800</v>
      </c>
      <c r="U1036" s="5">
        <v>8</v>
      </c>
      <c r="V1036" s="4">
        <v>380800</v>
      </c>
      <c r="W1036" s="5">
        <v>8</v>
      </c>
      <c r="X1036" s="4">
        <v>380800</v>
      </c>
      <c r="Y1036" s="4">
        <f t="shared" si="32"/>
        <v>0</v>
      </c>
      <c r="Z1036" t="s">
        <v>0</v>
      </c>
      <c r="AA1036" t="s">
        <v>2</v>
      </c>
      <c r="AB1036" t="s">
        <v>12</v>
      </c>
      <c r="AC1036">
        <f>_xlfn.XLOOKUP(AB1036,'[1]GST Codes'!$A:$A,'[1]GST Codes'!$C:$C,0,0)</f>
        <v>18</v>
      </c>
      <c r="AD1036">
        <f t="shared" si="33"/>
        <v>0</v>
      </c>
      <c r="AE1036" t="s">
        <v>13</v>
      </c>
      <c r="AF1036" t="s">
        <v>0</v>
      </c>
      <c r="AG1036" t="s">
        <v>431</v>
      </c>
      <c r="AH1036" t="s">
        <v>59</v>
      </c>
      <c r="AI1036" t="s">
        <v>96</v>
      </c>
      <c r="AJ1036" t="s">
        <v>17</v>
      </c>
      <c r="AK1036" t="s">
        <v>18</v>
      </c>
      <c r="AL1036" t="s">
        <v>19</v>
      </c>
      <c r="AM1036" t="s">
        <v>501</v>
      </c>
      <c r="AN1036" t="s">
        <v>0</v>
      </c>
      <c r="AO1036" t="s">
        <v>0</v>
      </c>
      <c r="AP1036" t="s">
        <v>0</v>
      </c>
      <c r="AQ1036" s="5">
        <v>8</v>
      </c>
      <c r="AR1036" t="s">
        <v>11</v>
      </c>
      <c r="AS1036" t="s">
        <v>0</v>
      </c>
      <c r="AT1036" t="s">
        <v>17</v>
      </c>
      <c r="AU1036" s="4">
        <v>0</v>
      </c>
      <c r="AV1036" s="4">
        <v>0</v>
      </c>
      <c r="AW1036" s="4">
        <v>0</v>
      </c>
      <c r="AX1036" s="4">
        <v>0</v>
      </c>
      <c r="AY1036" s="5">
        <v>0</v>
      </c>
      <c r="AZ1036" s="5">
        <v>0</v>
      </c>
      <c r="BA1036" s="5">
        <v>0</v>
      </c>
      <c r="BB1036" s="2"/>
      <c r="BC1036" t="s">
        <v>0</v>
      </c>
      <c r="BD1036" s="5">
        <v>1</v>
      </c>
      <c r="BE1036" t="s">
        <v>0</v>
      </c>
      <c r="BF1036" t="s">
        <v>502</v>
      </c>
      <c r="BG1036" t="s">
        <v>17</v>
      </c>
      <c r="BH1036" t="s">
        <v>0</v>
      </c>
      <c r="BI1036" t="s">
        <v>11</v>
      </c>
      <c r="BJ1036" t="s">
        <v>0</v>
      </c>
      <c r="BK1036" t="s">
        <v>0</v>
      </c>
      <c r="BL1036" s="5">
        <v>0</v>
      </c>
      <c r="BM1036" t="s">
        <v>0</v>
      </c>
      <c r="BN1036" t="s">
        <v>0</v>
      </c>
      <c r="BO1036" t="s">
        <v>0</v>
      </c>
      <c r="BP1036" t="s">
        <v>17</v>
      </c>
      <c r="BQ1036" t="s">
        <v>0</v>
      </c>
      <c r="BR1036" t="s">
        <v>17</v>
      </c>
      <c r="BS1036" t="s">
        <v>17</v>
      </c>
      <c r="BT1036" t="s">
        <v>0</v>
      </c>
      <c r="BU1036" t="s">
        <v>0</v>
      </c>
      <c r="BV1036" t="s">
        <v>0</v>
      </c>
      <c r="BW1036" t="s">
        <v>0</v>
      </c>
      <c r="BX1036" t="s">
        <v>0</v>
      </c>
      <c r="BY1036" t="s">
        <v>0</v>
      </c>
      <c r="BZ1036" t="s">
        <v>0</v>
      </c>
      <c r="CA1036" t="s">
        <v>0</v>
      </c>
      <c r="CB1036" t="s">
        <v>0</v>
      </c>
    </row>
    <row r="1037" spans="1:80" x14ac:dyDescent="0.25">
      <c r="A1037" t="s">
        <v>499</v>
      </c>
      <c r="B1037" s="2">
        <v>46189</v>
      </c>
      <c r="C1037" s="2">
        <v>46189</v>
      </c>
      <c r="D1037" s="2">
        <v>46219</v>
      </c>
      <c r="E1037" t="s">
        <v>2</v>
      </c>
      <c r="F1037" t="s">
        <v>3</v>
      </c>
      <c r="G1037" t="s">
        <v>0</v>
      </c>
      <c r="H1037" t="s">
        <v>4</v>
      </c>
      <c r="I1037" t="s">
        <v>500</v>
      </c>
      <c r="J1037" t="s">
        <v>6</v>
      </c>
      <c r="K1037" t="s">
        <v>42</v>
      </c>
      <c r="L1037" t="s">
        <v>70</v>
      </c>
      <c r="M1037" t="s">
        <v>71</v>
      </c>
      <c r="N1037" t="s">
        <v>10</v>
      </c>
      <c r="O1037" t="s">
        <v>0</v>
      </c>
      <c r="P1037" t="s">
        <v>11</v>
      </c>
      <c r="Q1037" s="5">
        <v>34</v>
      </c>
      <c r="R1037" s="4">
        <v>49100</v>
      </c>
      <c r="S1037" s="5">
        <v>1</v>
      </c>
      <c r="T1037" s="4">
        <v>1669400</v>
      </c>
      <c r="U1037" s="5">
        <v>34</v>
      </c>
      <c r="V1037" s="4">
        <v>1669400</v>
      </c>
      <c r="W1037" s="5">
        <v>34</v>
      </c>
      <c r="X1037" s="4">
        <v>1669400</v>
      </c>
      <c r="Y1037" s="4">
        <f t="shared" si="32"/>
        <v>0</v>
      </c>
      <c r="Z1037" t="s">
        <v>0</v>
      </c>
      <c r="AA1037" t="s">
        <v>2</v>
      </c>
      <c r="AB1037" t="s">
        <v>12</v>
      </c>
      <c r="AC1037">
        <f>_xlfn.XLOOKUP(AB1037,'[1]GST Codes'!$A:$A,'[1]GST Codes'!$C:$C,0,0)</f>
        <v>18</v>
      </c>
      <c r="AD1037">
        <f t="shared" si="33"/>
        <v>0</v>
      </c>
      <c r="AE1037" t="s">
        <v>13</v>
      </c>
      <c r="AF1037" t="s">
        <v>0</v>
      </c>
      <c r="AG1037" t="s">
        <v>431</v>
      </c>
      <c r="AH1037" t="s">
        <v>59</v>
      </c>
      <c r="AI1037" t="s">
        <v>96</v>
      </c>
      <c r="AJ1037" t="s">
        <v>17</v>
      </c>
      <c r="AK1037" t="s">
        <v>18</v>
      </c>
      <c r="AL1037" t="s">
        <v>19</v>
      </c>
      <c r="AM1037" t="s">
        <v>501</v>
      </c>
      <c r="AN1037" t="s">
        <v>0</v>
      </c>
      <c r="AO1037" t="s">
        <v>0</v>
      </c>
      <c r="AP1037" t="s">
        <v>0</v>
      </c>
      <c r="AQ1037" s="5">
        <v>34</v>
      </c>
      <c r="AR1037" t="s">
        <v>11</v>
      </c>
      <c r="AS1037" t="s">
        <v>0</v>
      </c>
      <c r="AT1037" t="s">
        <v>17</v>
      </c>
      <c r="AU1037" s="4">
        <v>0</v>
      </c>
      <c r="AV1037" s="4">
        <v>0</v>
      </c>
      <c r="AW1037" s="4">
        <v>0</v>
      </c>
      <c r="AX1037" s="4">
        <v>0</v>
      </c>
      <c r="AY1037" s="5">
        <v>0</v>
      </c>
      <c r="AZ1037" s="5">
        <v>0</v>
      </c>
      <c r="BA1037" s="5">
        <v>0</v>
      </c>
      <c r="BB1037" s="2"/>
      <c r="BC1037" t="s">
        <v>0</v>
      </c>
      <c r="BD1037" s="5">
        <v>1</v>
      </c>
      <c r="BE1037" t="s">
        <v>0</v>
      </c>
      <c r="BF1037" t="s">
        <v>503</v>
      </c>
      <c r="BG1037" t="s">
        <v>17</v>
      </c>
      <c r="BH1037" t="s">
        <v>0</v>
      </c>
      <c r="BI1037" t="s">
        <v>11</v>
      </c>
      <c r="BJ1037" t="s">
        <v>0</v>
      </c>
      <c r="BK1037" t="s">
        <v>0</v>
      </c>
      <c r="BL1037" s="5">
        <v>0</v>
      </c>
      <c r="BM1037" t="s">
        <v>0</v>
      </c>
      <c r="BN1037" t="s">
        <v>0</v>
      </c>
      <c r="BO1037" t="s">
        <v>0</v>
      </c>
      <c r="BP1037" t="s">
        <v>17</v>
      </c>
      <c r="BQ1037" t="s">
        <v>0</v>
      </c>
      <c r="BR1037" t="s">
        <v>17</v>
      </c>
      <c r="BS1037" t="s">
        <v>17</v>
      </c>
      <c r="BT1037" t="s">
        <v>0</v>
      </c>
      <c r="BU1037" t="s">
        <v>0</v>
      </c>
      <c r="BV1037" t="s">
        <v>0</v>
      </c>
      <c r="BW1037" t="s">
        <v>0</v>
      </c>
      <c r="BX1037" t="s">
        <v>0</v>
      </c>
      <c r="BY1037" t="s">
        <v>0</v>
      </c>
      <c r="BZ1037" t="s">
        <v>0</v>
      </c>
      <c r="CA1037" t="s">
        <v>0</v>
      </c>
      <c r="CB1037" t="s">
        <v>0</v>
      </c>
    </row>
    <row r="1038" spans="1:80" x14ac:dyDescent="0.25">
      <c r="A1038" t="s">
        <v>499</v>
      </c>
      <c r="B1038" s="2">
        <v>46189</v>
      </c>
      <c r="C1038" s="2">
        <v>46189</v>
      </c>
      <c r="D1038" s="2">
        <v>46219</v>
      </c>
      <c r="E1038" t="s">
        <v>2</v>
      </c>
      <c r="F1038" t="s">
        <v>3</v>
      </c>
      <c r="G1038" t="s">
        <v>0</v>
      </c>
      <c r="H1038" t="s">
        <v>4</v>
      </c>
      <c r="I1038" t="s">
        <v>500</v>
      </c>
      <c r="J1038" t="s">
        <v>6</v>
      </c>
      <c r="K1038" t="s">
        <v>86</v>
      </c>
      <c r="L1038" t="s">
        <v>70</v>
      </c>
      <c r="M1038" t="s">
        <v>71</v>
      </c>
      <c r="N1038" t="s">
        <v>10</v>
      </c>
      <c r="O1038" t="s">
        <v>0</v>
      </c>
      <c r="P1038" t="s">
        <v>11</v>
      </c>
      <c r="Q1038" s="5">
        <v>34</v>
      </c>
      <c r="R1038" s="4">
        <v>49100</v>
      </c>
      <c r="S1038" s="5">
        <v>1</v>
      </c>
      <c r="T1038" s="4">
        <v>1669400</v>
      </c>
      <c r="U1038" s="5">
        <v>34</v>
      </c>
      <c r="V1038" s="4">
        <v>1669400</v>
      </c>
      <c r="W1038" s="5">
        <v>34</v>
      </c>
      <c r="X1038" s="4">
        <v>1669400</v>
      </c>
      <c r="Y1038" s="4">
        <f t="shared" si="32"/>
        <v>0</v>
      </c>
      <c r="Z1038" t="s">
        <v>0</v>
      </c>
      <c r="AA1038" t="s">
        <v>2</v>
      </c>
      <c r="AB1038" t="s">
        <v>12</v>
      </c>
      <c r="AC1038">
        <f>_xlfn.XLOOKUP(AB1038,'[1]GST Codes'!$A:$A,'[1]GST Codes'!$C:$C,0,0)</f>
        <v>18</v>
      </c>
      <c r="AD1038">
        <f t="shared" si="33"/>
        <v>0</v>
      </c>
      <c r="AE1038" t="s">
        <v>13</v>
      </c>
      <c r="AF1038" t="s">
        <v>0</v>
      </c>
      <c r="AG1038" t="s">
        <v>431</v>
      </c>
      <c r="AH1038" t="s">
        <v>59</v>
      </c>
      <c r="AI1038" t="s">
        <v>96</v>
      </c>
      <c r="AJ1038" t="s">
        <v>17</v>
      </c>
      <c r="AK1038" t="s">
        <v>18</v>
      </c>
      <c r="AL1038" t="s">
        <v>19</v>
      </c>
      <c r="AM1038" t="s">
        <v>501</v>
      </c>
      <c r="AN1038" t="s">
        <v>0</v>
      </c>
      <c r="AO1038" t="s">
        <v>0</v>
      </c>
      <c r="AP1038" t="s">
        <v>0</v>
      </c>
      <c r="AQ1038" s="5">
        <v>34</v>
      </c>
      <c r="AR1038" t="s">
        <v>11</v>
      </c>
      <c r="AS1038" t="s">
        <v>0</v>
      </c>
      <c r="AT1038" t="s">
        <v>17</v>
      </c>
      <c r="AU1038" s="4">
        <v>0</v>
      </c>
      <c r="AV1038" s="4">
        <v>0</v>
      </c>
      <c r="AW1038" s="4">
        <v>0</v>
      </c>
      <c r="AX1038" s="4">
        <v>0</v>
      </c>
      <c r="AY1038" s="5">
        <v>0</v>
      </c>
      <c r="AZ1038" s="5">
        <v>0</v>
      </c>
      <c r="BA1038" s="5">
        <v>0</v>
      </c>
      <c r="BB1038" s="2"/>
      <c r="BC1038" t="s">
        <v>0</v>
      </c>
      <c r="BD1038" s="5">
        <v>1</v>
      </c>
      <c r="BE1038" t="s">
        <v>0</v>
      </c>
      <c r="BF1038" t="s">
        <v>503</v>
      </c>
      <c r="BG1038" t="s">
        <v>17</v>
      </c>
      <c r="BH1038" t="s">
        <v>0</v>
      </c>
      <c r="BI1038" t="s">
        <v>11</v>
      </c>
      <c r="BJ1038" t="s">
        <v>0</v>
      </c>
      <c r="BK1038" t="s">
        <v>0</v>
      </c>
      <c r="BL1038" s="5">
        <v>0</v>
      </c>
      <c r="BM1038" t="s">
        <v>0</v>
      </c>
      <c r="BN1038" t="s">
        <v>0</v>
      </c>
      <c r="BO1038" t="s">
        <v>0</v>
      </c>
      <c r="BP1038" t="s">
        <v>17</v>
      </c>
      <c r="BQ1038" t="s">
        <v>0</v>
      </c>
      <c r="BR1038" t="s">
        <v>17</v>
      </c>
      <c r="BS1038" t="s">
        <v>17</v>
      </c>
      <c r="BT1038" t="s">
        <v>0</v>
      </c>
      <c r="BU1038" t="s">
        <v>0</v>
      </c>
      <c r="BV1038" t="s">
        <v>0</v>
      </c>
      <c r="BW1038" t="s">
        <v>0</v>
      </c>
      <c r="BX1038" t="s">
        <v>0</v>
      </c>
      <c r="BY1038" t="s">
        <v>0</v>
      </c>
      <c r="BZ1038" t="s">
        <v>0</v>
      </c>
      <c r="CA1038" t="s">
        <v>0</v>
      </c>
      <c r="CB1038" t="s">
        <v>0</v>
      </c>
    </row>
    <row r="1039" spans="1:80" x14ac:dyDescent="0.25">
      <c r="A1039" t="s">
        <v>499</v>
      </c>
      <c r="B1039" s="2">
        <v>46189</v>
      </c>
      <c r="C1039" s="2">
        <v>46189</v>
      </c>
      <c r="D1039" s="2">
        <v>46219</v>
      </c>
      <c r="E1039" t="s">
        <v>2</v>
      </c>
      <c r="F1039" t="s">
        <v>3</v>
      </c>
      <c r="G1039" t="s">
        <v>0</v>
      </c>
      <c r="H1039" t="s">
        <v>4</v>
      </c>
      <c r="I1039" t="s">
        <v>500</v>
      </c>
      <c r="J1039" t="s">
        <v>6</v>
      </c>
      <c r="K1039" t="s">
        <v>87</v>
      </c>
      <c r="L1039" t="s">
        <v>70</v>
      </c>
      <c r="M1039" t="s">
        <v>71</v>
      </c>
      <c r="N1039" t="s">
        <v>10</v>
      </c>
      <c r="O1039" t="s">
        <v>0</v>
      </c>
      <c r="P1039" t="s">
        <v>11</v>
      </c>
      <c r="Q1039" s="5">
        <v>33</v>
      </c>
      <c r="R1039" s="4">
        <v>49100</v>
      </c>
      <c r="S1039" s="5">
        <v>1</v>
      </c>
      <c r="T1039" s="4">
        <v>1620300</v>
      </c>
      <c r="U1039" s="5">
        <v>33</v>
      </c>
      <c r="V1039" s="4">
        <v>1620300</v>
      </c>
      <c r="W1039" s="5">
        <v>33</v>
      </c>
      <c r="X1039" s="4">
        <v>1620300</v>
      </c>
      <c r="Y1039" s="4">
        <f t="shared" si="32"/>
        <v>0</v>
      </c>
      <c r="Z1039" t="s">
        <v>0</v>
      </c>
      <c r="AA1039" t="s">
        <v>2</v>
      </c>
      <c r="AB1039" t="s">
        <v>12</v>
      </c>
      <c r="AC1039">
        <f>_xlfn.XLOOKUP(AB1039,'[1]GST Codes'!$A:$A,'[1]GST Codes'!$C:$C,0,0)</f>
        <v>18</v>
      </c>
      <c r="AD1039">
        <f t="shared" si="33"/>
        <v>0</v>
      </c>
      <c r="AE1039" t="s">
        <v>13</v>
      </c>
      <c r="AF1039" t="s">
        <v>0</v>
      </c>
      <c r="AG1039" t="s">
        <v>431</v>
      </c>
      <c r="AH1039" t="s">
        <v>59</v>
      </c>
      <c r="AI1039" t="s">
        <v>96</v>
      </c>
      <c r="AJ1039" t="s">
        <v>17</v>
      </c>
      <c r="AK1039" t="s">
        <v>18</v>
      </c>
      <c r="AL1039" t="s">
        <v>19</v>
      </c>
      <c r="AM1039" t="s">
        <v>501</v>
      </c>
      <c r="AN1039" t="s">
        <v>0</v>
      </c>
      <c r="AO1039" t="s">
        <v>0</v>
      </c>
      <c r="AP1039" t="s">
        <v>0</v>
      </c>
      <c r="AQ1039" s="5">
        <v>33</v>
      </c>
      <c r="AR1039" t="s">
        <v>11</v>
      </c>
      <c r="AS1039" t="s">
        <v>0</v>
      </c>
      <c r="AT1039" t="s">
        <v>17</v>
      </c>
      <c r="AU1039" s="4">
        <v>0</v>
      </c>
      <c r="AV1039" s="4">
        <v>0</v>
      </c>
      <c r="AW1039" s="4">
        <v>0</v>
      </c>
      <c r="AX1039" s="4">
        <v>0</v>
      </c>
      <c r="AY1039" s="5">
        <v>0</v>
      </c>
      <c r="AZ1039" s="5">
        <v>0</v>
      </c>
      <c r="BA1039" s="5">
        <v>0</v>
      </c>
      <c r="BB1039" s="2"/>
      <c r="BC1039" t="s">
        <v>0</v>
      </c>
      <c r="BD1039" s="5">
        <v>1</v>
      </c>
      <c r="BE1039" t="s">
        <v>0</v>
      </c>
      <c r="BF1039" t="s">
        <v>503</v>
      </c>
      <c r="BG1039" t="s">
        <v>17</v>
      </c>
      <c r="BH1039" t="s">
        <v>0</v>
      </c>
      <c r="BI1039" t="s">
        <v>11</v>
      </c>
      <c r="BJ1039" t="s">
        <v>0</v>
      </c>
      <c r="BK1039" t="s">
        <v>0</v>
      </c>
      <c r="BL1039" s="5">
        <v>0</v>
      </c>
      <c r="BM1039" t="s">
        <v>0</v>
      </c>
      <c r="BN1039" t="s">
        <v>0</v>
      </c>
      <c r="BO1039" t="s">
        <v>0</v>
      </c>
      <c r="BP1039" t="s">
        <v>17</v>
      </c>
      <c r="BQ1039" t="s">
        <v>0</v>
      </c>
      <c r="BR1039" t="s">
        <v>17</v>
      </c>
      <c r="BS1039" t="s">
        <v>17</v>
      </c>
      <c r="BT1039" t="s">
        <v>0</v>
      </c>
      <c r="BU1039" t="s">
        <v>0</v>
      </c>
      <c r="BV1039" t="s">
        <v>0</v>
      </c>
      <c r="BW1039" t="s">
        <v>0</v>
      </c>
      <c r="BX1039" t="s">
        <v>0</v>
      </c>
      <c r="BY1039" t="s">
        <v>0</v>
      </c>
      <c r="BZ1039" t="s">
        <v>0</v>
      </c>
      <c r="CA1039" t="s">
        <v>0</v>
      </c>
      <c r="CB1039" t="s">
        <v>0</v>
      </c>
    </row>
    <row r="1040" spans="1:80" x14ac:dyDescent="0.25">
      <c r="A1040" t="s">
        <v>499</v>
      </c>
      <c r="B1040" s="2">
        <v>46189</v>
      </c>
      <c r="C1040" s="2">
        <v>46189</v>
      </c>
      <c r="D1040" s="2">
        <v>46219</v>
      </c>
      <c r="E1040" t="s">
        <v>2</v>
      </c>
      <c r="F1040" t="s">
        <v>3</v>
      </c>
      <c r="G1040" t="s">
        <v>0</v>
      </c>
      <c r="H1040" t="s">
        <v>4</v>
      </c>
      <c r="I1040" t="s">
        <v>500</v>
      </c>
      <c r="J1040" t="s">
        <v>6</v>
      </c>
      <c r="K1040" t="s">
        <v>88</v>
      </c>
      <c r="L1040" t="s">
        <v>70</v>
      </c>
      <c r="M1040" t="s">
        <v>71</v>
      </c>
      <c r="N1040" t="s">
        <v>10</v>
      </c>
      <c r="O1040" t="s">
        <v>0</v>
      </c>
      <c r="P1040" t="s">
        <v>11</v>
      </c>
      <c r="Q1040" s="5">
        <v>33</v>
      </c>
      <c r="R1040" s="4">
        <v>49100</v>
      </c>
      <c r="S1040" s="5">
        <v>1</v>
      </c>
      <c r="T1040" s="4">
        <v>1620300</v>
      </c>
      <c r="U1040" s="5">
        <v>33</v>
      </c>
      <c r="V1040" s="4">
        <v>1620300</v>
      </c>
      <c r="W1040" s="5">
        <v>33</v>
      </c>
      <c r="X1040" s="4">
        <v>1620300</v>
      </c>
      <c r="Y1040" s="4">
        <f t="shared" si="32"/>
        <v>0</v>
      </c>
      <c r="Z1040" t="s">
        <v>0</v>
      </c>
      <c r="AA1040" t="s">
        <v>2</v>
      </c>
      <c r="AB1040" t="s">
        <v>12</v>
      </c>
      <c r="AC1040">
        <f>_xlfn.XLOOKUP(AB1040,'[1]GST Codes'!$A:$A,'[1]GST Codes'!$C:$C,0,0)</f>
        <v>18</v>
      </c>
      <c r="AD1040">
        <f t="shared" si="33"/>
        <v>0</v>
      </c>
      <c r="AE1040" t="s">
        <v>13</v>
      </c>
      <c r="AF1040" t="s">
        <v>0</v>
      </c>
      <c r="AG1040" t="s">
        <v>431</v>
      </c>
      <c r="AH1040" t="s">
        <v>59</v>
      </c>
      <c r="AI1040" t="s">
        <v>96</v>
      </c>
      <c r="AJ1040" t="s">
        <v>17</v>
      </c>
      <c r="AK1040" t="s">
        <v>18</v>
      </c>
      <c r="AL1040" t="s">
        <v>19</v>
      </c>
      <c r="AM1040" t="s">
        <v>501</v>
      </c>
      <c r="AN1040" t="s">
        <v>0</v>
      </c>
      <c r="AO1040" t="s">
        <v>0</v>
      </c>
      <c r="AP1040" t="s">
        <v>0</v>
      </c>
      <c r="AQ1040" s="5">
        <v>33</v>
      </c>
      <c r="AR1040" t="s">
        <v>11</v>
      </c>
      <c r="AS1040" t="s">
        <v>0</v>
      </c>
      <c r="AT1040" t="s">
        <v>17</v>
      </c>
      <c r="AU1040" s="4">
        <v>0</v>
      </c>
      <c r="AV1040" s="4">
        <v>0</v>
      </c>
      <c r="AW1040" s="4">
        <v>0</v>
      </c>
      <c r="AX1040" s="4">
        <v>0</v>
      </c>
      <c r="AY1040" s="5">
        <v>0</v>
      </c>
      <c r="AZ1040" s="5">
        <v>0</v>
      </c>
      <c r="BA1040" s="5">
        <v>0</v>
      </c>
      <c r="BB1040" s="2"/>
      <c r="BC1040" t="s">
        <v>0</v>
      </c>
      <c r="BD1040" s="5">
        <v>1</v>
      </c>
      <c r="BE1040" t="s">
        <v>0</v>
      </c>
      <c r="BF1040" t="s">
        <v>503</v>
      </c>
      <c r="BG1040" t="s">
        <v>17</v>
      </c>
      <c r="BH1040" t="s">
        <v>0</v>
      </c>
      <c r="BI1040" t="s">
        <v>11</v>
      </c>
      <c r="BJ1040" t="s">
        <v>0</v>
      </c>
      <c r="BK1040" t="s">
        <v>0</v>
      </c>
      <c r="BL1040" s="5">
        <v>0</v>
      </c>
      <c r="BM1040" t="s">
        <v>0</v>
      </c>
      <c r="BN1040" t="s">
        <v>0</v>
      </c>
      <c r="BO1040" t="s">
        <v>0</v>
      </c>
      <c r="BP1040" t="s">
        <v>17</v>
      </c>
      <c r="BQ1040" t="s">
        <v>0</v>
      </c>
      <c r="BR1040" t="s">
        <v>17</v>
      </c>
      <c r="BS1040" t="s">
        <v>17</v>
      </c>
      <c r="BT1040" t="s">
        <v>0</v>
      </c>
      <c r="BU1040" t="s">
        <v>0</v>
      </c>
      <c r="BV1040" t="s">
        <v>0</v>
      </c>
      <c r="BW1040" t="s">
        <v>0</v>
      </c>
      <c r="BX1040" t="s">
        <v>0</v>
      </c>
      <c r="BY1040" t="s">
        <v>0</v>
      </c>
      <c r="BZ1040" t="s">
        <v>0</v>
      </c>
      <c r="CA1040" t="s">
        <v>0</v>
      </c>
      <c r="CB1040" t="s">
        <v>0</v>
      </c>
    </row>
    <row r="1041" spans="1:80" x14ac:dyDescent="0.25">
      <c r="A1041" t="s">
        <v>499</v>
      </c>
      <c r="B1041" s="2">
        <v>46189</v>
      </c>
      <c r="C1041" s="2">
        <v>46189</v>
      </c>
      <c r="D1041" s="2">
        <v>46219</v>
      </c>
      <c r="E1041" t="s">
        <v>2</v>
      </c>
      <c r="F1041" t="s">
        <v>3</v>
      </c>
      <c r="G1041" t="s">
        <v>0</v>
      </c>
      <c r="H1041" t="s">
        <v>4</v>
      </c>
      <c r="I1041" t="s">
        <v>500</v>
      </c>
      <c r="J1041" t="s">
        <v>6</v>
      </c>
      <c r="K1041" t="s">
        <v>89</v>
      </c>
      <c r="L1041" t="s">
        <v>70</v>
      </c>
      <c r="M1041" t="s">
        <v>71</v>
      </c>
      <c r="N1041" t="s">
        <v>10</v>
      </c>
      <c r="O1041" t="s">
        <v>0</v>
      </c>
      <c r="P1041" t="s">
        <v>11</v>
      </c>
      <c r="Q1041" s="5">
        <v>33</v>
      </c>
      <c r="R1041" s="4">
        <v>49100</v>
      </c>
      <c r="S1041" s="5">
        <v>1</v>
      </c>
      <c r="T1041" s="4">
        <v>1620300</v>
      </c>
      <c r="U1041" s="5">
        <v>33</v>
      </c>
      <c r="V1041" s="4">
        <v>1620300</v>
      </c>
      <c r="W1041" s="5">
        <v>33</v>
      </c>
      <c r="X1041" s="4">
        <v>1620300</v>
      </c>
      <c r="Y1041" s="4">
        <f t="shared" si="32"/>
        <v>0</v>
      </c>
      <c r="Z1041" t="s">
        <v>0</v>
      </c>
      <c r="AA1041" t="s">
        <v>2</v>
      </c>
      <c r="AB1041" t="s">
        <v>12</v>
      </c>
      <c r="AC1041">
        <f>_xlfn.XLOOKUP(AB1041,'[1]GST Codes'!$A:$A,'[1]GST Codes'!$C:$C,0,0)</f>
        <v>18</v>
      </c>
      <c r="AD1041">
        <f t="shared" si="33"/>
        <v>0</v>
      </c>
      <c r="AE1041" t="s">
        <v>13</v>
      </c>
      <c r="AF1041" t="s">
        <v>0</v>
      </c>
      <c r="AG1041" t="s">
        <v>431</v>
      </c>
      <c r="AH1041" t="s">
        <v>59</v>
      </c>
      <c r="AI1041" t="s">
        <v>96</v>
      </c>
      <c r="AJ1041" t="s">
        <v>17</v>
      </c>
      <c r="AK1041" t="s">
        <v>18</v>
      </c>
      <c r="AL1041" t="s">
        <v>19</v>
      </c>
      <c r="AM1041" t="s">
        <v>501</v>
      </c>
      <c r="AN1041" t="s">
        <v>0</v>
      </c>
      <c r="AO1041" t="s">
        <v>0</v>
      </c>
      <c r="AP1041" t="s">
        <v>0</v>
      </c>
      <c r="AQ1041" s="5">
        <v>33</v>
      </c>
      <c r="AR1041" t="s">
        <v>11</v>
      </c>
      <c r="AS1041" t="s">
        <v>0</v>
      </c>
      <c r="AT1041" t="s">
        <v>17</v>
      </c>
      <c r="AU1041" s="4">
        <v>0</v>
      </c>
      <c r="AV1041" s="4">
        <v>0</v>
      </c>
      <c r="AW1041" s="4">
        <v>0</v>
      </c>
      <c r="AX1041" s="4">
        <v>0</v>
      </c>
      <c r="AY1041" s="5">
        <v>0</v>
      </c>
      <c r="AZ1041" s="5">
        <v>0</v>
      </c>
      <c r="BA1041" s="5">
        <v>0</v>
      </c>
      <c r="BB1041" s="2"/>
      <c r="BC1041" t="s">
        <v>0</v>
      </c>
      <c r="BD1041" s="5">
        <v>1</v>
      </c>
      <c r="BE1041" t="s">
        <v>0</v>
      </c>
      <c r="BF1041" t="s">
        <v>503</v>
      </c>
      <c r="BG1041" t="s">
        <v>17</v>
      </c>
      <c r="BH1041" t="s">
        <v>0</v>
      </c>
      <c r="BI1041" t="s">
        <v>11</v>
      </c>
      <c r="BJ1041" t="s">
        <v>0</v>
      </c>
      <c r="BK1041" t="s">
        <v>0</v>
      </c>
      <c r="BL1041" s="5">
        <v>0</v>
      </c>
      <c r="BM1041" t="s">
        <v>0</v>
      </c>
      <c r="BN1041" t="s">
        <v>0</v>
      </c>
      <c r="BO1041" t="s">
        <v>0</v>
      </c>
      <c r="BP1041" t="s">
        <v>17</v>
      </c>
      <c r="BQ1041" t="s">
        <v>0</v>
      </c>
      <c r="BR1041" t="s">
        <v>17</v>
      </c>
      <c r="BS1041" t="s">
        <v>17</v>
      </c>
      <c r="BT1041" t="s">
        <v>0</v>
      </c>
      <c r="BU1041" t="s">
        <v>0</v>
      </c>
      <c r="BV1041" t="s">
        <v>0</v>
      </c>
      <c r="BW1041" t="s">
        <v>0</v>
      </c>
      <c r="BX1041" t="s">
        <v>0</v>
      </c>
      <c r="BY1041" t="s">
        <v>0</v>
      </c>
      <c r="BZ1041" t="s">
        <v>0</v>
      </c>
      <c r="CA1041" t="s">
        <v>0</v>
      </c>
      <c r="CB1041" t="s">
        <v>0</v>
      </c>
    </row>
    <row r="1042" spans="1:80" x14ac:dyDescent="0.25">
      <c r="A1042" t="s">
        <v>499</v>
      </c>
      <c r="B1042" s="2">
        <v>46189</v>
      </c>
      <c r="C1042" s="2">
        <v>46189</v>
      </c>
      <c r="D1042" s="2">
        <v>46219</v>
      </c>
      <c r="E1042" t="s">
        <v>2</v>
      </c>
      <c r="F1042" t="s">
        <v>3</v>
      </c>
      <c r="G1042" t="s">
        <v>0</v>
      </c>
      <c r="H1042" t="s">
        <v>4</v>
      </c>
      <c r="I1042" t="s">
        <v>500</v>
      </c>
      <c r="J1042" t="s">
        <v>6</v>
      </c>
      <c r="K1042" t="s">
        <v>90</v>
      </c>
      <c r="L1042" t="s">
        <v>70</v>
      </c>
      <c r="M1042" t="s">
        <v>71</v>
      </c>
      <c r="N1042" t="s">
        <v>10</v>
      </c>
      <c r="O1042" t="s">
        <v>0</v>
      </c>
      <c r="P1042" t="s">
        <v>11</v>
      </c>
      <c r="Q1042" s="5">
        <v>33</v>
      </c>
      <c r="R1042" s="4">
        <v>49100</v>
      </c>
      <c r="S1042" s="5">
        <v>1</v>
      </c>
      <c r="T1042" s="4">
        <v>1620300</v>
      </c>
      <c r="U1042" s="5">
        <v>33</v>
      </c>
      <c r="V1042" s="4">
        <v>1620300</v>
      </c>
      <c r="W1042" s="5">
        <v>33</v>
      </c>
      <c r="X1042" s="4">
        <v>1620300</v>
      </c>
      <c r="Y1042" s="4">
        <f t="shared" si="32"/>
        <v>0</v>
      </c>
      <c r="Z1042" t="s">
        <v>0</v>
      </c>
      <c r="AA1042" t="s">
        <v>2</v>
      </c>
      <c r="AB1042" t="s">
        <v>12</v>
      </c>
      <c r="AC1042">
        <f>_xlfn.XLOOKUP(AB1042,'[1]GST Codes'!$A:$A,'[1]GST Codes'!$C:$C,0,0)</f>
        <v>18</v>
      </c>
      <c r="AD1042">
        <f t="shared" si="33"/>
        <v>0</v>
      </c>
      <c r="AE1042" t="s">
        <v>13</v>
      </c>
      <c r="AF1042" t="s">
        <v>0</v>
      </c>
      <c r="AG1042" t="s">
        <v>431</v>
      </c>
      <c r="AH1042" t="s">
        <v>59</v>
      </c>
      <c r="AI1042" t="s">
        <v>96</v>
      </c>
      <c r="AJ1042" t="s">
        <v>17</v>
      </c>
      <c r="AK1042" t="s">
        <v>18</v>
      </c>
      <c r="AL1042" t="s">
        <v>19</v>
      </c>
      <c r="AM1042" t="s">
        <v>501</v>
      </c>
      <c r="AN1042" t="s">
        <v>0</v>
      </c>
      <c r="AO1042" t="s">
        <v>0</v>
      </c>
      <c r="AP1042" t="s">
        <v>0</v>
      </c>
      <c r="AQ1042" s="5">
        <v>33</v>
      </c>
      <c r="AR1042" t="s">
        <v>11</v>
      </c>
      <c r="AS1042" t="s">
        <v>0</v>
      </c>
      <c r="AT1042" t="s">
        <v>17</v>
      </c>
      <c r="AU1042" s="4">
        <v>0</v>
      </c>
      <c r="AV1042" s="4">
        <v>0</v>
      </c>
      <c r="AW1042" s="4">
        <v>0</v>
      </c>
      <c r="AX1042" s="4">
        <v>0</v>
      </c>
      <c r="AY1042" s="5">
        <v>0</v>
      </c>
      <c r="AZ1042" s="5">
        <v>0</v>
      </c>
      <c r="BA1042" s="5">
        <v>0</v>
      </c>
      <c r="BB1042" s="2"/>
      <c r="BC1042" t="s">
        <v>0</v>
      </c>
      <c r="BD1042" s="5">
        <v>1</v>
      </c>
      <c r="BE1042" t="s">
        <v>0</v>
      </c>
      <c r="BF1042" t="s">
        <v>503</v>
      </c>
      <c r="BG1042" t="s">
        <v>17</v>
      </c>
      <c r="BH1042" t="s">
        <v>0</v>
      </c>
      <c r="BI1042" t="s">
        <v>11</v>
      </c>
      <c r="BJ1042" t="s">
        <v>0</v>
      </c>
      <c r="BK1042" t="s">
        <v>0</v>
      </c>
      <c r="BL1042" s="5">
        <v>0</v>
      </c>
      <c r="BM1042" t="s">
        <v>0</v>
      </c>
      <c r="BN1042" t="s">
        <v>0</v>
      </c>
      <c r="BO1042" t="s">
        <v>0</v>
      </c>
      <c r="BP1042" t="s">
        <v>17</v>
      </c>
      <c r="BQ1042" t="s">
        <v>0</v>
      </c>
      <c r="BR1042" t="s">
        <v>17</v>
      </c>
      <c r="BS1042" t="s">
        <v>17</v>
      </c>
      <c r="BT1042" t="s">
        <v>0</v>
      </c>
      <c r="BU1042" t="s">
        <v>0</v>
      </c>
      <c r="BV1042" t="s">
        <v>0</v>
      </c>
      <c r="BW1042" t="s">
        <v>0</v>
      </c>
      <c r="BX1042" t="s">
        <v>0</v>
      </c>
      <c r="BY1042" t="s">
        <v>0</v>
      </c>
      <c r="BZ1042" t="s">
        <v>0</v>
      </c>
      <c r="CA1042" t="s">
        <v>0</v>
      </c>
      <c r="CB1042" t="s">
        <v>0</v>
      </c>
    </row>
    <row r="1043" spans="1:80" x14ac:dyDescent="0.25">
      <c r="A1043" t="s">
        <v>504</v>
      </c>
      <c r="B1043" s="2">
        <v>46180</v>
      </c>
      <c r="C1043" s="2"/>
      <c r="D1043" s="2"/>
      <c r="E1043" t="s">
        <v>2</v>
      </c>
      <c r="F1043" t="s">
        <v>89</v>
      </c>
      <c r="G1043" t="s">
        <v>0</v>
      </c>
      <c r="H1043" t="s">
        <v>4</v>
      </c>
      <c r="I1043" t="s">
        <v>505</v>
      </c>
      <c r="J1043" t="s">
        <v>6</v>
      </c>
      <c r="K1043" t="s">
        <v>7</v>
      </c>
      <c r="L1043" t="s">
        <v>506</v>
      </c>
      <c r="M1043" t="s">
        <v>507</v>
      </c>
      <c r="N1043" t="s">
        <v>10</v>
      </c>
      <c r="O1043" t="s">
        <v>0</v>
      </c>
      <c r="P1043" t="s">
        <v>147</v>
      </c>
      <c r="Q1043" s="5">
        <v>9</v>
      </c>
      <c r="R1043" s="4">
        <v>2993.22</v>
      </c>
      <c r="S1043" s="5">
        <v>1</v>
      </c>
      <c r="T1043" s="4">
        <v>26938.98</v>
      </c>
      <c r="U1043" s="5">
        <v>9</v>
      </c>
      <c r="V1043" s="4">
        <v>26938.98</v>
      </c>
      <c r="W1043" s="5">
        <v>9</v>
      </c>
      <c r="X1043" s="4">
        <v>26938.98</v>
      </c>
      <c r="Y1043" s="4">
        <f t="shared" si="32"/>
        <v>0</v>
      </c>
      <c r="Z1043" t="s">
        <v>0</v>
      </c>
      <c r="AA1043" t="s">
        <v>2</v>
      </c>
      <c r="AB1043" t="s">
        <v>12</v>
      </c>
      <c r="AC1043">
        <f>_xlfn.XLOOKUP(AB1043,'[1]GST Codes'!$A:$A,'[1]GST Codes'!$C:$C,0,0)</f>
        <v>18</v>
      </c>
      <c r="AD1043">
        <f t="shared" si="33"/>
        <v>0</v>
      </c>
      <c r="AE1043" t="s">
        <v>13</v>
      </c>
      <c r="AF1043" t="s">
        <v>0</v>
      </c>
      <c r="AG1043" t="s">
        <v>14</v>
      </c>
      <c r="AH1043" t="s">
        <v>15</v>
      </c>
      <c r="AI1043" t="s">
        <v>96</v>
      </c>
      <c r="AJ1043" t="s">
        <v>17</v>
      </c>
      <c r="AK1043" t="s">
        <v>18</v>
      </c>
      <c r="AL1043" t="s">
        <v>148</v>
      </c>
      <c r="AM1043" t="s">
        <v>508</v>
      </c>
      <c r="AN1043" t="s">
        <v>0</v>
      </c>
      <c r="AO1043" t="s">
        <v>0</v>
      </c>
      <c r="AP1043" t="s">
        <v>0</v>
      </c>
      <c r="AQ1043" s="5">
        <v>9</v>
      </c>
      <c r="AR1043" t="s">
        <v>147</v>
      </c>
      <c r="AS1043" t="s">
        <v>0</v>
      </c>
      <c r="AT1043" t="s">
        <v>17</v>
      </c>
      <c r="AU1043" s="4">
        <v>0</v>
      </c>
      <c r="AV1043" s="4">
        <v>0</v>
      </c>
      <c r="AW1043" s="4">
        <v>0</v>
      </c>
      <c r="AX1043" s="4">
        <v>0</v>
      </c>
      <c r="AY1043" s="5">
        <v>0</v>
      </c>
      <c r="AZ1043" s="5">
        <v>0</v>
      </c>
      <c r="BA1043" s="5">
        <v>0</v>
      </c>
      <c r="BB1043" s="2"/>
      <c r="BC1043" t="s">
        <v>0</v>
      </c>
      <c r="BD1043" s="5">
        <v>1</v>
      </c>
      <c r="BE1043" t="s">
        <v>0</v>
      </c>
      <c r="BF1043" t="s">
        <v>509</v>
      </c>
      <c r="BG1043" t="s">
        <v>17</v>
      </c>
      <c r="BH1043" t="s">
        <v>0</v>
      </c>
      <c r="BI1043" t="s">
        <v>147</v>
      </c>
      <c r="BJ1043" t="s">
        <v>0</v>
      </c>
      <c r="BK1043" t="s">
        <v>0</v>
      </c>
      <c r="BL1043" s="5">
        <v>0</v>
      </c>
      <c r="BM1043" t="s">
        <v>0</v>
      </c>
      <c r="BN1043" t="s">
        <v>0</v>
      </c>
      <c r="BO1043" t="s">
        <v>0</v>
      </c>
      <c r="BP1043" t="s">
        <v>17</v>
      </c>
      <c r="BQ1043" t="s">
        <v>0</v>
      </c>
      <c r="BR1043" t="s">
        <v>17</v>
      </c>
      <c r="BS1043" t="s">
        <v>17</v>
      </c>
      <c r="BT1043" t="s">
        <v>0</v>
      </c>
      <c r="BU1043" t="s">
        <v>0</v>
      </c>
      <c r="BV1043" t="s">
        <v>0</v>
      </c>
      <c r="BW1043" t="s">
        <v>0</v>
      </c>
      <c r="BX1043" t="s">
        <v>0</v>
      </c>
      <c r="BY1043" t="s">
        <v>0</v>
      </c>
      <c r="BZ1043" t="s">
        <v>0</v>
      </c>
      <c r="CA1043" t="s">
        <v>0</v>
      </c>
      <c r="CB1043" t="s">
        <v>0</v>
      </c>
    </row>
    <row r="1044" spans="1:80" x14ac:dyDescent="0.25">
      <c r="A1044" t="s">
        <v>504</v>
      </c>
      <c r="B1044" s="2">
        <v>46180</v>
      </c>
      <c r="C1044" s="2"/>
      <c r="D1044" s="2"/>
      <c r="E1044" t="s">
        <v>2</v>
      </c>
      <c r="F1044" t="s">
        <v>89</v>
      </c>
      <c r="G1044" t="s">
        <v>0</v>
      </c>
      <c r="H1044" t="s">
        <v>4</v>
      </c>
      <c r="I1044" t="s">
        <v>505</v>
      </c>
      <c r="J1044" t="s">
        <v>6</v>
      </c>
      <c r="K1044" t="s">
        <v>22</v>
      </c>
      <c r="L1044" t="s">
        <v>510</v>
      </c>
      <c r="M1044" t="s">
        <v>511</v>
      </c>
      <c r="N1044" t="s">
        <v>10</v>
      </c>
      <c r="O1044" t="s">
        <v>0</v>
      </c>
      <c r="P1044" t="s">
        <v>147</v>
      </c>
      <c r="Q1044" s="5">
        <v>3</v>
      </c>
      <c r="R1044" s="4">
        <v>2299.3200000000002</v>
      </c>
      <c r="S1044" s="5">
        <v>1</v>
      </c>
      <c r="T1044" s="4">
        <v>6897.96</v>
      </c>
      <c r="U1044" s="5">
        <v>3</v>
      </c>
      <c r="V1044" s="4">
        <v>6897.96</v>
      </c>
      <c r="W1044" s="5">
        <v>3</v>
      </c>
      <c r="X1044" s="4">
        <v>6897.96</v>
      </c>
      <c r="Y1044" s="4">
        <f t="shared" si="32"/>
        <v>0</v>
      </c>
      <c r="Z1044" t="s">
        <v>0</v>
      </c>
      <c r="AA1044" t="s">
        <v>2</v>
      </c>
      <c r="AB1044" t="s">
        <v>12</v>
      </c>
      <c r="AC1044">
        <f>_xlfn.XLOOKUP(AB1044,'[1]GST Codes'!$A:$A,'[1]GST Codes'!$C:$C,0,0)</f>
        <v>18</v>
      </c>
      <c r="AD1044">
        <f t="shared" si="33"/>
        <v>0</v>
      </c>
      <c r="AE1044" t="s">
        <v>13</v>
      </c>
      <c r="AF1044" t="s">
        <v>0</v>
      </c>
      <c r="AG1044" t="s">
        <v>14</v>
      </c>
      <c r="AH1044" t="s">
        <v>15</v>
      </c>
      <c r="AI1044" t="s">
        <v>96</v>
      </c>
      <c r="AJ1044" t="s">
        <v>17</v>
      </c>
      <c r="AK1044" t="s">
        <v>18</v>
      </c>
      <c r="AL1044" t="s">
        <v>148</v>
      </c>
      <c r="AM1044" t="s">
        <v>508</v>
      </c>
      <c r="AN1044" t="s">
        <v>0</v>
      </c>
      <c r="AO1044" t="s">
        <v>0</v>
      </c>
      <c r="AP1044" t="s">
        <v>0</v>
      </c>
      <c r="AQ1044" s="5">
        <v>3</v>
      </c>
      <c r="AR1044" t="s">
        <v>147</v>
      </c>
      <c r="AS1044" t="s">
        <v>0</v>
      </c>
      <c r="AT1044" t="s">
        <v>17</v>
      </c>
      <c r="AU1044" s="4">
        <v>0</v>
      </c>
      <c r="AV1044" s="4">
        <v>0</v>
      </c>
      <c r="AW1044" s="4">
        <v>0</v>
      </c>
      <c r="AX1044" s="4">
        <v>0</v>
      </c>
      <c r="AY1044" s="5">
        <v>0</v>
      </c>
      <c r="AZ1044" s="5">
        <v>0</v>
      </c>
      <c r="BA1044" s="5">
        <v>0</v>
      </c>
      <c r="BB1044" s="2"/>
      <c r="BC1044" t="s">
        <v>0</v>
      </c>
      <c r="BD1044" s="5">
        <v>1</v>
      </c>
      <c r="BE1044" t="s">
        <v>0</v>
      </c>
      <c r="BF1044" t="s">
        <v>512</v>
      </c>
      <c r="BG1044" t="s">
        <v>17</v>
      </c>
      <c r="BH1044" t="s">
        <v>0</v>
      </c>
      <c r="BI1044" t="s">
        <v>147</v>
      </c>
      <c r="BJ1044" t="s">
        <v>0</v>
      </c>
      <c r="BK1044" t="s">
        <v>0</v>
      </c>
      <c r="BL1044" s="5">
        <v>0</v>
      </c>
      <c r="BM1044" t="s">
        <v>0</v>
      </c>
      <c r="BN1044" t="s">
        <v>0</v>
      </c>
      <c r="BO1044" t="s">
        <v>0</v>
      </c>
      <c r="BP1044" t="s">
        <v>17</v>
      </c>
      <c r="BQ1044" t="s">
        <v>0</v>
      </c>
      <c r="BR1044" t="s">
        <v>17</v>
      </c>
      <c r="BS1044" t="s">
        <v>17</v>
      </c>
      <c r="BT1044" t="s">
        <v>0</v>
      </c>
      <c r="BU1044" t="s">
        <v>0</v>
      </c>
      <c r="BV1044" t="s">
        <v>0</v>
      </c>
      <c r="BW1044" t="s">
        <v>0</v>
      </c>
      <c r="BX1044" t="s">
        <v>0</v>
      </c>
      <c r="BY1044" t="s">
        <v>0</v>
      </c>
      <c r="BZ1044" t="s">
        <v>0</v>
      </c>
      <c r="CA1044" t="s">
        <v>0</v>
      </c>
      <c r="CB1044" t="s">
        <v>0</v>
      </c>
    </row>
    <row r="1045" spans="1:80" x14ac:dyDescent="0.25">
      <c r="A1045" t="s">
        <v>504</v>
      </c>
      <c r="B1045" s="2">
        <v>46180</v>
      </c>
      <c r="C1045" s="2"/>
      <c r="D1045" s="2"/>
      <c r="E1045" t="s">
        <v>2</v>
      </c>
      <c r="F1045" t="s">
        <v>89</v>
      </c>
      <c r="G1045" t="s">
        <v>0</v>
      </c>
      <c r="H1045" t="s">
        <v>4</v>
      </c>
      <c r="I1045" t="s">
        <v>505</v>
      </c>
      <c r="J1045" t="s">
        <v>6</v>
      </c>
      <c r="K1045" t="s">
        <v>26</v>
      </c>
      <c r="L1045" t="s">
        <v>506</v>
      </c>
      <c r="M1045" t="s">
        <v>513</v>
      </c>
      <c r="N1045" t="s">
        <v>10</v>
      </c>
      <c r="O1045" t="s">
        <v>0</v>
      </c>
      <c r="P1045" t="s">
        <v>147</v>
      </c>
      <c r="Q1045" s="5">
        <v>2</v>
      </c>
      <c r="R1045" s="4">
        <v>2993.22</v>
      </c>
      <c r="S1045" s="5">
        <v>1</v>
      </c>
      <c r="T1045" s="4">
        <v>5986.44</v>
      </c>
      <c r="U1045" s="5">
        <v>2</v>
      </c>
      <c r="V1045" s="4">
        <v>5986.44</v>
      </c>
      <c r="W1045" s="5">
        <v>2</v>
      </c>
      <c r="X1045" s="4">
        <v>5986.44</v>
      </c>
      <c r="Y1045" s="4">
        <f t="shared" si="32"/>
        <v>0</v>
      </c>
      <c r="Z1045" t="s">
        <v>0</v>
      </c>
      <c r="AA1045" t="s">
        <v>2</v>
      </c>
      <c r="AB1045" t="s">
        <v>12</v>
      </c>
      <c r="AC1045">
        <f>_xlfn.XLOOKUP(AB1045,'[1]GST Codes'!$A:$A,'[1]GST Codes'!$C:$C,0,0)</f>
        <v>18</v>
      </c>
      <c r="AD1045">
        <f t="shared" si="33"/>
        <v>0</v>
      </c>
      <c r="AE1045" t="s">
        <v>13</v>
      </c>
      <c r="AF1045" t="s">
        <v>0</v>
      </c>
      <c r="AG1045" t="s">
        <v>14</v>
      </c>
      <c r="AH1045" t="s">
        <v>15</v>
      </c>
      <c r="AI1045" t="s">
        <v>96</v>
      </c>
      <c r="AJ1045" t="s">
        <v>17</v>
      </c>
      <c r="AK1045" t="s">
        <v>18</v>
      </c>
      <c r="AL1045" t="s">
        <v>148</v>
      </c>
      <c r="AM1045" t="s">
        <v>508</v>
      </c>
      <c r="AN1045" t="s">
        <v>0</v>
      </c>
      <c r="AO1045" t="s">
        <v>0</v>
      </c>
      <c r="AP1045" t="s">
        <v>0</v>
      </c>
      <c r="AQ1045" s="5">
        <v>2</v>
      </c>
      <c r="AR1045" t="s">
        <v>147</v>
      </c>
      <c r="AS1045" t="s">
        <v>0</v>
      </c>
      <c r="AT1045" t="s">
        <v>17</v>
      </c>
      <c r="AU1045" s="4">
        <v>0</v>
      </c>
      <c r="AV1045" s="4">
        <v>0</v>
      </c>
      <c r="AW1045" s="4">
        <v>0</v>
      </c>
      <c r="AX1045" s="4">
        <v>0</v>
      </c>
      <c r="AY1045" s="5">
        <v>0</v>
      </c>
      <c r="AZ1045" s="5">
        <v>0</v>
      </c>
      <c r="BA1045" s="5">
        <v>0</v>
      </c>
      <c r="BB1045" s="2"/>
      <c r="BC1045" t="s">
        <v>0</v>
      </c>
      <c r="BD1045" s="5">
        <v>1</v>
      </c>
      <c r="BE1045" t="s">
        <v>0</v>
      </c>
      <c r="BF1045" t="s">
        <v>509</v>
      </c>
      <c r="BG1045" t="s">
        <v>17</v>
      </c>
      <c r="BH1045" t="s">
        <v>0</v>
      </c>
      <c r="BI1045" t="s">
        <v>147</v>
      </c>
      <c r="BJ1045" t="s">
        <v>0</v>
      </c>
      <c r="BK1045" t="s">
        <v>0</v>
      </c>
      <c r="BL1045" s="5">
        <v>0</v>
      </c>
      <c r="BM1045" t="s">
        <v>0</v>
      </c>
      <c r="BN1045" t="s">
        <v>0</v>
      </c>
      <c r="BO1045" t="s">
        <v>0</v>
      </c>
      <c r="BP1045" t="s">
        <v>17</v>
      </c>
      <c r="BQ1045" t="s">
        <v>0</v>
      </c>
      <c r="BR1045" t="s">
        <v>17</v>
      </c>
      <c r="BS1045" t="s">
        <v>17</v>
      </c>
      <c r="BT1045" t="s">
        <v>0</v>
      </c>
      <c r="BU1045" t="s">
        <v>0</v>
      </c>
      <c r="BV1045" t="s">
        <v>0</v>
      </c>
      <c r="BW1045" t="s">
        <v>0</v>
      </c>
      <c r="BX1045" t="s">
        <v>0</v>
      </c>
      <c r="BY1045" t="s">
        <v>0</v>
      </c>
      <c r="BZ1045" t="s">
        <v>0</v>
      </c>
      <c r="CA1045" t="s">
        <v>0</v>
      </c>
      <c r="CB1045" t="s">
        <v>0</v>
      </c>
    </row>
    <row r="1046" spans="1:80" x14ac:dyDescent="0.25">
      <c r="A1046" t="s">
        <v>504</v>
      </c>
      <c r="B1046" s="2">
        <v>46180</v>
      </c>
      <c r="C1046" s="2"/>
      <c r="D1046" s="2"/>
      <c r="E1046" t="s">
        <v>2</v>
      </c>
      <c r="F1046" t="s">
        <v>89</v>
      </c>
      <c r="G1046" t="s">
        <v>0</v>
      </c>
      <c r="H1046" t="s">
        <v>4</v>
      </c>
      <c r="I1046" t="s">
        <v>505</v>
      </c>
      <c r="J1046" t="s">
        <v>6</v>
      </c>
      <c r="K1046" t="s">
        <v>30</v>
      </c>
      <c r="L1046" t="s">
        <v>514</v>
      </c>
      <c r="M1046" t="s">
        <v>515</v>
      </c>
      <c r="N1046" t="s">
        <v>10</v>
      </c>
      <c r="O1046" t="s">
        <v>0</v>
      </c>
      <c r="P1046" t="s">
        <v>147</v>
      </c>
      <c r="Q1046" s="5">
        <v>2</v>
      </c>
      <c r="R1046" s="4">
        <v>1000</v>
      </c>
      <c r="S1046" s="5">
        <v>1</v>
      </c>
      <c r="T1046" s="4">
        <v>2000</v>
      </c>
      <c r="U1046" s="5">
        <v>2</v>
      </c>
      <c r="V1046" s="4">
        <v>2000</v>
      </c>
      <c r="W1046" s="5">
        <v>2</v>
      </c>
      <c r="X1046" s="4">
        <v>2000</v>
      </c>
      <c r="Y1046" s="4">
        <f t="shared" si="32"/>
        <v>0</v>
      </c>
      <c r="Z1046" t="s">
        <v>0</v>
      </c>
      <c r="AA1046" t="s">
        <v>2</v>
      </c>
      <c r="AB1046" t="s">
        <v>12</v>
      </c>
      <c r="AC1046">
        <f>_xlfn.XLOOKUP(AB1046,'[1]GST Codes'!$A:$A,'[1]GST Codes'!$C:$C,0,0)</f>
        <v>18</v>
      </c>
      <c r="AD1046">
        <f t="shared" si="33"/>
        <v>0</v>
      </c>
      <c r="AE1046" t="s">
        <v>13</v>
      </c>
      <c r="AF1046" t="s">
        <v>0</v>
      </c>
      <c r="AG1046" t="s">
        <v>14</v>
      </c>
      <c r="AH1046" t="s">
        <v>15</v>
      </c>
      <c r="AI1046" t="s">
        <v>96</v>
      </c>
      <c r="AJ1046" t="s">
        <v>17</v>
      </c>
      <c r="AK1046" t="s">
        <v>18</v>
      </c>
      <c r="AL1046" t="s">
        <v>148</v>
      </c>
      <c r="AM1046" t="s">
        <v>508</v>
      </c>
      <c r="AN1046" t="s">
        <v>0</v>
      </c>
      <c r="AO1046" t="s">
        <v>0</v>
      </c>
      <c r="AP1046" t="s">
        <v>0</v>
      </c>
      <c r="AQ1046" s="5">
        <v>2</v>
      </c>
      <c r="AR1046" t="s">
        <v>147</v>
      </c>
      <c r="AS1046" t="s">
        <v>0</v>
      </c>
      <c r="AT1046" t="s">
        <v>17</v>
      </c>
      <c r="AU1046" s="4">
        <v>0</v>
      </c>
      <c r="AV1046" s="4">
        <v>0</v>
      </c>
      <c r="AW1046" s="4">
        <v>0</v>
      </c>
      <c r="AX1046" s="4">
        <v>0</v>
      </c>
      <c r="AY1046" s="5">
        <v>0</v>
      </c>
      <c r="AZ1046" s="5">
        <v>0</v>
      </c>
      <c r="BA1046" s="5">
        <v>0</v>
      </c>
      <c r="BB1046" s="2"/>
      <c r="BC1046" t="s">
        <v>0</v>
      </c>
      <c r="BD1046" s="5">
        <v>1</v>
      </c>
      <c r="BE1046" t="s">
        <v>0</v>
      </c>
      <c r="BF1046" t="s">
        <v>516</v>
      </c>
      <c r="BG1046" t="s">
        <v>17</v>
      </c>
      <c r="BH1046" t="s">
        <v>0</v>
      </c>
      <c r="BI1046" t="s">
        <v>147</v>
      </c>
      <c r="BJ1046" t="s">
        <v>0</v>
      </c>
      <c r="BK1046" t="s">
        <v>0</v>
      </c>
      <c r="BL1046" s="5">
        <v>0</v>
      </c>
      <c r="BM1046" t="s">
        <v>0</v>
      </c>
      <c r="BN1046" t="s">
        <v>0</v>
      </c>
      <c r="BO1046" t="s">
        <v>0</v>
      </c>
      <c r="BP1046" t="s">
        <v>17</v>
      </c>
      <c r="BQ1046" t="s">
        <v>0</v>
      </c>
      <c r="BR1046" t="s">
        <v>17</v>
      </c>
      <c r="BS1046" t="s">
        <v>17</v>
      </c>
      <c r="BT1046" t="s">
        <v>0</v>
      </c>
      <c r="BU1046" t="s">
        <v>0</v>
      </c>
      <c r="BV1046" t="s">
        <v>0</v>
      </c>
      <c r="BW1046" t="s">
        <v>0</v>
      </c>
      <c r="BX1046" t="s">
        <v>0</v>
      </c>
      <c r="BY1046" t="s">
        <v>0</v>
      </c>
      <c r="BZ1046" t="s">
        <v>0</v>
      </c>
      <c r="CA1046" t="s">
        <v>0</v>
      </c>
      <c r="CB1046" t="s">
        <v>0</v>
      </c>
    </row>
    <row r="1047" spans="1:80" x14ac:dyDescent="0.25">
      <c r="A1047" t="s">
        <v>504</v>
      </c>
      <c r="B1047" s="2">
        <v>46180</v>
      </c>
      <c r="C1047" s="2"/>
      <c r="D1047" s="2"/>
      <c r="E1047" t="s">
        <v>2</v>
      </c>
      <c r="F1047" t="s">
        <v>89</v>
      </c>
      <c r="G1047" t="s">
        <v>0</v>
      </c>
      <c r="H1047" t="s">
        <v>4</v>
      </c>
      <c r="I1047" t="s">
        <v>505</v>
      </c>
      <c r="J1047" t="s">
        <v>6</v>
      </c>
      <c r="K1047" t="s">
        <v>34</v>
      </c>
      <c r="L1047" t="s">
        <v>506</v>
      </c>
      <c r="M1047" t="s">
        <v>513</v>
      </c>
      <c r="N1047" t="s">
        <v>10</v>
      </c>
      <c r="O1047" t="s">
        <v>0</v>
      </c>
      <c r="P1047" t="s">
        <v>147</v>
      </c>
      <c r="Q1047" s="5">
        <v>6</v>
      </c>
      <c r="R1047" s="4">
        <v>2993.22</v>
      </c>
      <c r="S1047" s="5">
        <v>1</v>
      </c>
      <c r="T1047" s="4">
        <v>17959.32</v>
      </c>
      <c r="U1047" s="5">
        <v>6</v>
      </c>
      <c r="V1047" s="4">
        <v>17959.32</v>
      </c>
      <c r="W1047" s="5">
        <v>6</v>
      </c>
      <c r="X1047" s="4">
        <v>17959.32</v>
      </c>
      <c r="Y1047" s="4">
        <f t="shared" si="32"/>
        <v>0</v>
      </c>
      <c r="Z1047" t="s">
        <v>0</v>
      </c>
      <c r="AA1047" t="s">
        <v>2</v>
      </c>
      <c r="AB1047" t="s">
        <v>12</v>
      </c>
      <c r="AC1047">
        <f>_xlfn.XLOOKUP(AB1047,'[1]GST Codes'!$A:$A,'[1]GST Codes'!$C:$C,0,0)</f>
        <v>18</v>
      </c>
      <c r="AD1047">
        <f t="shared" si="33"/>
        <v>0</v>
      </c>
      <c r="AE1047" t="s">
        <v>13</v>
      </c>
      <c r="AF1047" t="s">
        <v>0</v>
      </c>
      <c r="AG1047" t="s">
        <v>14</v>
      </c>
      <c r="AH1047" t="s">
        <v>15</v>
      </c>
      <c r="AI1047" t="s">
        <v>96</v>
      </c>
      <c r="AJ1047" t="s">
        <v>17</v>
      </c>
      <c r="AK1047" t="s">
        <v>18</v>
      </c>
      <c r="AL1047" t="s">
        <v>148</v>
      </c>
      <c r="AM1047" t="s">
        <v>508</v>
      </c>
      <c r="AN1047" t="s">
        <v>0</v>
      </c>
      <c r="AO1047" t="s">
        <v>0</v>
      </c>
      <c r="AP1047" t="s">
        <v>0</v>
      </c>
      <c r="AQ1047" s="5">
        <v>6</v>
      </c>
      <c r="AR1047" t="s">
        <v>147</v>
      </c>
      <c r="AS1047" t="s">
        <v>0</v>
      </c>
      <c r="AT1047" t="s">
        <v>17</v>
      </c>
      <c r="AU1047" s="4">
        <v>0</v>
      </c>
      <c r="AV1047" s="4">
        <v>0</v>
      </c>
      <c r="AW1047" s="4">
        <v>0</v>
      </c>
      <c r="AX1047" s="4">
        <v>0</v>
      </c>
      <c r="AY1047" s="5">
        <v>0</v>
      </c>
      <c r="AZ1047" s="5">
        <v>0</v>
      </c>
      <c r="BA1047" s="5">
        <v>0</v>
      </c>
      <c r="BB1047" s="2"/>
      <c r="BC1047" t="s">
        <v>0</v>
      </c>
      <c r="BD1047" s="5">
        <v>1</v>
      </c>
      <c r="BE1047" t="s">
        <v>0</v>
      </c>
      <c r="BF1047" t="s">
        <v>509</v>
      </c>
      <c r="BG1047" t="s">
        <v>17</v>
      </c>
      <c r="BH1047" t="s">
        <v>0</v>
      </c>
      <c r="BI1047" t="s">
        <v>147</v>
      </c>
      <c r="BJ1047" t="s">
        <v>0</v>
      </c>
      <c r="BK1047" t="s">
        <v>0</v>
      </c>
      <c r="BL1047" s="5">
        <v>0</v>
      </c>
      <c r="BM1047" t="s">
        <v>0</v>
      </c>
      <c r="BN1047" t="s">
        <v>0</v>
      </c>
      <c r="BO1047" t="s">
        <v>0</v>
      </c>
      <c r="BP1047" t="s">
        <v>17</v>
      </c>
      <c r="BQ1047" t="s">
        <v>0</v>
      </c>
      <c r="BR1047" t="s">
        <v>17</v>
      </c>
      <c r="BS1047" t="s">
        <v>17</v>
      </c>
      <c r="BT1047" t="s">
        <v>0</v>
      </c>
      <c r="BU1047" t="s">
        <v>0</v>
      </c>
      <c r="BV1047" t="s">
        <v>0</v>
      </c>
      <c r="BW1047" t="s">
        <v>0</v>
      </c>
      <c r="BX1047" t="s">
        <v>0</v>
      </c>
      <c r="BY1047" t="s">
        <v>0</v>
      </c>
      <c r="BZ1047" t="s">
        <v>0</v>
      </c>
      <c r="CA1047" t="s">
        <v>0</v>
      </c>
      <c r="CB1047" t="s">
        <v>0</v>
      </c>
    </row>
    <row r="1048" spans="1:80" x14ac:dyDescent="0.25">
      <c r="A1048" t="s">
        <v>504</v>
      </c>
      <c r="B1048" s="2">
        <v>46180</v>
      </c>
      <c r="C1048" s="2"/>
      <c r="D1048" s="2"/>
      <c r="E1048" t="s">
        <v>2</v>
      </c>
      <c r="F1048" t="s">
        <v>89</v>
      </c>
      <c r="G1048" t="s">
        <v>0</v>
      </c>
      <c r="H1048" t="s">
        <v>4</v>
      </c>
      <c r="I1048" t="s">
        <v>505</v>
      </c>
      <c r="J1048" t="s">
        <v>6</v>
      </c>
      <c r="K1048" t="s">
        <v>38</v>
      </c>
      <c r="L1048" t="s">
        <v>510</v>
      </c>
      <c r="M1048" t="s">
        <v>511</v>
      </c>
      <c r="N1048" t="s">
        <v>10</v>
      </c>
      <c r="O1048" t="s">
        <v>0</v>
      </c>
      <c r="P1048" t="s">
        <v>147</v>
      </c>
      <c r="Q1048" s="5">
        <v>1</v>
      </c>
      <c r="R1048" s="4">
        <v>2299.3200000000002</v>
      </c>
      <c r="S1048" s="5">
        <v>1</v>
      </c>
      <c r="T1048" s="4">
        <v>2299.3200000000002</v>
      </c>
      <c r="U1048" s="5">
        <v>1</v>
      </c>
      <c r="V1048" s="4">
        <v>2299.3200000000002</v>
      </c>
      <c r="W1048" s="5">
        <v>1</v>
      </c>
      <c r="X1048" s="4">
        <v>2299.3200000000002</v>
      </c>
      <c r="Y1048" s="4">
        <f t="shared" si="32"/>
        <v>0</v>
      </c>
      <c r="Z1048" t="s">
        <v>0</v>
      </c>
      <c r="AA1048" t="s">
        <v>2</v>
      </c>
      <c r="AB1048" t="s">
        <v>12</v>
      </c>
      <c r="AC1048">
        <f>_xlfn.XLOOKUP(AB1048,'[1]GST Codes'!$A:$A,'[1]GST Codes'!$C:$C,0,0)</f>
        <v>18</v>
      </c>
      <c r="AD1048">
        <f t="shared" si="33"/>
        <v>0</v>
      </c>
      <c r="AE1048" t="s">
        <v>13</v>
      </c>
      <c r="AF1048" t="s">
        <v>0</v>
      </c>
      <c r="AG1048" t="s">
        <v>14</v>
      </c>
      <c r="AH1048" t="s">
        <v>15</v>
      </c>
      <c r="AI1048" t="s">
        <v>96</v>
      </c>
      <c r="AJ1048" t="s">
        <v>17</v>
      </c>
      <c r="AK1048" t="s">
        <v>18</v>
      </c>
      <c r="AL1048" t="s">
        <v>148</v>
      </c>
      <c r="AM1048" t="s">
        <v>508</v>
      </c>
      <c r="AN1048" t="s">
        <v>0</v>
      </c>
      <c r="AO1048" t="s">
        <v>0</v>
      </c>
      <c r="AP1048" t="s">
        <v>0</v>
      </c>
      <c r="AQ1048" s="5">
        <v>1</v>
      </c>
      <c r="AR1048" t="s">
        <v>147</v>
      </c>
      <c r="AS1048" t="s">
        <v>0</v>
      </c>
      <c r="AT1048" t="s">
        <v>17</v>
      </c>
      <c r="AU1048" s="4">
        <v>0</v>
      </c>
      <c r="AV1048" s="4">
        <v>0</v>
      </c>
      <c r="AW1048" s="4">
        <v>0</v>
      </c>
      <c r="AX1048" s="4">
        <v>0</v>
      </c>
      <c r="AY1048" s="5">
        <v>0</v>
      </c>
      <c r="AZ1048" s="5">
        <v>0</v>
      </c>
      <c r="BA1048" s="5">
        <v>0</v>
      </c>
      <c r="BB1048" s="2"/>
      <c r="BC1048" t="s">
        <v>0</v>
      </c>
      <c r="BD1048" s="5">
        <v>1</v>
      </c>
      <c r="BE1048" t="s">
        <v>0</v>
      </c>
      <c r="BF1048" t="s">
        <v>512</v>
      </c>
      <c r="BG1048" t="s">
        <v>17</v>
      </c>
      <c r="BH1048" t="s">
        <v>0</v>
      </c>
      <c r="BI1048" t="s">
        <v>147</v>
      </c>
      <c r="BJ1048" t="s">
        <v>0</v>
      </c>
      <c r="BK1048" t="s">
        <v>0</v>
      </c>
      <c r="BL1048" s="5">
        <v>0</v>
      </c>
      <c r="BM1048" t="s">
        <v>0</v>
      </c>
      <c r="BN1048" t="s">
        <v>0</v>
      </c>
      <c r="BO1048" t="s">
        <v>0</v>
      </c>
      <c r="BP1048" t="s">
        <v>17</v>
      </c>
      <c r="BQ1048" t="s">
        <v>0</v>
      </c>
      <c r="BR1048" t="s">
        <v>17</v>
      </c>
      <c r="BS1048" t="s">
        <v>17</v>
      </c>
      <c r="BT1048" t="s">
        <v>0</v>
      </c>
      <c r="BU1048" t="s">
        <v>0</v>
      </c>
      <c r="BV1048" t="s">
        <v>0</v>
      </c>
      <c r="BW1048" t="s">
        <v>0</v>
      </c>
      <c r="BX1048" t="s">
        <v>0</v>
      </c>
      <c r="BY1048" t="s">
        <v>0</v>
      </c>
      <c r="BZ1048" t="s">
        <v>0</v>
      </c>
      <c r="CA1048" t="s">
        <v>0</v>
      </c>
      <c r="CB1048" t="s">
        <v>0</v>
      </c>
    </row>
    <row r="1049" spans="1:80" x14ac:dyDescent="0.25">
      <c r="A1049" t="s">
        <v>504</v>
      </c>
      <c r="B1049" s="2">
        <v>46180</v>
      </c>
      <c r="C1049" s="2"/>
      <c r="D1049" s="2"/>
      <c r="E1049" t="s">
        <v>2</v>
      </c>
      <c r="F1049" t="s">
        <v>89</v>
      </c>
      <c r="G1049" t="s">
        <v>0</v>
      </c>
      <c r="H1049" t="s">
        <v>4</v>
      </c>
      <c r="I1049" t="s">
        <v>505</v>
      </c>
      <c r="J1049" t="s">
        <v>6</v>
      </c>
      <c r="K1049" t="s">
        <v>42</v>
      </c>
      <c r="L1049" t="s">
        <v>506</v>
      </c>
      <c r="M1049" t="s">
        <v>513</v>
      </c>
      <c r="N1049" t="s">
        <v>10</v>
      </c>
      <c r="O1049" t="s">
        <v>0</v>
      </c>
      <c r="P1049" t="s">
        <v>147</v>
      </c>
      <c r="Q1049" s="5">
        <v>3</v>
      </c>
      <c r="R1049" s="4">
        <v>2993.22</v>
      </c>
      <c r="S1049" s="5">
        <v>1</v>
      </c>
      <c r="T1049" s="4">
        <v>8979.66</v>
      </c>
      <c r="U1049" s="5">
        <v>3</v>
      </c>
      <c r="V1049" s="4">
        <v>8979.66</v>
      </c>
      <c r="W1049" s="5">
        <v>3</v>
      </c>
      <c r="X1049" s="4">
        <v>8979.66</v>
      </c>
      <c r="Y1049" s="4">
        <f t="shared" si="32"/>
        <v>0</v>
      </c>
      <c r="Z1049" t="s">
        <v>0</v>
      </c>
      <c r="AA1049" t="s">
        <v>2</v>
      </c>
      <c r="AB1049" t="s">
        <v>12</v>
      </c>
      <c r="AC1049">
        <f>_xlfn.XLOOKUP(AB1049,'[1]GST Codes'!$A:$A,'[1]GST Codes'!$C:$C,0,0)</f>
        <v>18</v>
      </c>
      <c r="AD1049">
        <f t="shared" si="33"/>
        <v>0</v>
      </c>
      <c r="AE1049" t="s">
        <v>13</v>
      </c>
      <c r="AF1049" t="s">
        <v>0</v>
      </c>
      <c r="AG1049" t="s">
        <v>14</v>
      </c>
      <c r="AH1049" t="s">
        <v>15</v>
      </c>
      <c r="AI1049" t="s">
        <v>96</v>
      </c>
      <c r="AJ1049" t="s">
        <v>17</v>
      </c>
      <c r="AK1049" t="s">
        <v>18</v>
      </c>
      <c r="AL1049" t="s">
        <v>148</v>
      </c>
      <c r="AM1049" t="s">
        <v>508</v>
      </c>
      <c r="AN1049" t="s">
        <v>0</v>
      </c>
      <c r="AO1049" t="s">
        <v>0</v>
      </c>
      <c r="AP1049" t="s">
        <v>0</v>
      </c>
      <c r="AQ1049" s="5">
        <v>3</v>
      </c>
      <c r="AR1049" t="s">
        <v>147</v>
      </c>
      <c r="AS1049" t="s">
        <v>0</v>
      </c>
      <c r="AT1049" t="s">
        <v>17</v>
      </c>
      <c r="AU1049" s="4">
        <v>0</v>
      </c>
      <c r="AV1049" s="4">
        <v>0</v>
      </c>
      <c r="AW1049" s="4">
        <v>0</v>
      </c>
      <c r="AX1049" s="4">
        <v>0</v>
      </c>
      <c r="AY1049" s="5">
        <v>0</v>
      </c>
      <c r="AZ1049" s="5">
        <v>0</v>
      </c>
      <c r="BA1049" s="5">
        <v>0</v>
      </c>
      <c r="BB1049" s="2"/>
      <c r="BC1049" t="s">
        <v>0</v>
      </c>
      <c r="BD1049" s="5">
        <v>1</v>
      </c>
      <c r="BE1049" t="s">
        <v>0</v>
      </c>
      <c r="BF1049" t="s">
        <v>509</v>
      </c>
      <c r="BG1049" t="s">
        <v>17</v>
      </c>
      <c r="BH1049" t="s">
        <v>0</v>
      </c>
      <c r="BI1049" t="s">
        <v>147</v>
      </c>
      <c r="BJ1049" t="s">
        <v>0</v>
      </c>
      <c r="BK1049" t="s">
        <v>0</v>
      </c>
      <c r="BL1049" s="5">
        <v>0</v>
      </c>
      <c r="BM1049" t="s">
        <v>0</v>
      </c>
      <c r="BN1049" t="s">
        <v>0</v>
      </c>
      <c r="BO1049" t="s">
        <v>0</v>
      </c>
      <c r="BP1049" t="s">
        <v>17</v>
      </c>
      <c r="BQ1049" t="s">
        <v>0</v>
      </c>
      <c r="BR1049" t="s">
        <v>17</v>
      </c>
      <c r="BS1049" t="s">
        <v>17</v>
      </c>
      <c r="BT1049" t="s">
        <v>0</v>
      </c>
      <c r="BU1049" t="s">
        <v>0</v>
      </c>
      <c r="BV1049" t="s">
        <v>0</v>
      </c>
      <c r="BW1049" t="s">
        <v>0</v>
      </c>
      <c r="BX1049" t="s">
        <v>0</v>
      </c>
      <c r="BY1049" t="s">
        <v>0</v>
      </c>
      <c r="BZ1049" t="s">
        <v>0</v>
      </c>
      <c r="CA1049" t="s">
        <v>0</v>
      </c>
      <c r="CB1049" t="s">
        <v>0</v>
      </c>
    </row>
    <row r="1050" spans="1:80" x14ac:dyDescent="0.25">
      <c r="A1050" t="s">
        <v>504</v>
      </c>
      <c r="B1050" s="2">
        <v>46180</v>
      </c>
      <c r="C1050" s="2"/>
      <c r="D1050" s="2"/>
      <c r="E1050" t="s">
        <v>2</v>
      </c>
      <c r="F1050" t="s">
        <v>89</v>
      </c>
      <c r="G1050" t="s">
        <v>0</v>
      </c>
      <c r="H1050" t="s">
        <v>4</v>
      </c>
      <c r="I1050" t="s">
        <v>505</v>
      </c>
      <c r="J1050" t="s">
        <v>6</v>
      </c>
      <c r="K1050" t="s">
        <v>86</v>
      </c>
      <c r="L1050" t="s">
        <v>514</v>
      </c>
      <c r="M1050" t="s">
        <v>515</v>
      </c>
      <c r="N1050" t="s">
        <v>10</v>
      </c>
      <c r="O1050" t="s">
        <v>0</v>
      </c>
      <c r="P1050" t="s">
        <v>147</v>
      </c>
      <c r="Q1050" s="5">
        <v>3</v>
      </c>
      <c r="R1050" s="4">
        <v>1000</v>
      </c>
      <c r="S1050" s="5">
        <v>1</v>
      </c>
      <c r="T1050" s="4">
        <v>3000</v>
      </c>
      <c r="U1050" s="5">
        <v>3</v>
      </c>
      <c r="V1050" s="4">
        <v>3000</v>
      </c>
      <c r="W1050" s="5">
        <v>3</v>
      </c>
      <c r="X1050" s="4">
        <v>3000</v>
      </c>
      <c r="Y1050" s="4">
        <f t="shared" si="32"/>
        <v>0</v>
      </c>
      <c r="Z1050" t="s">
        <v>0</v>
      </c>
      <c r="AA1050" t="s">
        <v>2</v>
      </c>
      <c r="AB1050" t="s">
        <v>12</v>
      </c>
      <c r="AC1050">
        <f>_xlfn.XLOOKUP(AB1050,'[1]GST Codes'!$A:$A,'[1]GST Codes'!$C:$C,0,0)</f>
        <v>18</v>
      </c>
      <c r="AD1050">
        <f t="shared" si="33"/>
        <v>0</v>
      </c>
      <c r="AE1050" t="s">
        <v>13</v>
      </c>
      <c r="AF1050" t="s">
        <v>0</v>
      </c>
      <c r="AG1050" t="s">
        <v>14</v>
      </c>
      <c r="AH1050" t="s">
        <v>15</v>
      </c>
      <c r="AI1050" t="s">
        <v>96</v>
      </c>
      <c r="AJ1050" t="s">
        <v>17</v>
      </c>
      <c r="AK1050" t="s">
        <v>18</v>
      </c>
      <c r="AL1050" t="s">
        <v>148</v>
      </c>
      <c r="AM1050" t="s">
        <v>508</v>
      </c>
      <c r="AN1050" t="s">
        <v>0</v>
      </c>
      <c r="AO1050" t="s">
        <v>0</v>
      </c>
      <c r="AP1050" t="s">
        <v>0</v>
      </c>
      <c r="AQ1050" s="5">
        <v>3</v>
      </c>
      <c r="AR1050" t="s">
        <v>147</v>
      </c>
      <c r="AS1050" t="s">
        <v>0</v>
      </c>
      <c r="AT1050" t="s">
        <v>17</v>
      </c>
      <c r="AU1050" s="4">
        <v>0</v>
      </c>
      <c r="AV1050" s="4">
        <v>0</v>
      </c>
      <c r="AW1050" s="4">
        <v>0</v>
      </c>
      <c r="AX1050" s="4">
        <v>0</v>
      </c>
      <c r="AY1050" s="5">
        <v>0</v>
      </c>
      <c r="AZ1050" s="5">
        <v>0</v>
      </c>
      <c r="BA1050" s="5">
        <v>0</v>
      </c>
      <c r="BB1050" s="2"/>
      <c r="BC1050" t="s">
        <v>0</v>
      </c>
      <c r="BD1050" s="5">
        <v>1</v>
      </c>
      <c r="BE1050" t="s">
        <v>0</v>
      </c>
      <c r="BF1050" t="s">
        <v>516</v>
      </c>
      <c r="BG1050" t="s">
        <v>17</v>
      </c>
      <c r="BH1050" t="s">
        <v>0</v>
      </c>
      <c r="BI1050" t="s">
        <v>147</v>
      </c>
      <c r="BJ1050" t="s">
        <v>0</v>
      </c>
      <c r="BK1050" t="s">
        <v>0</v>
      </c>
      <c r="BL1050" s="5">
        <v>0</v>
      </c>
      <c r="BM1050" t="s">
        <v>0</v>
      </c>
      <c r="BN1050" t="s">
        <v>0</v>
      </c>
      <c r="BO1050" t="s">
        <v>0</v>
      </c>
      <c r="BP1050" t="s">
        <v>17</v>
      </c>
      <c r="BQ1050" t="s">
        <v>0</v>
      </c>
      <c r="BR1050" t="s">
        <v>17</v>
      </c>
      <c r="BS1050" t="s">
        <v>17</v>
      </c>
      <c r="BT1050" t="s">
        <v>0</v>
      </c>
      <c r="BU1050" t="s">
        <v>0</v>
      </c>
      <c r="BV1050" t="s">
        <v>0</v>
      </c>
      <c r="BW1050" t="s">
        <v>0</v>
      </c>
      <c r="BX1050" t="s">
        <v>0</v>
      </c>
      <c r="BY1050" t="s">
        <v>0</v>
      </c>
      <c r="BZ1050" t="s">
        <v>0</v>
      </c>
      <c r="CA1050" t="s">
        <v>0</v>
      </c>
      <c r="CB1050" t="s">
        <v>0</v>
      </c>
    </row>
    <row r="1051" spans="1:80" x14ac:dyDescent="0.25">
      <c r="A1051" t="s">
        <v>504</v>
      </c>
      <c r="B1051" s="2">
        <v>46180</v>
      </c>
      <c r="C1051" s="2"/>
      <c r="D1051" s="2"/>
      <c r="E1051" t="s">
        <v>2</v>
      </c>
      <c r="F1051" t="s">
        <v>89</v>
      </c>
      <c r="G1051" t="s">
        <v>0</v>
      </c>
      <c r="H1051" t="s">
        <v>4</v>
      </c>
      <c r="I1051" t="s">
        <v>505</v>
      </c>
      <c r="J1051" t="s">
        <v>6</v>
      </c>
      <c r="K1051" t="s">
        <v>87</v>
      </c>
      <c r="L1051" t="s">
        <v>506</v>
      </c>
      <c r="M1051" t="s">
        <v>513</v>
      </c>
      <c r="N1051" t="s">
        <v>10</v>
      </c>
      <c r="O1051" t="s">
        <v>0</v>
      </c>
      <c r="P1051" t="s">
        <v>147</v>
      </c>
      <c r="Q1051" s="5">
        <v>4</v>
      </c>
      <c r="R1051" s="4">
        <v>3141.18</v>
      </c>
      <c r="S1051" s="5">
        <v>1</v>
      </c>
      <c r="T1051" s="4">
        <v>12564.72</v>
      </c>
      <c r="U1051" s="5">
        <v>4</v>
      </c>
      <c r="V1051" s="4">
        <v>12564.72</v>
      </c>
      <c r="W1051" s="5">
        <v>4</v>
      </c>
      <c r="X1051" s="4">
        <v>12564.72</v>
      </c>
      <c r="Y1051" s="4">
        <f t="shared" si="32"/>
        <v>0</v>
      </c>
      <c r="Z1051" t="s">
        <v>0</v>
      </c>
      <c r="AA1051" t="s">
        <v>2</v>
      </c>
      <c r="AB1051" t="s">
        <v>12</v>
      </c>
      <c r="AC1051">
        <f>_xlfn.XLOOKUP(AB1051,'[1]GST Codes'!$A:$A,'[1]GST Codes'!$C:$C,0,0)</f>
        <v>18</v>
      </c>
      <c r="AD1051">
        <f t="shared" si="33"/>
        <v>0</v>
      </c>
      <c r="AE1051" t="s">
        <v>13</v>
      </c>
      <c r="AF1051" t="s">
        <v>0</v>
      </c>
      <c r="AG1051" t="s">
        <v>14</v>
      </c>
      <c r="AH1051" t="s">
        <v>15</v>
      </c>
      <c r="AI1051" t="s">
        <v>96</v>
      </c>
      <c r="AJ1051" t="s">
        <v>17</v>
      </c>
      <c r="AK1051" t="s">
        <v>18</v>
      </c>
      <c r="AL1051" t="s">
        <v>148</v>
      </c>
      <c r="AM1051" t="s">
        <v>508</v>
      </c>
      <c r="AN1051" t="s">
        <v>0</v>
      </c>
      <c r="AO1051" t="s">
        <v>0</v>
      </c>
      <c r="AP1051" t="s">
        <v>0</v>
      </c>
      <c r="AQ1051" s="5">
        <v>4</v>
      </c>
      <c r="AR1051" t="s">
        <v>147</v>
      </c>
      <c r="AS1051" t="s">
        <v>0</v>
      </c>
      <c r="AT1051" t="s">
        <v>17</v>
      </c>
      <c r="AU1051" s="4">
        <v>0</v>
      </c>
      <c r="AV1051" s="4">
        <v>0</v>
      </c>
      <c r="AW1051" s="4">
        <v>0</v>
      </c>
      <c r="AX1051" s="4">
        <v>0</v>
      </c>
      <c r="AY1051" s="5">
        <v>0</v>
      </c>
      <c r="AZ1051" s="5">
        <v>0</v>
      </c>
      <c r="BA1051" s="5">
        <v>0</v>
      </c>
      <c r="BB1051" s="2"/>
      <c r="BC1051" t="s">
        <v>0</v>
      </c>
      <c r="BD1051" s="5">
        <v>1</v>
      </c>
      <c r="BE1051" t="s">
        <v>0</v>
      </c>
      <c r="BF1051" t="s">
        <v>509</v>
      </c>
      <c r="BG1051" t="s">
        <v>17</v>
      </c>
      <c r="BH1051" t="s">
        <v>0</v>
      </c>
      <c r="BI1051" t="s">
        <v>147</v>
      </c>
      <c r="BJ1051" t="s">
        <v>0</v>
      </c>
      <c r="BK1051" t="s">
        <v>0</v>
      </c>
      <c r="BL1051" s="5">
        <v>0</v>
      </c>
      <c r="BM1051" t="s">
        <v>0</v>
      </c>
      <c r="BN1051" t="s">
        <v>0</v>
      </c>
      <c r="BO1051" t="s">
        <v>0</v>
      </c>
      <c r="BP1051" t="s">
        <v>17</v>
      </c>
      <c r="BQ1051" t="s">
        <v>0</v>
      </c>
      <c r="BR1051" t="s">
        <v>17</v>
      </c>
      <c r="BS1051" t="s">
        <v>17</v>
      </c>
      <c r="BT1051" t="s">
        <v>0</v>
      </c>
      <c r="BU1051" t="s">
        <v>0</v>
      </c>
      <c r="BV1051" t="s">
        <v>0</v>
      </c>
      <c r="BW1051" t="s">
        <v>0</v>
      </c>
      <c r="BX1051" t="s">
        <v>0</v>
      </c>
      <c r="BY1051" t="s">
        <v>0</v>
      </c>
      <c r="BZ1051" t="s">
        <v>0</v>
      </c>
      <c r="CA1051" t="s">
        <v>0</v>
      </c>
      <c r="CB1051" t="s">
        <v>0</v>
      </c>
    </row>
    <row r="1052" spans="1:80" x14ac:dyDescent="0.25">
      <c r="A1052" t="s">
        <v>504</v>
      </c>
      <c r="B1052" s="2">
        <v>46180</v>
      </c>
      <c r="C1052" s="2"/>
      <c r="D1052" s="2"/>
      <c r="E1052" t="s">
        <v>2</v>
      </c>
      <c r="F1052" t="s">
        <v>89</v>
      </c>
      <c r="G1052" t="s">
        <v>0</v>
      </c>
      <c r="H1052" t="s">
        <v>4</v>
      </c>
      <c r="I1052" t="s">
        <v>505</v>
      </c>
      <c r="J1052" t="s">
        <v>6</v>
      </c>
      <c r="K1052" t="s">
        <v>88</v>
      </c>
      <c r="L1052" t="s">
        <v>506</v>
      </c>
      <c r="M1052" t="s">
        <v>513</v>
      </c>
      <c r="N1052" t="s">
        <v>10</v>
      </c>
      <c r="O1052" t="s">
        <v>0</v>
      </c>
      <c r="P1052" t="s">
        <v>147</v>
      </c>
      <c r="Q1052" s="5">
        <v>1</v>
      </c>
      <c r="R1052" s="4">
        <v>2643.84</v>
      </c>
      <c r="S1052" s="5">
        <v>1</v>
      </c>
      <c r="T1052" s="4">
        <v>2643.84</v>
      </c>
      <c r="U1052" s="5">
        <v>1</v>
      </c>
      <c r="V1052" s="4">
        <v>2643.84</v>
      </c>
      <c r="W1052" s="5">
        <v>1</v>
      </c>
      <c r="X1052" s="4">
        <v>2643.84</v>
      </c>
      <c r="Y1052" s="4">
        <f t="shared" si="32"/>
        <v>0</v>
      </c>
      <c r="Z1052" t="s">
        <v>0</v>
      </c>
      <c r="AA1052" t="s">
        <v>2</v>
      </c>
      <c r="AB1052" t="s">
        <v>12</v>
      </c>
      <c r="AC1052">
        <f>_xlfn.XLOOKUP(AB1052,'[1]GST Codes'!$A:$A,'[1]GST Codes'!$C:$C,0,0)</f>
        <v>18</v>
      </c>
      <c r="AD1052">
        <f t="shared" si="33"/>
        <v>0</v>
      </c>
      <c r="AE1052" t="s">
        <v>13</v>
      </c>
      <c r="AF1052" t="s">
        <v>0</v>
      </c>
      <c r="AG1052" t="s">
        <v>14</v>
      </c>
      <c r="AH1052" t="s">
        <v>15</v>
      </c>
      <c r="AI1052" t="s">
        <v>96</v>
      </c>
      <c r="AJ1052" t="s">
        <v>17</v>
      </c>
      <c r="AK1052" t="s">
        <v>18</v>
      </c>
      <c r="AL1052" t="s">
        <v>148</v>
      </c>
      <c r="AM1052" t="s">
        <v>508</v>
      </c>
      <c r="AN1052" t="s">
        <v>0</v>
      </c>
      <c r="AO1052" t="s">
        <v>0</v>
      </c>
      <c r="AP1052" t="s">
        <v>0</v>
      </c>
      <c r="AQ1052" s="5">
        <v>1</v>
      </c>
      <c r="AR1052" t="s">
        <v>147</v>
      </c>
      <c r="AS1052" t="s">
        <v>0</v>
      </c>
      <c r="AT1052" t="s">
        <v>17</v>
      </c>
      <c r="AU1052" s="4">
        <v>0</v>
      </c>
      <c r="AV1052" s="4">
        <v>0</v>
      </c>
      <c r="AW1052" s="4">
        <v>0</v>
      </c>
      <c r="AX1052" s="4">
        <v>0</v>
      </c>
      <c r="AY1052" s="5">
        <v>0</v>
      </c>
      <c r="AZ1052" s="5">
        <v>0</v>
      </c>
      <c r="BA1052" s="5">
        <v>0</v>
      </c>
      <c r="BB1052" s="2"/>
      <c r="BC1052" t="s">
        <v>0</v>
      </c>
      <c r="BD1052" s="5">
        <v>1</v>
      </c>
      <c r="BE1052" t="s">
        <v>0</v>
      </c>
      <c r="BF1052" t="s">
        <v>509</v>
      </c>
      <c r="BG1052" t="s">
        <v>17</v>
      </c>
      <c r="BH1052" t="s">
        <v>0</v>
      </c>
      <c r="BI1052" t="s">
        <v>147</v>
      </c>
      <c r="BJ1052" t="s">
        <v>0</v>
      </c>
      <c r="BK1052" t="s">
        <v>0</v>
      </c>
      <c r="BL1052" s="5">
        <v>0</v>
      </c>
      <c r="BM1052" t="s">
        <v>0</v>
      </c>
      <c r="BN1052" t="s">
        <v>0</v>
      </c>
      <c r="BO1052" t="s">
        <v>0</v>
      </c>
      <c r="BP1052" t="s">
        <v>17</v>
      </c>
      <c r="BQ1052" t="s">
        <v>0</v>
      </c>
      <c r="BR1052" t="s">
        <v>17</v>
      </c>
      <c r="BS1052" t="s">
        <v>17</v>
      </c>
      <c r="BT1052" t="s">
        <v>0</v>
      </c>
      <c r="BU1052" t="s">
        <v>0</v>
      </c>
      <c r="BV1052" t="s">
        <v>0</v>
      </c>
      <c r="BW1052" t="s">
        <v>0</v>
      </c>
      <c r="BX1052" t="s">
        <v>0</v>
      </c>
      <c r="BY1052" t="s">
        <v>0</v>
      </c>
      <c r="BZ1052" t="s">
        <v>0</v>
      </c>
      <c r="CA1052" t="s">
        <v>0</v>
      </c>
      <c r="CB1052" t="s">
        <v>0</v>
      </c>
    </row>
    <row r="1053" spans="1:80" x14ac:dyDescent="0.25">
      <c r="A1053" t="s">
        <v>504</v>
      </c>
      <c r="B1053" s="2">
        <v>46180</v>
      </c>
      <c r="C1053" s="2"/>
      <c r="D1053" s="2"/>
      <c r="E1053" t="s">
        <v>2</v>
      </c>
      <c r="F1053" t="s">
        <v>89</v>
      </c>
      <c r="G1053" t="s">
        <v>0</v>
      </c>
      <c r="H1053" t="s">
        <v>4</v>
      </c>
      <c r="I1053" t="s">
        <v>505</v>
      </c>
      <c r="J1053" t="s">
        <v>6</v>
      </c>
      <c r="K1053" t="s">
        <v>89</v>
      </c>
      <c r="L1053" t="s">
        <v>506</v>
      </c>
      <c r="M1053" t="s">
        <v>513</v>
      </c>
      <c r="N1053" t="s">
        <v>10</v>
      </c>
      <c r="O1053" t="s">
        <v>0</v>
      </c>
      <c r="P1053" t="s">
        <v>147</v>
      </c>
      <c r="Q1053" s="5">
        <v>3</v>
      </c>
      <c r="R1053" s="4">
        <v>3141.18</v>
      </c>
      <c r="S1053" s="5">
        <v>1</v>
      </c>
      <c r="T1053" s="4">
        <v>9423.5400000000009</v>
      </c>
      <c r="U1053" s="5">
        <v>3</v>
      </c>
      <c r="V1053" s="4">
        <v>9423.5400000000009</v>
      </c>
      <c r="W1053" s="5">
        <v>3</v>
      </c>
      <c r="X1053" s="4">
        <v>9423.5400000000009</v>
      </c>
      <c r="Y1053" s="4">
        <f t="shared" si="32"/>
        <v>0</v>
      </c>
      <c r="Z1053" t="s">
        <v>0</v>
      </c>
      <c r="AA1053" t="s">
        <v>2</v>
      </c>
      <c r="AB1053" t="s">
        <v>12</v>
      </c>
      <c r="AC1053">
        <f>_xlfn.XLOOKUP(AB1053,'[1]GST Codes'!$A:$A,'[1]GST Codes'!$C:$C,0,0)</f>
        <v>18</v>
      </c>
      <c r="AD1053">
        <f t="shared" si="33"/>
        <v>0</v>
      </c>
      <c r="AE1053" t="s">
        <v>13</v>
      </c>
      <c r="AF1053" t="s">
        <v>0</v>
      </c>
      <c r="AG1053" t="s">
        <v>14</v>
      </c>
      <c r="AH1053" t="s">
        <v>15</v>
      </c>
      <c r="AI1053" t="s">
        <v>96</v>
      </c>
      <c r="AJ1053" t="s">
        <v>17</v>
      </c>
      <c r="AK1053" t="s">
        <v>18</v>
      </c>
      <c r="AL1053" t="s">
        <v>148</v>
      </c>
      <c r="AM1053" t="s">
        <v>508</v>
      </c>
      <c r="AN1053" t="s">
        <v>0</v>
      </c>
      <c r="AO1053" t="s">
        <v>0</v>
      </c>
      <c r="AP1053" t="s">
        <v>0</v>
      </c>
      <c r="AQ1053" s="5">
        <v>3</v>
      </c>
      <c r="AR1053" t="s">
        <v>147</v>
      </c>
      <c r="AS1053" t="s">
        <v>0</v>
      </c>
      <c r="AT1053" t="s">
        <v>17</v>
      </c>
      <c r="AU1053" s="4">
        <v>0</v>
      </c>
      <c r="AV1053" s="4">
        <v>0</v>
      </c>
      <c r="AW1053" s="4">
        <v>0</v>
      </c>
      <c r="AX1053" s="4">
        <v>0</v>
      </c>
      <c r="AY1053" s="5">
        <v>0</v>
      </c>
      <c r="AZ1053" s="5">
        <v>0</v>
      </c>
      <c r="BA1053" s="5">
        <v>0</v>
      </c>
      <c r="BB1053" s="2"/>
      <c r="BC1053" t="s">
        <v>0</v>
      </c>
      <c r="BD1053" s="5">
        <v>1</v>
      </c>
      <c r="BE1053" t="s">
        <v>0</v>
      </c>
      <c r="BF1053" t="s">
        <v>509</v>
      </c>
      <c r="BG1053" t="s">
        <v>17</v>
      </c>
      <c r="BH1053" t="s">
        <v>0</v>
      </c>
      <c r="BI1053" t="s">
        <v>147</v>
      </c>
      <c r="BJ1053" t="s">
        <v>0</v>
      </c>
      <c r="BK1053" t="s">
        <v>0</v>
      </c>
      <c r="BL1053" s="5">
        <v>0</v>
      </c>
      <c r="BM1053" t="s">
        <v>0</v>
      </c>
      <c r="BN1053" t="s">
        <v>0</v>
      </c>
      <c r="BO1053" t="s">
        <v>0</v>
      </c>
      <c r="BP1053" t="s">
        <v>17</v>
      </c>
      <c r="BQ1053" t="s">
        <v>0</v>
      </c>
      <c r="BR1053" t="s">
        <v>17</v>
      </c>
      <c r="BS1053" t="s">
        <v>17</v>
      </c>
      <c r="BT1053" t="s">
        <v>0</v>
      </c>
      <c r="BU1053" t="s">
        <v>0</v>
      </c>
      <c r="BV1053" t="s">
        <v>0</v>
      </c>
      <c r="BW1053" t="s">
        <v>0</v>
      </c>
      <c r="BX1053" t="s">
        <v>0</v>
      </c>
      <c r="BY1053" t="s">
        <v>0</v>
      </c>
      <c r="BZ1053" t="s">
        <v>0</v>
      </c>
      <c r="CA1053" t="s">
        <v>0</v>
      </c>
      <c r="CB1053" t="s">
        <v>0</v>
      </c>
    </row>
    <row r="1054" spans="1:80" x14ac:dyDescent="0.25">
      <c r="A1054" t="s">
        <v>504</v>
      </c>
      <c r="B1054" s="2">
        <v>46180</v>
      </c>
      <c r="C1054" s="2"/>
      <c r="D1054" s="2"/>
      <c r="E1054" t="s">
        <v>2</v>
      </c>
      <c r="F1054" t="s">
        <v>89</v>
      </c>
      <c r="G1054" t="s">
        <v>0</v>
      </c>
      <c r="H1054" t="s">
        <v>4</v>
      </c>
      <c r="I1054" t="s">
        <v>505</v>
      </c>
      <c r="J1054" t="s">
        <v>6</v>
      </c>
      <c r="K1054" t="s">
        <v>90</v>
      </c>
      <c r="L1054" t="s">
        <v>514</v>
      </c>
      <c r="M1054" t="s">
        <v>515</v>
      </c>
      <c r="N1054" t="s">
        <v>10</v>
      </c>
      <c r="O1054" t="s">
        <v>0</v>
      </c>
      <c r="P1054" t="s">
        <v>147</v>
      </c>
      <c r="Q1054" s="5">
        <v>3</v>
      </c>
      <c r="R1054" s="4">
        <v>1000</v>
      </c>
      <c r="S1054" s="5">
        <v>1</v>
      </c>
      <c r="T1054" s="4">
        <v>3000</v>
      </c>
      <c r="U1054" s="5">
        <v>3</v>
      </c>
      <c r="V1054" s="4">
        <v>3000</v>
      </c>
      <c r="W1054" s="5">
        <v>3</v>
      </c>
      <c r="X1054" s="4">
        <v>3000</v>
      </c>
      <c r="Y1054" s="4">
        <f t="shared" si="32"/>
        <v>0</v>
      </c>
      <c r="Z1054" t="s">
        <v>0</v>
      </c>
      <c r="AA1054" t="s">
        <v>2</v>
      </c>
      <c r="AB1054" t="s">
        <v>12</v>
      </c>
      <c r="AC1054">
        <f>_xlfn.XLOOKUP(AB1054,'[1]GST Codes'!$A:$A,'[1]GST Codes'!$C:$C,0,0)</f>
        <v>18</v>
      </c>
      <c r="AD1054">
        <f t="shared" si="33"/>
        <v>0</v>
      </c>
      <c r="AE1054" t="s">
        <v>13</v>
      </c>
      <c r="AF1054" t="s">
        <v>0</v>
      </c>
      <c r="AG1054" t="s">
        <v>14</v>
      </c>
      <c r="AH1054" t="s">
        <v>15</v>
      </c>
      <c r="AI1054" t="s">
        <v>96</v>
      </c>
      <c r="AJ1054" t="s">
        <v>17</v>
      </c>
      <c r="AK1054" t="s">
        <v>18</v>
      </c>
      <c r="AL1054" t="s">
        <v>148</v>
      </c>
      <c r="AM1054" t="s">
        <v>508</v>
      </c>
      <c r="AN1054" t="s">
        <v>0</v>
      </c>
      <c r="AO1054" t="s">
        <v>0</v>
      </c>
      <c r="AP1054" t="s">
        <v>0</v>
      </c>
      <c r="AQ1054" s="5">
        <v>3</v>
      </c>
      <c r="AR1054" t="s">
        <v>147</v>
      </c>
      <c r="AS1054" t="s">
        <v>0</v>
      </c>
      <c r="AT1054" t="s">
        <v>17</v>
      </c>
      <c r="AU1054" s="4">
        <v>0</v>
      </c>
      <c r="AV1054" s="4">
        <v>0</v>
      </c>
      <c r="AW1054" s="4">
        <v>0</v>
      </c>
      <c r="AX1054" s="4">
        <v>0</v>
      </c>
      <c r="AY1054" s="5">
        <v>0</v>
      </c>
      <c r="AZ1054" s="5">
        <v>0</v>
      </c>
      <c r="BA1054" s="5">
        <v>0</v>
      </c>
      <c r="BB1054" s="2"/>
      <c r="BC1054" t="s">
        <v>0</v>
      </c>
      <c r="BD1054" s="5">
        <v>1</v>
      </c>
      <c r="BE1054" t="s">
        <v>0</v>
      </c>
      <c r="BF1054" t="s">
        <v>516</v>
      </c>
      <c r="BG1054" t="s">
        <v>17</v>
      </c>
      <c r="BH1054" t="s">
        <v>0</v>
      </c>
      <c r="BI1054" t="s">
        <v>147</v>
      </c>
      <c r="BJ1054" t="s">
        <v>0</v>
      </c>
      <c r="BK1054" t="s">
        <v>0</v>
      </c>
      <c r="BL1054" s="5">
        <v>0</v>
      </c>
      <c r="BM1054" t="s">
        <v>0</v>
      </c>
      <c r="BN1054" t="s">
        <v>0</v>
      </c>
      <c r="BO1054" t="s">
        <v>0</v>
      </c>
      <c r="BP1054" t="s">
        <v>17</v>
      </c>
      <c r="BQ1054" t="s">
        <v>0</v>
      </c>
      <c r="BR1054" t="s">
        <v>17</v>
      </c>
      <c r="BS1054" t="s">
        <v>17</v>
      </c>
      <c r="BT1054" t="s">
        <v>0</v>
      </c>
      <c r="BU1054" t="s">
        <v>0</v>
      </c>
      <c r="BV1054" t="s">
        <v>0</v>
      </c>
      <c r="BW1054" t="s">
        <v>0</v>
      </c>
      <c r="BX1054" t="s">
        <v>0</v>
      </c>
      <c r="BY1054" t="s">
        <v>0</v>
      </c>
      <c r="BZ1054" t="s">
        <v>0</v>
      </c>
      <c r="CA1054" t="s">
        <v>0</v>
      </c>
      <c r="CB1054" t="s">
        <v>0</v>
      </c>
    </row>
    <row r="1055" spans="1:80" x14ac:dyDescent="0.25">
      <c r="A1055" t="s">
        <v>504</v>
      </c>
      <c r="B1055" s="2">
        <v>46180</v>
      </c>
      <c r="C1055" s="2"/>
      <c r="D1055" s="2"/>
      <c r="E1055" t="s">
        <v>2</v>
      </c>
      <c r="F1055" t="s">
        <v>89</v>
      </c>
      <c r="G1055" t="s">
        <v>0</v>
      </c>
      <c r="H1055" t="s">
        <v>4</v>
      </c>
      <c r="I1055" t="s">
        <v>505</v>
      </c>
      <c r="J1055" t="s">
        <v>6</v>
      </c>
      <c r="K1055" t="s">
        <v>177</v>
      </c>
      <c r="L1055" t="s">
        <v>506</v>
      </c>
      <c r="M1055" t="s">
        <v>513</v>
      </c>
      <c r="N1055" t="s">
        <v>10</v>
      </c>
      <c r="O1055" t="s">
        <v>0</v>
      </c>
      <c r="P1055" t="s">
        <v>147</v>
      </c>
      <c r="Q1055" s="5">
        <v>6</v>
      </c>
      <c r="R1055" s="4">
        <v>3141.18</v>
      </c>
      <c r="S1055" s="5">
        <v>1</v>
      </c>
      <c r="T1055" s="4">
        <v>18847.080000000002</v>
      </c>
      <c r="U1055" s="5">
        <v>6</v>
      </c>
      <c r="V1055" s="4">
        <v>18847.080000000002</v>
      </c>
      <c r="W1055" s="5">
        <v>6</v>
      </c>
      <c r="X1055" s="4">
        <v>18847.080000000002</v>
      </c>
      <c r="Y1055" s="4">
        <f t="shared" si="32"/>
        <v>0</v>
      </c>
      <c r="Z1055" t="s">
        <v>0</v>
      </c>
      <c r="AA1055" t="s">
        <v>2</v>
      </c>
      <c r="AB1055" t="s">
        <v>12</v>
      </c>
      <c r="AC1055">
        <f>_xlfn.XLOOKUP(AB1055,'[1]GST Codes'!$A:$A,'[1]GST Codes'!$C:$C,0,0)</f>
        <v>18</v>
      </c>
      <c r="AD1055">
        <f t="shared" si="33"/>
        <v>0</v>
      </c>
      <c r="AE1055" t="s">
        <v>13</v>
      </c>
      <c r="AF1055" t="s">
        <v>0</v>
      </c>
      <c r="AG1055" t="s">
        <v>14</v>
      </c>
      <c r="AH1055" t="s">
        <v>15</v>
      </c>
      <c r="AI1055" t="s">
        <v>96</v>
      </c>
      <c r="AJ1055" t="s">
        <v>17</v>
      </c>
      <c r="AK1055" t="s">
        <v>18</v>
      </c>
      <c r="AL1055" t="s">
        <v>148</v>
      </c>
      <c r="AM1055" t="s">
        <v>508</v>
      </c>
      <c r="AN1055" t="s">
        <v>0</v>
      </c>
      <c r="AO1055" t="s">
        <v>0</v>
      </c>
      <c r="AP1055" t="s">
        <v>0</v>
      </c>
      <c r="AQ1055" s="5">
        <v>6</v>
      </c>
      <c r="AR1055" t="s">
        <v>147</v>
      </c>
      <c r="AS1055" t="s">
        <v>0</v>
      </c>
      <c r="AT1055" t="s">
        <v>17</v>
      </c>
      <c r="AU1055" s="4">
        <v>0</v>
      </c>
      <c r="AV1055" s="4">
        <v>0</v>
      </c>
      <c r="AW1055" s="4">
        <v>0</v>
      </c>
      <c r="AX1055" s="4">
        <v>0</v>
      </c>
      <c r="AY1055" s="5">
        <v>0</v>
      </c>
      <c r="AZ1055" s="5">
        <v>0</v>
      </c>
      <c r="BA1055" s="5">
        <v>0</v>
      </c>
      <c r="BB1055" s="2"/>
      <c r="BC1055" t="s">
        <v>0</v>
      </c>
      <c r="BD1055" s="5">
        <v>1</v>
      </c>
      <c r="BE1055" t="s">
        <v>0</v>
      </c>
      <c r="BF1055" t="s">
        <v>509</v>
      </c>
      <c r="BG1055" t="s">
        <v>17</v>
      </c>
      <c r="BH1055" t="s">
        <v>0</v>
      </c>
      <c r="BI1055" t="s">
        <v>147</v>
      </c>
      <c r="BJ1055" t="s">
        <v>0</v>
      </c>
      <c r="BK1055" t="s">
        <v>0</v>
      </c>
      <c r="BL1055" s="5">
        <v>0</v>
      </c>
      <c r="BM1055" t="s">
        <v>0</v>
      </c>
      <c r="BN1055" t="s">
        <v>0</v>
      </c>
      <c r="BO1055" t="s">
        <v>0</v>
      </c>
      <c r="BP1055" t="s">
        <v>17</v>
      </c>
      <c r="BQ1055" t="s">
        <v>0</v>
      </c>
      <c r="BR1055" t="s">
        <v>17</v>
      </c>
      <c r="BS1055" t="s">
        <v>17</v>
      </c>
      <c r="BT1055" t="s">
        <v>0</v>
      </c>
      <c r="BU1055" t="s">
        <v>0</v>
      </c>
      <c r="BV1055" t="s">
        <v>0</v>
      </c>
      <c r="BW1055" t="s">
        <v>0</v>
      </c>
      <c r="BX1055" t="s">
        <v>0</v>
      </c>
      <c r="BY1055" t="s">
        <v>0</v>
      </c>
      <c r="BZ1055" t="s">
        <v>0</v>
      </c>
      <c r="CA1055" t="s">
        <v>0</v>
      </c>
      <c r="CB1055" t="s">
        <v>0</v>
      </c>
    </row>
    <row r="1056" spans="1:80" x14ac:dyDescent="0.25">
      <c r="A1056" t="s">
        <v>504</v>
      </c>
      <c r="B1056" s="2">
        <v>46180</v>
      </c>
      <c r="C1056" s="2"/>
      <c r="D1056" s="2"/>
      <c r="E1056" t="s">
        <v>2</v>
      </c>
      <c r="F1056" t="s">
        <v>89</v>
      </c>
      <c r="G1056" t="s">
        <v>0</v>
      </c>
      <c r="H1056" t="s">
        <v>4</v>
      </c>
      <c r="I1056" t="s">
        <v>505</v>
      </c>
      <c r="J1056" t="s">
        <v>6</v>
      </c>
      <c r="K1056" t="s">
        <v>181</v>
      </c>
      <c r="L1056" t="s">
        <v>510</v>
      </c>
      <c r="M1056" t="s">
        <v>511</v>
      </c>
      <c r="N1056" t="s">
        <v>10</v>
      </c>
      <c r="O1056" t="s">
        <v>0</v>
      </c>
      <c r="P1056" t="s">
        <v>147</v>
      </c>
      <c r="Q1056" s="5">
        <v>1</v>
      </c>
      <c r="R1056" s="4">
        <v>2643.84</v>
      </c>
      <c r="S1056" s="5">
        <v>1</v>
      </c>
      <c r="T1056" s="4">
        <v>2643.84</v>
      </c>
      <c r="U1056" s="5">
        <v>1</v>
      </c>
      <c r="V1056" s="4">
        <v>2643.84</v>
      </c>
      <c r="W1056" s="5">
        <v>1</v>
      </c>
      <c r="X1056" s="4">
        <v>2643.84</v>
      </c>
      <c r="Y1056" s="4">
        <f t="shared" si="32"/>
        <v>0</v>
      </c>
      <c r="Z1056" t="s">
        <v>0</v>
      </c>
      <c r="AA1056" t="s">
        <v>2</v>
      </c>
      <c r="AB1056" t="s">
        <v>12</v>
      </c>
      <c r="AC1056">
        <f>_xlfn.XLOOKUP(AB1056,'[1]GST Codes'!$A:$A,'[1]GST Codes'!$C:$C,0,0)</f>
        <v>18</v>
      </c>
      <c r="AD1056">
        <f t="shared" si="33"/>
        <v>0</v>
      </c>
      <c r="AE1056" t="s">
        <v>13</v>
      </c>
      <c r="AF1056" t="s">
        <v>0</v>
      </c>
      <c r="AG1056" t="s">
        <v>14</v>
      </c>
      <c r="AH1056" t="s">
        <v>15</v>
      </c>
      <c r="AI1056" t="s">
        <v>96</v>
      </c>
      <c r="AJ1056" t="s">
        <v>17</v>
      </c>
      <c r="AK1056" t="s">
        <v>18</v>
      </c>
      <c r="AL1056" t="s">
        <v>148</v>
      </c>
      <c r="AM1056" t="s">
        <v>508</v>
      </c>
      <c r="AN1056" t="s">
        <v>0</v>
      </c>
      <c r="AO1056" t="s">
        <v>0</v>
      </c>
      <c r="AP1056" t="s">
        <v>0</v>
      </c>
      <c r="AQ1056" s="5">
        <v>1</v>
      </c>
      <c r="AR1056" t="s">
        <v>147</v>
      </c>
      <c r="AS1056" t="s">
        <v>0</v>
      </c>
      <c r="AT1056" t="s">
        <v>17</v>
      </c>
      <c r="AU1056" s="4">
        <v>0</v>
      </c>
      <c r="AV1056" s="4">
        <v>0</v>
      </c>
      <c r="AW1056" s="4">
        <v>0</v>
      </c>
      <c r="AX1056" s="4">
        <v>0</v>
      </c>
      <c r="AY1056" s="5">
        <v>0</v>
      </c>
      <c r="AZ1056" s="5">
        <v>0</v>
      </c>
      <c r="BA1056" s="5">
        <v>0</v>
      </c>
      <c r="BB1056" s="2"/>
      <c r="BC1056" t="s">
        <v>0</v>
      </c>
      <c r="BD1056" s="5">
        <v>1</v>
      </c>
      <c r="BE1056" t="s">
        <v>0</v>
      </c>
      <c r="BF1056" t="s">
        <v>512</v>
      </c>
      <c r="BG1056" t="s">
        <v>17</v>
      </c>
      <c r="BH1056" t="s">
        <v>0</v>
      </c>
      <c r="BI1056" t="s">
        <v>147</v>
      </c>
      <c r="BJ1056" t="s">
        <v>0</v>
      </c>
      <c r="BK1056" t="s">
        <v>0</v>
      </c>
      <c r="BL1056" s="5">
        <v>0</v>
      </c>
      <c r="BM1056" t="s">
        <v>0</v>
      </c>
      <c r="BN1056" t="s">
        <v>0</v>
      </c>
      <c r="BO1056" t="s">
        <v>0</v>
      </c>
      <c r="BP1056" t="s">
        <v>17</v>
      </c>
      <c r="BQ1056" t="s">
        <v>0</v>
      </c>
      <c r="BR1056" t="s">
        <v>17</v>
      </c>
      <c r="BS1056" t="s">
        <v>17</v>
      </c>
      <c r="BT1056" t="s">
        <v>0</v>
      </c>
      <c r="BU1056" t="s">
        <v>0</v>
      </c>
      <c r="BV1056" t="s">
        <v>0</v>
      </c>
      <c r="BW1056" t="s">
        <v>0</v>
      </c>
      <c r="BX1056" t="s">
        <v>0</v>
      </c>
      <c r="BY1056" t="s">
        <v>0</v>
      </c>
      <c r="BZ1056" t="s">
        <v>0</v>
      </c>
      <c r="CA1056" t="s">
        <v>0</v>
      </c>
      <c r="CB1056" t="s">
        <v>0</v>
      </c>
    </row>
    <row r="1057" spans="1:80" x14ac:dyDescent="0.25">
      <c r="A1057" t="s">
        <v>504</v>
      </c>
      <c r="B1057" s="2">
        <v>46180</v>
      </c>
      <c r="C1057" s="2"/>
      <c r="D1057" s="2"/>
      <c r="E1057" t="s">
        <v>2</v>
      </c>
      <c r="F1057" t="s">
        <v>89</v>
      </c>
      <c r="G1057" t="s">
        <v>0</v>
      </c>
      <c r="H1057" t="s">
        <v>4</v>
      </c>
      <c r="I1057" t="s">
        <v>505</v>
      </c>
      <c r="J1057" t="s">
        <v>6</v>
      </c>
      <c r="K1057" t="s">
        <v>185</v>
      </c>
      <c r="L1057" t="s">
        <v>506</v>
      </c>
      <c r="M1057" t="s">
        <v>513</v>
      </c>
      <c r="N1057" t="s">
        <v>10</v>
      </c>
      <c r="O1057" t="s">
        <v>0</v>
      </c>
      <c r="P1057" t="s">
        <v>147</v>
      </c>
      <c r="Q1057" s="5">
        <v>3</v>
      </c>
      <c r="R1057" s="4">
        <v>3141.18</v>
      </c>
      <c r="S1057" s="5">
        <v>1</v>
      </c>
      <c r="T1057" s="4">
        <v>9423.5400000000009</v>
      </c>
      <c r="U1057" s="5">
        <v>3</v>
      </c>
      <c r="V1057" s="4">
        <v>9423.5400000000009</v>
      </c>
      <c r="W1057" s="5">
        <v>3</v>
      </c>
      <c r="X1057" s="4">
        <v>9423.5400000000009</v>
      </c>
      <c r="Y1057" s="4">
        <f t="shared" si="32"/>
        <v>0</v>
      </c>
      <c r="Z1057" t="s">
        <v>0</v>
      </c>
      <c r="AA1057" t="s">
        <v>2</v>
      </c>
      <c r="AB1057" t="s">
        <v>12</v>
      </c>
      <c r="AC1057">
        <f>_xlfn.XLOOKUP(AB1057,'[1]GST Codes'!$A:$A,'[1]GST Codes'!$C:$C,0,0)</f>
        <v>18</v>
      </c>
      <c r="AD1057">
        <f t="shared" si="33"/>
        <v>0</v>
      </c>
      <c r="AE1057" t="s">
        <v>13</v>
      </c>
      <c r="AF1057" t="s">
        <v>0</v>
      </c>
      <c r="AG1057" t="s">
        <v>14</v>
      </c>
      <c r="AH1057" t="s">
        <v>15</v>
      </c>
      <c r="AI1057" t="s">
        <v>96</v>
      </c>
      <c r="AJ1057" t="s">
        <v>17</v>
      </c>
      <c r="AK1057" t="s">
        <v>18</v>
      </c>
      <c r="AL1057" t="s">
        <v>148</v>
      </c>
      <c r="AM1057" t="s">
        <v>508</v>
      </c>
      <c r="AN1057" t="s">
        <v>0</v>
      </c>
      <c r="AO1057" t="s">
        <v>0</v>
      </c>
      <c r="AP1057" t="s">
        <v>0</v>
      </c>
      <c r="AQ1057" s="5">
        <v>3</v>
      </c>
      <c r="AR1057" t="s">
        <v>147</v>
      </c>
      <c r="AS1057" t="s">
        <v>0</v>
      </c>
      <c r="AT1057" t="s">
        <v>17</v>
      </c>
      <c r="AU1057" s="4">
        <v>0</v>
      </c>
      <c r="AV1057" s="4">
        <v>0</v>
      </c>
      <c r="AW1057" s="4">
        <v>0</v>
      </c>
      <c r="AX1057" s="4">
        <v>0</v>
      </c>
      <c r="AY1057" s="5">
        <v>0</v>
      </c>
      <c r="AZ1057" s="5">
        <v>0</v>
      </c>
      <c r="BA1057" s="5">
        <v>0</v>
      </c>
      <c r="BB1057" s="2"/>
      <c r="BC1057" t="s">
        <v>0</v>
      </c>
      <c r="BD1057" s="5">
        <v>1</v>
      </c>
      <c r="BE1057" t="s">
        <v>0</v>
      </c>
      <c r="BF1057" t="s">
        <v>509</v>
      </c>
      <c r="BG1057" t="s">
        <v>17</v>
      </c>
      <c r="BH1057" t="s">
        <v>0</v>
      </c>
      <c r="BI1057" t="s">
        <v>147</v>
      </c>
      <c r="BJ1057" t="s">
        <v>0</v>
      </c>
      <c r="BK1057" t="s">
        <v>0</v>
      </c>
      <c r="BL1057" s="5">
        <v>0</v>
      </c>
      <c r="BM1057" t="s">
        <v>0</v>
      </c>
      <c r="BN1057" t="s">
        <v>0</v>
      </c>
      <c r="BO1057" t="s">
        <v>0</v>
      </c>
      <c r="BP1057" t="s">
        <v>17</v>
      </c>
      <c r="BQ1057" t="s">
        <v>0</v>
      </c>
      <c r="BR1057" t="s">
        <v>17</v>
      </c>
      <c r="BS1057" t="s">
        <v>17</v>
      </c>
      <c r="BT1057" t="s">
        <v>0</v>
      </c>
      <c r="BU1057" t="s">
        <v>0</v>
      </c>
      <c r="BV1057" t="s">
        <v>0</v>
      </c>
      <c r="BW1057" t="s">
        <v>0</v>
      </c>
      <c r="BX1057" t="s">
        <v>0</v>
      </c>
      <c r="BY1057" t="s">
        <v>0</v>
      </c>
      <c r="BZ1057" t="s">
        <v>0</v>
      </c>
      <c r="CA1057" t="s">
        <v>0</v>
      </c>
      <c r="CB1057" t="s">
        <v>0</v>
      </c>
    </row>
    <row r="1058" spans="1:80" x14ac:dyDescent="0.25">
      <c r="A1058" t="s">
        <v>504</v>
      </c>
      <c r="B1058" s="2">
        <v>46180</v>
      </c>
      <c r="C1058" s="2"/>
      <c r="D1058" s="2"/>
      <c r="E1058" t="s">
        <v>2</v>
      </c>
      <c r="F1058" t="s">
        <v>89</v>
      </c>
      <c r="G1058" t="s">
        <v>0</v>
      </c>
      <c r="H1058" t="s">
        <v>4</v>
      </c>
      <c r="I1058" t="s">
        <v>505</v>
      </c>
      <c r="J1058" t="s">
        <v>6</v>
      </c>
      <c r="K1058" t="s">
        <v>189</v>
      </c>
      <c r="L1058" t="s">
        <v>514</v>
      </c>
      <c r="M1058" t="s">
        <v>515</v>
      </c>
      <c r="N1058" t="s">
        <v>10</v>
      </c>
      <c r="O1058" t="s">
        <v>0</v>
      </c>
      <c r="P1058" t="s">
        <v>147</v>
      </c>
      <c r="Q1058" s="5">
        <v>3</v>
      </c>
      <c r="R1058" s="4">
        <v>1000</v>
      </c>
      <c r="S1058" s="5">
        <v>1</v>
      </c>
      <c r="T1058" s="4">
        <v>3000</v>
      </c>
      <c r="U1058" s="5">
        <v>3</v>
      </c>
      <c r="V1058" s="4">
        <v>3000</v>
      </c>
      <c r="W1058" s="5">
        <v>3</v>
      </c>
      <c r="X1058" s="4">
        <v>3000</v>
      </c>
      <c r="Y1058" s="4">
        <f t="shared" si="32"/>
        <v>0</v>
      </c>
      <c r="Z1058" t="s">
        <v>0</v>
      </c>
      <c r="AA1058" t="s">
        <v>2</v>
      </c>
      <c r="AB1058" t="s">
        <v>12</v>
      </c>
      <c r="AC1058">
        <f>_xlfn.XLOOKUP(AB1058,'[1]GST Codes'!$A:$A,'[1]GST Codes'!$C:$C,0,0)</f>
        <v>18</v>
      </c>
      <c r="AD1058">
        <f t="shared" si="33"/>
        <v>0</v>
      </c>
      <c r="AE1058" t="s">
        <v>13</v>
      </c>
      <c r="AF1058" t="s">
        <v>0</v>
      </c>
      <c r="AG1058" t="s">
        <v>14</v>
      </c>
      <c r="AH1058" t="s">
        <v>15</v>
      </c>
      <c r="AI1058" t="s">
        <v>96</v>
      </c>
      <c r="AJ1058" t="s">
        <v>17</v>
      </c>
      <c r="AK1058" t="s">
        <v>18</v>
      </c>
      <c r="AL1058" t="s">
        <v>148</v>
      </c>
      <c r="AM1058" t="s">
        <v>508</v>
      </c>
      <c r="AN1058" t="s">
        <v>0</v>
      </c>
      <c r="AO1058" t="s">
        <v>0</v>
      </c>
      <c r="AP1058" t="s">
        <v>0</v>
      </c>
      <c r="AQ1058" s="5">
        <v>3</v>
      </c>
      <c r="AR1058" t="s">
        <v>147</v>
      </c>
      <c r="AS1058" t="s">
        <v>0</v>
      </c>
      <c r="AT1058" t="s">
        <v>17</v>
      </c>
      <c r="AU1058" s="4">
        <v>0</v>
      </c>
      <c r="AV1058" s="4">
        <v>0</v>
      </c>
      <c r="AW1058" s="4">
        <v>0</v>
      </c>
      <c r="AX1058" s="4">
        <v>0</v>
      </c>
      <c r="AY1058" s="5">
        <v>0</v>
      </c>
      <c r="AZ1058" s="5">
        <v>0</v>
      </c>
      <c r="BA1058" s="5">
        <v>0</v>
      </c>
      <c r="BB1058" s="2"/>
      <c r="BC1058" t="s">
        <v>0</v>
      </c>
      <c r="BD1058" s="5">
        <v>1</v>
      </c>
      <c r="BE1058" t="s">
        <v>0</v>
      </c>
      <c r="BF1058" t="s">
        <v>516</v>
      </c>
      <c r="BG1058" t="s">
        <v>17</v>
      </c>
      <c r="BH1058" t="s">
        <v>0</v>
      </c>
      <c r="BI1058" t="s">
        <v>147</v>
      </c>
      <c r="BJ1058" t="s">
        <v>0</v>
      </c>
      <c r="BK1058" t="s">
        <v>0</v>
      </c>
      <c r="BL1058" s="5">
        <v>0</v>
      </c>
      <c r="BM1058" t="s">
        <v>0</v>
      </c>
      <c r="BN1058" t="s">
        <v>0</v>
      </c>
      <c r="BO1058" t="s">
        <v>0</v>
      </c>
      <c r="BP1058" t="s">
        <v>17</v>
      </c>
      <c r="BQ1058" t="s">
        <v>0</v>
      </c>
      <c r="BR1058" t="s">
        <v>17</v>
      </c>
      <c r="BS1058" t="s">
        <v>17</v>
      </c>
      <c r="BT1058" t="s">
        <v>0</v>
      </c>
      <c r="BU1058" t="s">
        <v>0</v>
      </c>
      <c r="BV1058" t="s">
        <v>0</v>
      </c>
      <c r="BW1058" t="s">
        <v>0</v>
      </c>
      <c r="BX1058" t="s">
        <v>0</v>
      </c>
      <c r="BY1058" t="s">
        <v>0</v>
      </c>
      <c r="BZ1058" t="s">
        <v>0</v>
      </c>
      <c r="CA1058" t="s">
        <v>0</v>
      </c>
      <c r="CB1058" t="s">
        <v>0</v>
      </c>
    </row>
    <row r="1059" spans="1:80" x14ac:dyDescent="0.25">
      <c r="A1059" t="s">
        <v>504</v>
      </c>
      <c r="B1059" s="2">
        <v>46180</v>
      </c>
      <c r="C1059" s="2"/>
      <c r="D1059" s="2"/>
      <c r="E1059" t="s">
        <v>2</v>
      </c>
      <c r="F1059" t="s">
        <v>89</v>
      </c>
      <c r="G1059" t="s">
        <v>0</v>
      </c>
      <c r="H1059" t="s">
        <v>4</v>
      </c>
      <c r="I1059" t="s">
        <v>505</v>
      </c>
      <c r="J1059" t="s">
        <v>6</v>
      </c>
      <c r="K1059" t="s">
        <v>193</v>
      </c>
      <c r="L1059" t="s">
        <v>517</v>
      </c>
      <c r="M1059" t="s">
        <v>518</v>
      </c>
      <c r="N1059" t="s">
        <v>10</v>
      </c>
      <c r="O1059" t="s">
        <v>0</v>
      </c>
      <c r="P1059" t="s">
        <v>147</v>
      </c>
      <c r="Q1059" s="5">
        <v>1</v>
      </c>
      <c r="R1059" s="4">
        <v>7609.14</v>
      </c>
      <c r="S1059" s="5">
        <v>1</v>
      </c>
      <c r="T1059" s="4">
        <v>7609.14</v>
      </c>
      <c r="U1059" s="5">
        <v>1</v>
      </c>
      <c r="V1059" s="4">
        <v>7609.14</v>
      </c>
      <c r="W1059" s="5">
        <v>1</v>
      </c>
      <c r="X1059" s="4">
        <v>7609.14</v>
      </c>
      <c r="Y1059" s="4">
        <f t="shared" si="32"/>
        <v>0</v>
      </c>
      <c r="Z1059" t="s">
        <v>0</v>
      </c>
      <c r="AA1059" t="s">
        <v>2</v>
      </c>
      <c r="AB1059" t="s">
        <v>12</v>
      </c>
      <c r="AC1059">
        <f>_xlfn.XLOOKUP(AB1059,'[1]GST Codes'!$A:$A,'[1]GST Codes'!$C:$C,0,0)</f>
        <v>18</v>
      </c>
      <c r="AD1059">
        <f t="shared" si="33"/>
        <v>0</v>
      </c>
      <c r="AE1059" t="s">
        <v>13</v>
      </c>
      <c r="AF1059" t="s">
        <v>0</v>
      </c>
      <c r="AG1059" t="s">
        <v>14</v>
      </c>
      <c r="AH1059" t="s">
        <v>15</v>
      </c>
      <c r="AI1059" t="s">
        <v>96</v>
      </c>
      <c r="AJ1059" t="s">
        <v>17</v>
      </c>
      <c r="AK1059" t="s">
        <v>18</v>
      </c>
      <c r="AL1059" t="s">
        <v>148</v>
      </c>
      <c r="AM1059" t="s">
        <v>508</v>
      </c>
      <c r="AN1059" t="s">
        <v>0</v>
      </c>
      <c r="AO1059" t="s">
        <v>0</v>
      </c>
      <c r="AP1059" t="s">
        <v>0</v>
      </c>
      <c r="AQ1059" s="5">
        <v>1</v>
      </c>
      <c r="AR1059" t="s">
        <v>147</v>
      </c>
      <c r="AS1059" t="s">
        <v>0</v>
      </c>
      <c r="AT1059" t="s">
        <v>17</v>
      </c>
      <c r="AU1059" s="4">
        <v>0</v>
      </c>
      <c r="AV1059" s="4">
        <v>0</v>
      </c>
      <c r="AW1059" s="4">
        <v>0</v>
      </c>
      <c r="AX1059" s="4">
        <v>0</v>
      </c>
      <c r="AY1059" s="5">
        <v>0</v>
      </c>
      <c r="AZ1059" s="5">
        <v>0</v>
      </c>
      <c r="BA1059" s="5">
        <v>0</v>
      </c>
      <c r="BB1059" s="2"/>
      <c r="BC1059" t="s">
        <v>0</v>
      </c>
      <c r="BD1059" s="5">
        <v>1</v>
      </c>
      <c r="BE1059" t="s">
        <v>0</v>
      </c>
      <c r="BF1059" t="s">
        <v>519</v>
      </c>
      <c r="BG1059" t="s">
        <v>17</v>
      </c>
      <c r="BH1059" t="s">
        <v>0</v>
      </c>
      <c r="BI1059" t="s">
        <v>147</v>
      </c>
      <c r="BJ1059" t="s">
        <v>0</v>
      </c>
      <c r="BK1059" t="s">
        <v>0</v>
      </c>
      <c r="BL1059" s="5">
        <v>0</v>
      </c>
      <c r="BM1059" t="s">
        <v>0</v>
      </c>
      <c r="BN1059" t="s">
        <v>0</v>
      </c>
      <c r="BO1059" t="s">
        <v>0</v>
      </c>
      <c r="BP1059" t="s">
        <v>17</v>
      </c>
      <c r="BQ1059" t="s">
        <v>0</v>
      </c>
      <c r="BR1059" t="s">
        <v>17</v>
      </c>
      <c r="BS1059" t="s">
        <v>17</v>
      </c>
      <c r="BT1059" t="s">
        <v>0</v>
      </c>
      <c r="BU1059" t="s">
        <v>0</v>
      </c>
      <c r="BV1059" t="s">
        <v>0</v>
      </c>
      <c r="BW1059" t="s">
        <v>0</v>
      </c>
      <c r="BX1059" t="s">
        <v>0</v>
      </c>
      <c r="BY1059" t="s">
        <v>0</v>
      </c>
      <c r="BZ1059" t="s">
        <v>0</v>
      </c>
      <c r="CA1059" t="s">
        <v>0</v>
      </c>
      <c r="CB1059" t="s">
        <v>0</v>
      </c>
    </row>
    <row r="1060" spans="1:80" x14ac:dyDescent="0.25">
      <c r="A1060" t="s">
        <v>504</v>
      </c>
      <c r="B1060" s="2">
        <v>46180</v>
      </c>
      <c r="C1060" s="2"/>
      <c r="D1060" s="2"/>
      <c r="E1060" t="s">
        <v>2</v>
      </c>
      <c r="F1060" t="s">
        <v>89</v>
      </c>
      <c r="G1060" t="s">
        <v>0</v>
      </c>
      <c r="H1060" t="s">
        <v>4</v>
      </c>
      <c r="I1060" t="s">
        <v>505</v>
      </c>
      <c r="J1060" t="s">
        <v>6</v>
      </c>
      <c r="K1060" t="s">
        <v>197</v>
      </c>
      <c r="L1060" t="s">
        <v>517</v>
      </c>
      <c r="M1060" t="s">
        <v>518</v>
      </c>
      <c r="N1060" t="s">
        <v>10</v>
      </c>
      <c r="O1060" t="s">
        <v>0</v>
      </c>
      <c r="P1060" t="s">
        <v>147</v>
      </c>
      <c r="Q1060" s="5">
        <v>1</v>
      </c>
      <c r="R1060" s="4">
        <v>6390.9</v>
      </c>
      <c r="S1060" s="5">
        <v>1</v>
      </c>
      <c r="T1060" s="4">
        <v>6390.9</v>
      </c>
      <c r="U1060" s="5">
        <v>1</v>
      </c>
      <c r="V1060" s="4">
        <v>6390.9</v>
      </c>
      <c r="W1060" s="5">
        <v>1</v>
      </c>
      <c r="X1060" s="4">
        <v>6390.9</v>
      </c>
      <c r="Y1060" s="4">
        <f t="shared" si="32"/>
        <v>0</v>
      </c>
      <c r="Z1060" t="s">
        <v>0</v>
      </c>
      <c r="AA1060" t="s">
        <v>2</v>
      </c>
      <c r="AB1060" t="s">
        <v>12</v>
      </c>
      <c r="AC1060">
        <f>_xlfn.XLOOKUP(AB1060,'[1]GST Codes'!$A:$A,'[1]GST Codes'!$C:$C,0,0)</f>
        <v>18</v>
      </c>
      <c r="AD1060">
        <f t="shared" si="33"/>
        <v>0</v>
      </c>
      <c r="AE1060" t="s">
        <v>13</v>
      </c>
      <c r="AF1060" t="s">
        <v>0</v>
      </c>
      <c r="AG1060" t="s">
        <v>14</v>
      </c>
      <c r="AH1060" t="s">
        <v>15</v>
      </c>
      <c r="AI1060" t="s">
        <v>96</v>
      </c>
      <c r="AJ1060" t="s">
        <v>17</v>
      </c>
      <c r="AK1060" t="s">
        <v>18</v>
      </c>
      <c r="AL1060" t="s">
        <v>148</v>
      </c>
      <c r="AM1060" t="s">
        <v>508</v>
      </c>
      <c r="AN1060" t="s">
        <v>0</v>
      </c>
      <c r="AO1060" t="s">
        <v>0</v>
      </c>
      <c r="AP1060" t="s">
        <v>0</v>
      </c>
      <c r="AQ1060" s="5">
        <v>1</v>
      </c>
      <c r="AR1060" t="s">
        <v>147</v>
      </c>
      <c r="AS1060" t="s">
        <v>0</v>
      </c>
      <c r="AT1060" t="s">
        <v>17</v>
      </c>
      <c r="AU1060" s="4">
        <v>0</v>
      </c>
      <c r="AV1060" s="4">
        <v>0</v>
      </c>
      <c r="AW1060" s="4">
        <v>0</v>
      </c>
      <c r="AX1060" s="4">
        <v>0</v>
      </c>
      <c r="AY1060" s="5">
        <v>0</v>
      </c>
      <c r="AZ1060" s="5">
        <v>0</v>
      </c>
      <c r="BA1060" s="5">
        <v>0</v>
      </c>
      <c r="BB1060" s="2"/>
      <c r="BC1060" t="s">
        <v>0</v>
      </c>
      <c r="BD1060" s="5">
        <v>1</v>
      </c>
      <c r="BE1060" t="s">
        <v>0</v>
      </c>
      <c r="BF1060" t="s">
        <v>519</v>
      </c>
      <c r="BG1060" t="s">
        <v>17</v>
      </c>
      <c r="BH1060" t="s">
        <v>0</v>
      </c>
      <c r="BI1060" t="s">
        <v>147</v>
      </c>
      <c r="BJ1060" t="s">
        <v>0</v>
      </c>
      <c r="BK1060" t="s">
        <v>0</v>
      </c>
      <c r="BL1060" s="5">
        <v>0</v>
      </c>
      <c r="BM1060" t="s">
        <v>0</v>
      </c>
      <c r="BN1060" t="s">
        <v>0</v>
      </c>
      <c r="BO1060" t="s">
        <v>0</v>
      </c>
      <c r="BP1060" t="s">
        <v>17</v>
      </c>
      <c r="BQ1060" t="s">
        <v>0</v>
      </c>
      <c r="BR1060" t="s">
        <v>17</v>
      </c>
      <c r="BS1060" t="s">
        <v>17</v>
      </c>
      <c r="BT1060" t="s">
        <v>0</v>
      </c>
      <c r="BU1060" t="s">
        <v>0</v>
      </c>
      <c r="BV1060" t="s">
        <v>0</v>
      </c>
      <c r="BW1060" t="s">
        <v>0</v>
      </c>
      <c r="BX1060" t="s">
        <v>0</v>
      </c>
      <c r="BY1060" t="s">
        <v>0</v>
      </c>
      <c r="BZ1060" t="s">
        <v>0</v>
      </c>
      <c r="CA1060" t="s">
        <v>0</v>
      </c>
      <c r="CB1060" t="s">
        <v>0</v>
      </c>
    </row>
    <row r="1061" spans="1:80" x14ac:dyDescent="0.25">
      <c r="A1061" t="s">
        <v>504</v>
      </c>
      <c r="B1061" s="2">
        <v>46180</v>
      </c>
      <c r="C1061" s="2"/>
      <c r="D1061" s="2"/>
      <c r="E1061" t="s">
        <v>2</v>
      </c>
      <c r="F1061" t="s">
        <v>89</v>
      </c>
      <c r="G1061" t="s">
        <v>0</v>
      </c>
      <c r="H1061" t="s">
        <v>4</v>
      </c>
      <c r="I1061" t="s">
        <v>505</v>
      </c>
      <c r="J1061" t="s">
        <v>6</v>
      </c>
      <c r="K1061" t="s">
        <v>201</v>
      </c>
      <c r="L1061" t="s">
        <v>506</v>
      </c>
      <c r="M1061" t="s">
        <v>513</v>
      </c>
      <c r="N1061" t="s">
        <v>10</v>
      </c>
      <c r="O1061" t="s">
        <v>0</v>
      </c>
      <c r="P1061" t="s">
        <v>147</v>
      </c>
      <c r="Q1061" s="5">
        <v>6</v>
      </c>
      <c r="R1061" s="4">
        <v>3141.18</v>
      </c>
      <c r="S1061" s="5">
        <v>1</v>
      </c>
      <c r="T1061" s="4">
        <v>18847.080000000002</v>
      </c>
      <c r="U1061" s="5">
        <v>6</v>
      </c>
      <c r="V1061" s="4">
        <v>18847.080000000002</v>
      </c>
      <c r="W1061" s="5">
        <v>6</v>
      </c>
      <c r="X1061" s="4">
        <v>18847.080000000002</v>
      </c>
      <c r="Y1061" s="4">
        <f t="shared" si="32"/>
        <v>0</v>
      </c>
      <c r="Z1061" t="s">
        <v>0</v>
      </c>
      <c r="AA1061" t="s">
        <v>2</v>
      </c>
      <c r="AB1061" t="s">
        <v>12</v>
      </c>
      <c r="AC1061">
        <f>_xlfn.XLOOKUP(AB1061,'[1]GST Codes'!$A:$A,'[1]GST Codes'!$C:$C,0,0)</f>
        <v>18</v>
      </c>
      <c r="AD1061">
        <f t="shared" si="33"/>
        <v>0</v>
      </c>
      <c r="AE1061" t="s">
        <v>13</v>
      </c>
      <c r="AF1061" t="s">
        <v>0</v>
      </c>
      <c r="AG1061" t="s">
        <v>14</v>
      </c>
      <c r="AH1061" t="s">
        <v>15</v>
      </c>
      <c r="AI1061" t="s">
        <v>96</v>
      </c>
      <c r="AJ1061" t="s">
        <v>17</v>
      </c>
      <c r="AK1061" t="s">
        <v>18</v>
      </c>
      <c r="AL1061" t="s">
        <v>148</v>
      </c>
      <c r="AM1061" t="s">
        <v>508</v>
      </c>
      <c r="AN1061" t="s">
        <v>0</v>
      </c>
      <c r="AO1061" t="s">
        <v>0</v>
      </c>
      <c r="AP1061" t="s">
        <v>0</v>
      </c>
      <c r="AQ1061" s="5">
        <v>6</v>
      </c>
      <c r="AR1061" t="s">
        <v>147</v>
      </c>
      <c r="AS1061" t="s">
        <v>0</v>
      </c>
      <c r="AT1061" t="s">
        <v>17</v>
      </c>
      <c r="AU1061" s="4">
        <v>0</v>
      </c>
      <c r="AV1061" s="4">
        <v>0</v>
      </c>
      <c r="AW1061" s="4">
        <v>0</v>
      </c>
      <c r="AX1061" s="4">
        <v>0</v>
      </c>
      <c r="AY1061" s="5">
        <v>0</v>
      </c>
      <c r="AZ1061" s="5">
        <v>0</v>
      </c>
      <c r="BA1061" s="5">
        <v>0</v>
      </c>
      <c r="BB1061" s="2"/>
      <c r="BC1061" t="s">
        <v>0</v>
      </c>
      <c r="BD1061" s="5">
        <v>1</v>
      </c>
      <c r="BE1061" t="s">
        <v>0</v>
      </c>
      <c r="BF1061" t="s">
        <v>509</v>
      </c>
      <c r="BG1061" t="s">
        <v>17</v>
      </c>
      <c r="BH1061" t="s">
        <v>0</v>
      </c>
      <c r="BI1061" t="s">
        <v>147</v>
      </c>
      <c r="BJ1061" t="s">
        <v>0</v>
      </c>
      <c r="BK1061" t="s">
        <v>0</v>
      </c>
      <c r="BL1061" s="5">
        <v>0</v>
      </c>
      <c r="BM1061" t="s">
        <v>0</v>
      </c>
      <c r="BN1061" t="s">
        <v>0</v>
      </c>
      <c r="BO1061" t="s">
        <v>0</v>
      </c>
      <c r="BP1061" t="s">
        <v>17</v>
      </c>
      <c r="BQ1061" t="s">
        <v>0</v>
      </c>
      <c r="BR1061" t="s">
        <v>17</v>
      </c>
      <c r="BS1061" t="s">
        <v>17</v>
      </c>
      <c r="BT1061" t="s">
        <v>0</v>
      </c>
      <c r="BU1061" t="s">
        <v>0</v>
      </c>
      <c r="BV1061" t="s">
        <v>0</v>
      </c>
      <c r="BW1061" t="s">
        <v>0</v>
      </c>
      <c r="BX1061" t="s">
        <v>0</v>
      </c>
      <c r="BY1061" t="s">
        <v>0</v>
      </c>
      <c r="BZ1061" t="s">
        <v>0</v>
      </c>
      <c r="CA1061" t="s">
        <v>0</v>
      </c>
      <c r="CB1061" t="s">
        <v>0</v>
      </c>
    </row>
    <row r="1062" spans="1:80" x14ac:dyDescent="0.25">
      <c r="A1062" t="s">
        <v>504</v>
      </c>
      <c r="B1062" s="2">
        <v>46180</v>
      </c>
      <c r="C1062" s="2"/>
      <c r="D1062" s="2"/>
      <c r="E1062" t="s">
        <v>2</v>
      </c>
      <c r="F1062" t="s">
        <v>89</v>
      </c>
      <c r="G1062" t="s">
        <v>0</v>
      </c>
      <c r="H1062" t="s">
        <v>4</v>
      </c>
      <c r="I1062" t="s">
        <v>505</v>
      </c>
      <c r="J1062" t="s">
        <v>6</v>
      </c>
      <c r="K1062" t="s">
        <v>205</v>
      </c>
      <c r="L1062" t="s">
        <v>510</v>
      </c>
      <c r="M1062" t="s">
        <v>511</v>
      </c>
      <c r="N1062" t="s">
        <v>10</v>
      </c>
      <c r="O1062" t="s">
        <v>0</v>
      </c>
      <c r="P1062" t="s">
        <v>147</v>
      </c>
      <c r="Q1062" s="5">
        <v>1</v>
      </c>
      <c r="R1062" s="4">
        <v>2643.84</v>
      </c>
      <c r="S1062" s="5">
        <v>1</v>
      </c>
      <c r="T1062" s="4">
        <v>2643.84</v>
      </c>
      <c r="U1062" s="5">
        <v>1</v>
      </c>
      <c r="V1062" s="4">
        <v>2643.84</v>
      </c>
      <c r="W1062" s="5">
        <v>1</v>
      </c>
      <c r="X1062" s="4">
        <v>2643.84</v>
      </c>
      <c r="Y1062" s="4">
        <f t="shared" si="32"/>
        <v>0</v>
      </c>
      <c r="Z1062" t="s">
        <v>0</v>
      </c>
      <c r="AA1062" t="s">
        <v>2</v>
      </c>
      <c r="AB1062" t="s">
        <v>12</v>
      </c>
      <c r="AC1062">
        <f>_xlfn.XLOOKUP(AB1062,'[1]GST Codes'!$A:$A,'[1]GST Codes'!$C:$C,0,0)</f>
        <v>18</v>
      </c>
      <c r="AD1062">
        <f t="shared" si="33"/>
        <v>0</v>
      </c>
      <c r="AE1062" t="s">
        <v>13</v>
      </c>
      <c r="AF1062" t="s">
        <v>0</v>
      </c>
      <c r="AG1062" t="s">
        <v>14</v>
      </c>
      <c r="AH1062" t="s">
        <v>15</v>
      </c>
      <c r="AI1062" t="s">
        <v>96</v>
      </c>
      <c r="AJ1062" t="s">
        <v>17</v>
      </c>
      <c r="AK1062" t="s">
        <v>18</v>
      </c>
      <c r="AL1062" t="s">
        <v>148</v>
      </c>
      <c r="AM1062" t="s">
        <v>508</v>
      </c>
      <c r="AN1062" t="s">
        <v>0</v>
      </c>
      <c r="AO1062" t="s">
        <v>0</v>
      </c>
      <c r="AP1062" t="s">
        <v>0</v>
      </c>
      <c r="AQ1062" s="5">
        <v>1</v>
      </c>
      <c r="AR1062" t="s">
        <v>147</v>
      </c>
      <c r="AS1062" t="s">
        <v>0</v>
      </c>
      <c r="AT1062" t="s">
        <v>17</v>
      </c>
      <c r="AU1062" s="4">
        <v>0</v>
      </c>
      <c r="AV1062" s="4">
        <v>0</v>
      </c>
      <c r="AW1062" s="4">
        <v>0</v>
      </c>
      <c r="AX1062" s="4">
        <v>0</v>
      </c>
      <c r="AY1062" s="5">
        <v>0</v>
      </c>
      <c r="AZ1062" s="5">
        <v>0</v>
      </c>
      <c r="BA1062" s="5">
        <v>0</v>
      </c>
      <c r="BB1062" s="2"/>
      <c r="BC1062" t="s">
        <v>0</v>
      </c>
      <c r="BD1062" s="5">
        <v>1</v>
      </c>
      <c r="BE1062" t="s">
        <v>0</v>
      </c>
      <c r="BF1062" t="s">
        <v>512</v>
      </c>
      <c r="BG1062" t="s">
        <v>17</v>
      </c>
      <c r="BH1062" t="s">
        <v>0</v>
      </c>
      <c r="BI1062" t="s">
        <v>147</v>
      </c>
      <c r="BJ1062" t="s">
        <v>0</v>
      </c>
      <c r="BK1062" t="s">
        <v>0</v>
      </c>
      <c r="BL1062" s="5">
        <v>0</v>
      </c>
      <c r="BM1062" t="s">
        <v>0</v>
      </c>
      <c r="BN1062" t="s">
        <v>0</v>
      </c>
      <c r="BO1062" t="s">
        <v>0</v>
      </c>
      <c r="BP1062" t="s">
        <v>17</v>
      </c>
      <c r="BQ1062" t="s">
        <v>0</v>
      </c>
      <c r="BR1062" t="s">
        <v>17</v>
      </c>
      <c r="BS1062" t="s">
        <v>17</v>
      </c>
      <c r="BT1062" t="s">
        <v>0</v>
      </c>
      <c r="BU1062" t="s">
        <v>0</v>
      </c>
      <c r="BV1062" t="s">
        <v>0</v>
      </c>
      <c r="BW1062" t="s">
        <v>0</v>
      </c>
      <c r="BX1062" t="s">
        <v>0</v>
      </c>
      <c r="BY1062" t="s">
        <v>0</v>
      </c>
      <c r="BZ1062" t="s">
        <v>0</v>
      </c>
      <c r="CA1062" t="s">
        <v>0</v>
      </c>
      <c r="CB1062" t="s">
        <v>0</v>
      </c>
    </row>
    <row r="1063" spans="1:80" x14ac:dyDescent="0.25">
      <c r="A1063" t="s">
        <v>504</v>
      </c>
      <c r="B1063" s="2">
        <v>46180</v>
      </c>
      <c r="C1063" s="2"/>
      <c r="D1063" s="2"/>
      <c r="E1063" t="s">
        <v>2</v>
      </c>
      <c r="F1063" t="s">
        <v>89</v>
      </c>
      <c r="G1063" t="s">
        <v>0</v>
      </c>
      <c r="H1063" t="s">
        <v>4</v>
      </c>
      <c r="I1063" t="s">
        <v>505</v>
      </c>
      <c r="J1063" t="s">
        <v>6</v>
      </c>
      <c r="K1063" t="s">
        <v>209</v>
      </c>
      <c r="L1063" t="s">
        <v>506</v>
      </c>
      <c r="M1063" t="s">
        <v>513</v>
      </c>
      <c r="N1063" t="s">
        <v>10</v>
      </c>
      <c r="O1063" t="s">
        <v>0</v>
      </c>
      <c r="P1063" t="s">
        <v>147</v>
      </c>
      <c r="Q1063" s="5">
        <v>3</v>
      </c>
      <c r="R1063" s="4">
        <v>3141.18</v>
      </c>
      <c r="S1063" s="5">
        <v>1</v>
      </c>
      <c r="T1063" s="4">
        <v>9423.5400000000009</v>
      </c>
      <c r="U1063" s="5">
        <v>3</v>
      </c>
      <c r="V1063" s="4">
        <v>9423.5400000000009</v>
      </c>
      <c r="W1063" s="5">
        <v>3</v>
      </c>
      <c r="X1063" s="4">
        <v>9423.5400000000009</v>
      </c>
      <c r="Y1063" s="4">
        <f t="shared" si="32"/>
        <v>0</v>
      </c>
      <c r="Z1063" t="s">
        <v>0</v>
      </c>
      <c r="AA1063" t="s">
        <v>2</v>
      </c>
      <c r="AB1063" t="s">
        <v>12</v>
      </c>
      <c r="AC1063">
        <f>_xlfn.XLOOKUP(AB1063,'[1]GST Codes'!$A:$A,'[1]GST Codes'!$C:$C,0,0)</f>
        <v>18</v>
      </c>
      <c r="AD1063">
        <f t="shared" si="33"/>
        <v>0</v>
      </c>
      <c r="AE1063" t="s">
        <v>13</v>
      </c>
      <c r="AF1063" t="s">
        <v>0</v>
      </c>
      <c r="AG1063" t="s">
        <v>14</v>
      </c>
      <c r="AH1063" t="s">
        <v>15</v>
      </c>
      <c r="AI1063" t="s">
        <v>96</v>
      </c>
      <c r="AJ1063" t="s">
        <v>17</v>
      </c>
      <c r="AK1063" t="s">
        <v>18</v>
      </c>
      <c r="AL1063" t="s">
        <v>148</v>
      </c>
      <c r="AM1063" t="s">
        <v>508</v>
      </c>
      <c r="AN1063" t="s">
        <v>0</v>
      </c>
      <c r="AO1063" t="s">
        <v>0</v>
      </c>
      <c r="AP1063" t="s">
        <v>0</v>
      </c>
      <c r="AQ1063" s="5">
        <v>3</v>
      </c>
      <c r="AR1063" t="s">
        <v>147</v>
      </c>
      <c r="AS1063" t="s">
        <v>0</v>
      </c>
      <c r="AT1063" t="s">
        <v>17</v>
      </c>
      <c r="AU1063" s="4">
        <v>0</v>
      </c>
      <c r="AV1063" s="4">
        <v>0</v>
      </c>
      <c r="AW1063" s="4">
        <v>0</v>
      </c>
      <c r="AX1063" s="4">
        <v>0</v>
      </c>
      <c r="AY1063" s="5">
        <v>0</v>
      </c>
      <c r="AZ1063" s="5">
        <v>0</v>
      </c>
      <c r="BA1063" s="5">
        <v>0</v>
      </c>
      <c r="BB1063" s="2"/>
      <c r="BC1063" t="s">
        <v>0</v>
      </c>
      <c r="BD1063" s="5">
        <v>1</v>
      </c>
      <c r="BE1063" t="s">
        <v>0</v>
      </c>
      <c r="BF1063" t="s">
        <v>509</v>
      </c>
      <c r="BG1063" t="s">
        <v>17</v>
      </c>
      <c r="BH1063" t="s">
        <v>0</v>
      </c>
      <c r="BI1063" t="s">
        <v>147</v>
      </c>
      <c r="BJ1063" t="s">
        <v>0</v>
      </c>
      <c r="BK1063" t="s">
        <v>0</v>
      </c>
      <c r="BL1063" s="5">
        <v>0</v>
      </c>
      <c r="BM1063" t="s">
        <v>0</v>
      </c>
      <c r="BN1063" t="s">
        <v>0</v>
      </c>
      <c r="BO1063" t="s">
        <v>0</v>
      </c>
      <c r="BP1063" t="s">
        <v>17</v>
      </c>
      <c r="BQ1063" t="s">
        <v>0</v>
      </c>
      <c r="BR1063" t="s">
        <v>17</v>
      </c>
      <c r="BS1063" t="s">
        <v>17</v>
      </c>
      <c r="BT1063" t="s">
        <v>0</v>
      </c>
      <c r="BU1063" t="s">
        <v>0</v>
      </c>
      <c r="BV1063" t="s">
        <v>0</v>
      </c>
      <c r="BW1063" t="s">
        <v>0</v>
      </c>
      <c r="BX1063" t="s">
        <v>0</v>
      </c>
      <c r="BY1063" t="s">
        <v>0</v>
      </c>
      <c r="BZ1063" t="s">
        <v>0</v>
      </c>
      <c r="CA1063" t="s">
        <v>0</v>
      </c>
      <c r="CB1063" t="s">
        <v>0</v>
      </c>
    </row>
    <row r="1064" spans="1:80" x14ac:dyDescent="0.25">
      <c r="A1064" t="s">
        <v>504</v>
      </c>
      <c r="B1064" s="2">
        <v>46180</v>
      </c>
      <c r="C1064" s="2"/>
      <c r="D1064" s="2"/>
      <c r="E1064" t="s">
        <v>2</v>
      </c>
      <c r="F1064" t="s">
        <v>89</v>
      </c>
      <c r="G1064" t="s">
        <v>0</v>
      </c>
      <c r="H1064" t="s">
        <v>4</v>
      </c>
      <c r="I1064" t="s">
        <v>505</v>
      </c>
      <c r="J1064" t="s">
        <v>6</v>
      </c>
      <c r="K1064" t="s">
        <v>213</v>
      </c>
      <c r="L1064" t="s">
        <v>517</v>
      </c>
      <c r="M1064" t="s">
        <v>518</v>
      </c>
      <c r="N1064" t="s">
        <v>10</v>
      </c>
      <c r="O1064" t="s">
        <v>0</v>
      </c>
      <c r="P1064" t="s">
        <v>147</v>
      </c>
      <c r="Q1064" s="5">
        <v>1</v>
      </c>
      <c r="R1064" s="4">
        <v>7609.14</v>
      </c>
      <c r="S1064" s="5">
        <v>1</v>
      </c>
      <c r="T1064" s="4">
        <v>7609.14</v>
      </c>
      <c r="U1064" s="5">
        <v>1</v>
      </c>
      <c r="V1064" s="4">
        <v>7609.14</v>
      </c>
      <c r="W1064" s="5">
        <v>1</v>
      </c>
      <c r="X1064" s="4">
        <v>7609.14</v>
      </c>
      <c r="Y1064" s="4">
        <f t="shared" si="32"/>
        <v>0</v>
      </c>
      <c r="Z1064" t="s">
        <v>0</v>
      </c>
      <c r="AA1064" t="s">
        <v>2</v>
      </c>
      <c r="AB1064" t="s">
        <v>12</v>
      </c>
      <c r="AC1064">
        <f>_xlfn.XLOOKUP(AB1064,'[1]GST Codes'!$A:$A,'[1]GST Codes'!$C:$C,0,0)</f>
        <v>18</v>
      </c>
      <c r="AD1064">
        <f t="shared" si="33"/>
        <v>0</v>
      </c>
      <c r="AE1064" t="s">
        <v>13</v>
      </c>
      <c r="AF1064" t="s">
        <v>0</v>
      </c>
      <c r="AG1064" t="s">
        <v>14</v>
      </c>
      <c r="AH1064" t="s">
        <v>15</v>
      </c>
      <c r="AI1064" t="s">
        <v>96</v>
      </c>
      <c r="AJ1064" t="s">
        <v>17</v>
      </c>
      <c r="AK1064" t="s">
        <v>18</v>
      </c>
      <c r="AL1064" t="s">
        <v>148</v>
      </c>
      <c r="AM1064" t="s">
        <v>508</v>
      </c>
      <c r="AN1064" t="s">
        <v>0</v>
      </c>
      <c r="AO1064" t="s">
        <v>0</v>
      </c>
      <c r="AP1064" t="s">
        <v>0</v>
      </c>
      <c r="AQ1064" s="5">
        <v>1</v>
      </c>
      <c r="AR1064" t="s">
        <v>147</v>
      </c>
      <c r="AS1064" t="s">
        <v>0</v>
      </c>
      <c r="AT1064" t="s">
        <v>17</v>
      </c>
      <c r="AU1064" s="4">
        <v>0</v>
      </c>
      <c r="AV1064" s="4">
        <v>0</v>
      </c>
      <c r="AW1064" s="4">
        <v>0</v>
      </c>
      <c r="AX1064" s="4">
        <v>0</v>
      </c>
      <c r="AY1064" s="5">
        <v>0</v>
      </c>
      <c r="AZ1064" s="5">
        <v>0</v>
      </c>
      <c r="BA1064" s="5">
        <v>0</v>
      </c>
      <c r="BB1064" s="2"/>
      <c r="BC1064" t="s">
        <v>0</v>
      </c>
      <c r="BD1064" s="5">
        <v>1</v>
      </c>
      <c r="BE1064" t="s">
        <v>0</v>
      </c>
      <c r="BF1064" t="s">
        <v>519</v>
      </c>
      <c r="BG1064" t="s">
        <v>17</v>
      </c>
      <c r="BH1064" t="s">
        <v>0</v>
      </c>
      <c r="BI1064" t="s">
        <v>147</v>
      </c>
      <c r="BJ1064" t="s">
        <v>0</v>
      </c>
      <c r="BK1064" t="s">
        <v>0</v>
      </c>
      <c r="BL1064" s="5">
        <v>0</v>
      </c>
      <c r="BM1064" t="s">
        <v>0</v>
      </c>
      <c r="BN1064" t="s">
        <v>0</v>
      </c>
      <c r="BO1064" t="s">
        <v>0</v>
      </c>
      <c r="BP1064" t="s">
        <v>17</v>
      </c>
      <c r="BQ1064" t="s">
        <v>0</v>
      </c>
      <c r="BR1064" t="s">
        <v>17</v>
      </c>
      <c r="BS1064" t="s">
        <v>17</v>
      </c>
      <c r="BT1064" t="s">
        <v>0</v>
      </c>
      <c r="BU1064" t="s">
        <v>0</v>
      </c>
      <c r="BV1064" t="s">
        <v>0</v>
      </c>
      <c r="BW1064" t="s">
        <v>0</v>
      </c>
      <c r="BX1064" t="s">
        <v>0</v>
      </c>
      <c r="BY1064" t="s">
        <v>0</v>
      </c>
      <c r="BZ1064" t="s">
        <v>0</v>
      </c>
      <c r="CA1064" t="s">
        <v>0</v>
      </c>
      <c r="CB1064" t="s">
        <v>0</v>
      </c>
    </row>
    <row r="1065" spans="1:80" x14ac:dyDescent="0.25">
      <c r="A1065" t="s">
        <v>504</v>
      </c>
      <c r="B1065" s="2">
        <v>46180</v>
      </c>
      <c r="C1065" s="2"/>
      <c r="D1065" s="2"/>
      <c r="E1065" t="s">
        <v>2</v>
      </c>
      <c r="F1065" t="s">
        <v>89</v>
      </c>
      <c r="G1065" t="s">
        <v>0</v>
      </c>
      <c r="H1065" t="s">
        <v>4</v>
      </c>
      <c r="I1065" t="s">
        <v>505</v>
      </c>
      <c r="J1065" t="s">
        <v>6</v>
      </c>
      <c r="K1065" t="s">
        <v>215</v>
      </c>
      <c r="L1065" t="s">
        <v>514</v>
      </c>
      <c r="M1065" t="s">
        <v>515</v>
      </c>
      <c r="N1065" t="s">
        <v>10</v>
      </c>
      <c r="O1065" t="s">
        <v>0</v>
      </c>
      <c r="P1065" t="s">
        <v>147</v>
      </c>
      <c r="Q1065" s="5">
        <v>3</v>
      </c>
      <c r="R1065" s="4">
        <v>1000</v>
      </c>
      <c r="S1065" s="5">
        <v>1</v>
      </c>
      <c r="T1065" s="4">
        <v>3000</v>
      </c>
      <c r="U1065" s="5">
        <v>3</v>
      </c>
      <c r="V1065" s="4">
        <v>3000</v>
      </c>
      <c r="W1065" s="5">
        <v>3</v>
      </c>
      <c r="X1065" s="4">
        <v>3000</v>
      </c>
      <c r="Y1065" s="4">
        <f t="shared" si="32"/>
        <v>0</v>
      </c>
      <c r="Z1065" t="s">
        <v>0</v>
      </c>
      <c r="AA1065" t="s">
        <v>2</v>
      </c>
      <c r="AB1065" t="s">
        <v>12</v>
      </c>
      <c r="AC1065">
        <f>_xlfn.XLOOKUP(AB1065,'[1]GST Codes'!$A:$A,'[1]GST Codes'!$C:$C,0,0)</f>
        <v>18</v>
      </c>
      <c r="AD1065">
        <f t="shared" si="33"/>
        <v>0</v>
      </c>
      <c r="AE1065" t="s">
        <v>13</v>
      </c>
      <c r="AF1065" t="s">
        <v>0</v>
      </c>
      <c r="AG1065" t="s">
        <v>14</v>
      </c>
      <c r="AH1065" t="s">
        <v>15</v>
      </c>
      <c r="AI1065" t="s">
        <v>96</v>
      </c>
      <c r="AJ1065" t="s">
        <v>17</v>
      </c>
      <c r="AK1065" t="s">
        <v>18</v>
      </c>
      <c r="AL1065" t="s">
        <v>148</v>
      </c>
      <c r="AM1065" t="s">
        <v>508</v>
      </c>
      <c r="AN1065" t="s">
        <v>0</v>
      </c>
      <c r="AO1065" t="s">
        <v>0</v>
      </c>
      <c r="AP1065" t="s">
        <v>0</v>
      </c>
      <c r="AQ1065" s="5">
        <v>3</v>
      </c>
      <c r="AR1065" t="s">
        <v>147</v>
      </c>
      <c r="AS1065" t="s">
        <v>0</v>
      </c>
      <c r="AT1065" t="s">
        <v>17</v>
      </c>
      <c r="AU1065" s="4">
        <v>0</v>
      </c>
      <c r="AV1065" s="4">
        <v>0</v>
      </c>
      <c r="AW1065" s="4">
        <v>0</v>
      </c>
      <c r="AX1065" s="4">
        <v>0</v>
      </c>
      <c r="AY1065" s="5">
        <v>0</v>
      </c>
      <c r="AZ1065" s="5">
        <v>0</v>
      </c>
      <c r="BA1065" s="5">
        <v>0</v>
      </c>
      <c r="BB1065" s="2"/>
      <c r="BC1065" t="s">
        <v>0</v>
      </c>
      <c r="BD1065" s="5">
        <v>1</v>
      </c>
      <c r="BE1065" t="s">
        <v>0</v>
      </c>
      <c r="BF1065" t="s">
        <v>516</v>
      </c>
      <c r="BG1065" t="s">
        <v>17</v>
      </c>
      <c r="BH1065" t="s">
        <v>0</v>
      </c>
      <c r="BI1065" t="s">
        <v>147</v>
      </c>
      <c r="BJ1065" t="s">
        <v>0</v>
      </c>
      <c r="BK1065" t="s">
        <v>0</v>
      </c>
      <c r="BL1065" s="5">
        <v>0</v>
      </c>
      <c r="BM1065" t="s">
        <v>0</v>
      </c>
      <c r="BN1065" t="s">
        <v>0</v>
      </c>
      <c r="BO1065" t="s">
        <v>0</v>
      </c>
      <c r="BP1065" t="s">
        <v>17</v>
      </c>
      <c r="BQ1065" t="s">
        <v>0</v>
      </c>
      <c r="BR1065" t="s">
        <v>17</v>
      </c>
      <c r="BS1065" t="s">
        <v>17</v>
      </c>
      <c r="BT1065" t="s">
        <v>0</v>
      </c>
      <c r="BU1065" t="s">
        <v>0</v>
      </c>
      <c r="BV1065" t="s">
        <v>0</v>
      </c>
      <c r="BW1065" t="s">
        <v>0</v>
      </c>
      <c r="BX1065" t="s">
        <v>0</v>
      </c>
      <c r="BY1065" t="s">
        <v>0</v>
      </c>
      <c r="BZ1065" t="s">
        <v>0</v>
      </c>
      <c r="CA1065" t="s">
        <v>0</v>
      </c>
      <c r="CB1065" t="s">
        <v>0</v>
      </c>
    </row>
    <row r="1066" spans="1:80" x14ac:dyDescent="0.25">
      <c r="A1066" t="s">
        <v>504</v>
      </c>
      <c r="B1066" s="2">
        <v>46180</v>
      </c>
      <c r="C1066" s="2"/>
      <c r="D1066" s="2"/>
      <c r="E1066" t="s">
        <v>2</v>
      </c>
      <c r="F1066" t="s">
        <v>89</v>
      </c>
      <c r="G1066" t="s">
        <v>0</v>
      </c>
      <c r="H1066" t="s">
        <v>4</v>
      </c>
      <c r="I1066" t="s">
        <v>505</v>
      </c>
      <c r="J1066" t="s">
        <v>6</v>
      </c>
      <c r="K1066" t="s">
        <v>216</v>
      </c>
      <c r="L1066" t="s">
        <v>506</v>
      </c>
      <c r="M1066" t="s">
        <v>513</v>
      </c>
      <c r="N1066" t="s">
        <v>10</v>
      </c>
      <c r="O1066" t="s">
        <v>0</v>
      </c>
      <c r="P1066" t="s">
        <v>147</v>
      </c>
      <c r="Q1066" s="5">
        <v>6</v>
      </c>
      <c r="R1066" s="4">
        <v>2784.24</v>
      </c>
      <c r="S1066" s="5">
        <v>1</v>
      </c>
      <c r="T1066" s="4">
        <v>16705.439999999999</v>
      </c>
      <c r="U1066" s="5">
        <v>6</v>
      </c>
      <c r="V1066" s="4">
        <v>16705.439999999999</v>
      </c>
      <c r="W1066" s="5">
        <v>6</v>
      </c>
      <c r="X1066" s="4">
        <v>16705.439999999999</v>
      </c>
      <c r="Y1066" s="4">
        <f t="shared" si="32"/>
        <v>0</v>
      </c>
      <c r="Z1066" t="s">
        <v>0</v>
      </c>
      <c r="AA1066" t="s">
        <v>2</v>
      </c>
      <c r="AB1066" t="s">
        <v>12</v>
      </c>
      <c r="AC1066">
        <f>_xlfn.XLOOKUP(AB1066,'[1]GST Codes'!$A:$A,'[1]GST Codes'!$C:$C,0,0)</f>
        <v>18</v>
      </c>
      <c r="AD1066">
        <f t="shared" si="33"/>
        <v>0</v>
      </c>
      <c r="AE1066" t="s">
        <v>13</v>
      </c>
      <c r="AF1066" t="s">
        <v>0</v>
      </c>
      <c r="AG1066" t="s">
        <v>14</v>
      </c>
      <c r="AH1066" t="s">
        <v>15</v>
      </c>
      <c r="AI1066" t="s">
        <v>96</v>
      </c>
      <c r="AJ1066" t="s">
        <v>17</v>
      </c>
      <c r="AK1066" t="s">
        <v>18</v>
      </c>
      <c r="AL1066" t="s">
        <v>148</v>
      </c>
      <c r="AM1066" t="s">
        <v>508</v>
      </c>
      <c r="AN1066" t="s">
        <v>0</v>
      </c>
      <c r="AO1066" t="s">
        <v>0</v>
      </c>
      <c r="AP1066" t="s">
        <v>0</v>
      </c>
      <c r="AQ1066" s="5">
        <v>6</v>
      </c>
      <c r="AR1066" t="s">
        <v>147</v>
      </c>
      <c r="AS1066" t="s">
        <v>0</v>
      </c>
      <c r="AT1066" t="s">
        <v>17</v>
      </c>
      <c r="AU1066" s="4">
        <v>0</v>
      </c>
      <c r="AV1066" s="4">
        <v>0</v>
      </c>
      <c r="AW1066" s="4">
        <v>0</v>
      </c>
      <c r="AX1066" s="4">
        <v>0</v>
      </c>
      <c r="AY1066" s="5">
        <v>0</v>
      </c>
      <c r="AZ1066" s="5">
        <v>0</v>
      </c>
      <c r="BA1066" s="5">
        <v>0</v>
      </c>
      <c r="BB1066" s="2"/>
      <c r="BC1066" t="s">
        <v>0</v>
      </c>
      <c r="BD1066" s="5">
        <v>1</v>
      </c>
      <c r="BE1066" t="s">
        <v>0</v>
      </c>
      <c r="BF1066" t="s">
        <v>509</v>
      </c>
      <c r="BG1066" t="s">
        <v>17</v>
      </c>
      <c r="BH1066" t="s">
        <v>0</v>
      </c>
      <c r="BI1066" t="s">
        <v>147</v>
      </c>
      <c r="BJ1066" t="s">
        <v>0</v>
      </c>
      <c r="BK1066" t="s">
        <v>0</v>
      </c>
      <c r="BL1066" s="5">
        <v>0</v>
      </c>
      <c r="BM1066" t="s">
        <v>0</v>
      </c>
      <c r="BN1066" t="s">
        <v>0</v>
      </c>
      <c r="BO1066" t="s">
        <v>0</v>
      </c>
      <c r="BP1066" t="s">
        <v>17</v>
      </c>
      <c r="BQ1066" t="s">
        <v>0</v>
      </c>
      <c r="BR1066" t="s">
        <v>17</v>
      </c>
      <c r="BS1066" t="s">
        <v>17</v>
      </c>
      <c r="BT1066" t="s">
        <v>0</v>
      </c>
      <c r="BU1066" t="s">
        <v>0</v>
      </c>
      <c r="BV1066" t="s">
        <v>0</v>
      </c>
      <c r="BW1066" t="s">
        <v>0</v>
      </c>
      <c r="BX1066" t="s">
        <v>0</v>
      </c>
      <c r="BY1066" t="s">
        <v>0</v>
      </c>
      <c r="BZ1066" t="s">
        <v>0</v>
      </c>
      <c r="CA1066" t="s">
        <v>0</v>
      </c>
      <c r="CB1066" t="s">
        <v>0</v>
      </c>
    </row>
    <row r="1067" spans="1:80" x14ac:dyDescent="0.25">
      <c r="A1067" t="s">
        <v>504</v>
      </c>
      <c r="B1067" s="2">
        <v>46180</v>
      </c>
      <c r="C1067" s="2"/>
      <c r="D1067" s="2"/>
      <c r="E1067" t="s">
        <v>2</v>
      </c>
      <c r="F1067" t="s">
        <v>89</v>
      </c>
      <c r="G1067" t="s">
        <v>0</v>
      </c>
      <c r="H1067" t="s">
        <v>4</v>
      </c>
      <c r="I1067" t="s">
        <v>505</v>
      </c>
      <c r="J1067" t="s">
        <v>6</v>
      </c>
      <c r="K1067" t="s">
        <v>217</v>
      </c>
      <c r="L1067" t="s">
        <v>510</v>
      </c>
      <c r="M1067" t="s">
        <v>511</v>
      </c>
      <c r="N1067" t="s">
        <v>10</v>
      </c>
      <c r="O1067" t="s">
        <v>0</v>
      </c>
      <c r="P1067" t="s">
        <v>147</v>
      </c>
      <c r="Q1067" s="5">
        <v>1</v>
      </c>
      <c r="R1067" s="4">
        <v>2345.2199999999998</v>
      </c>
      <c r="S1067" s="5">
        <v>1</v>
      </c>
      <c r="T1067" s="4">
        <v>2345.2199999999998</v>
      </c>
      <c r="U1067" s="5">
        <v>1</v>
      </c>
      <c r="V1067" s="4">
        <v>2345.2199999999998</v>
      </c>
      <c r="W1067" s="5">
        <v>1</v>
      </c>
      <c r="X1067" s="4">
        <v>2345.2199999999998</v>
      </c>
      <c r="Y1067" s="4">
        <f t="shared" si="32"/>
        <v>0</v>
      </c>
      <c r="Z1067" t="s">
        <v>0</v>
      </c>
      <c r="AA1067" t="s">
        <v>2</v>
      </c>
      <c r="AB1067" t="s">
        <v>12</v>
      </c>
      <c r="AC1067">
        <f>_xlfn.XLOOKUP(AB1067,'[1]GST Codes'!$A:$A,'[1]GST Codes'!$C:$C,0,0)</f>
        <v>18</v>
      </c>
      <c r="AD1067">
        <f t="shared" si="33"/>
        <v>0</v>
      </c>
      <c r="AE1067" t="s">
        <v>13</v>
      </c>
      <c r="AF1067" t="s">
        <v>0</v>
      </c>
      <c r="AG1067" t="s">
        <v>14</v>
      </c>
      <c r="AH1067" t="s">
        <v>15</v>
      </c>
      <c r="AI1067" t="s">
        <v>96</v>
      </c>
      <c r="AJ1067" t="s">
        <v>17</v>
      </c>
      <c r="AK1067" t="s">
        <v>18</v>
      </c>
      <c r="AL1067" t="s">
        <v>148</v>
      </c>
      <c r="AM1067" t="s">
        <v>508</v>
      </c>
      <c r="AN1067" t="s">
        <v>0</v>
      </c>
      <c r="AO1067" t="s">
        <v>0</v>
      </c>
      <c r="AP1067" t="s">
        <v>0</v>
      </c>
      <c r="AQ1067" s="5">
        <v>1</v>
      </c>
      <c r="AR1067" t="s">
        <v>147</v>
      </c>
      <c r="AS1067" t="s">
        <v>0</v>
      </c>
      <c r="AT1067" t="s">
        <v>17</v>
      </c>
      <c r="AU1067" s="4">
        <v>0</v>
      </c>
      <c r="AV1067" s="4">
        <v>0</v>
      </c>
      <c r="AW1067" s="4">
        <v>0</v>
      </c>
      <c r="AX1067" s="4">
        <v>0</v>
      </c>
      <c r="AY1067" s="5">
        <v>0</v>
      </c>
      <c r="AZ1067" s="5">
        <v>0</v>
      </c>
      <c r="BA1067" s="5">
        <v>0</v>
      </c>
      <c r="BB1067" s="2"/>
      <c r="BC1067" t="s">
        <v>0</v>
      </c>
      <c r="BD1067" s="5">
        <v>1</v>
      </c>
      <c r="BE1067" t="s">
        <v>0</v>
      </c>
      <c r="BF1067" t="s">
        <v>512</v>
      </c>
      <c r="BG1067" t="s">
        <v>17</v>
      </c>
      <c r="BH1067" t="s">
        <v>0</v>
      </c>
      <c r="BI1067" t="s">
        <v>147</v>
      </c>
      <c r="BJ1067" t="s">
        <v>0</v>
      </c>
      <c r="BK1067" t="s">
        <v>0</v>
      </c>
      <c r="BL1067" s="5">
        <v>0</v>
      </c>
      <c r="BM1067" t="s">
        <v>0</v>
      </c>
      <c r="BN1067" t="s">
        <v>0</v>
      </c>
      <c r="BO1067" t="s">
        <v>0</v>
      </c>
      <c r="BP1067" t="s">
        <v>17</v>
      </c>
      <c r="BQ1067" t="s">
        <v>0</v>
      </c>
      <c r="BR1067" t="s">
        <v>17</v>
      </c>
      <c r="BS1067" t="s">
        <v>17</v>
      </c>
      <c r="BT1067" t="s">
        <v>0</v>
      </c>
      <c r="BU1067" t="s">
        <v>0</v>
      </c>
      <c r="BV1067" t="s">
        <v>0</v>
      </c>
      <c r="BW1067" t="s">
        <v>0</v>
      </c>
      <c r="BX1067" t="s">
        <v>0</v>
      </c>
      <c r="BY1067" t="s">
        <v>0</v>
      </c>
      <c r="BZ1067" t="s">
        <v>0</v>
      </c>
      <c r="CA1067" t="s">
        <v>0</v>
      </c>
      <c r="CB1067" t="s">
        <v>0</v>
      </c>
    </row>
    <row r="1068" spans="1:80" x14ac:dyDescent="0.25">
      <c r="A1068" t="s">
        <v>504</v>
      </c>
      <c r="B1068" s="2">
        <v>46180</v>
      </c>
      <c r="C1068" s="2"/>
      <c r="D1068" s="2"/>
      <c r="E1068" t="s">
        <v>2</v>
      </c>
      <c r="F1068" t="s">
        <v>89</v>
      </c>
      <c r="G1068" t="s">
        <v>0</v>
      </c>
      <c r="H1068" t="s">
        <v>4</v>
      </c>
      <c r="I1068" t="s">
        <v>505</v>
      </c>
      <c r="J1068" t="s">
        <v>6</v>
      </c>
      <c r="K1068" t="s">
        <v>218</v>
      </c>
      <c r="L1068" t="s">
        <v>506</v>
      </c>
      <c r="M1068" t="s">
        <v>513</v>
      </c>
      <c r="N1068" t="s">
        <v>10</v>
      </c>
      <c r="O1068" t="s">
        <v>0</v>
      </c>
      <c r="P1068" t="s">
        <v>147</v>
      </c>
      <c r="Q1068" s="5">
        <v>3</v>
      </c>
      <c r="R1068" s="4">
        <v>2784.24</v>
      </c>
      <c r="S1068" s="5">
        <v>1</v>
      </c>
      <c r="T1068" s="4">
        <v>8352.7199999999993</v>
      </c>
      <c r="U1068" s="5">
        <v>3</v>
      </c>
      <c r="V1068" s="4">
        <v>8352.7199999999993</v>
      </c>
      <c r="W1068" s="5">
        <v>3</v>
      </c>
      <c r="X1068" s="4">
        <v>8352.7199999999993</v>
      </c>
      <c r="Y1068" s="4">
        <f t="shared" si="32"/>
        <v>0</v>
      </c>
      <c r="Z1068" t="s">
        <v>0</v>
      </c>
      <c r="AA1068" t="s">
        <v>2</v>
      </c>
      <c r="AB1068" t="s">
        <v>12</v>
      </c>
      <c r="AC1068">
        <f>_xlfn.XLOOKUP(AB1068,'[1]GST Codes'!$A:$A,'[1]GST Codes'!$C:$C,0,0)</f>
        <v>18</v>
      </c>
      <c r="AD1068">
        <f t="shared" si="33"/>
        <v>0</v>
      </c>
      <c r="AE1068" t="s">
        <v>13</v>
      </c>
      <c r="AF1068" t="s">
        <v>0</v>
      </c>
      <c r="AG1068" t="s">
        <v>14</v>
      </c>
      <c r="AH1068" t="s">
        <v>15</v>
      </c>
      <c r="AI1068" t="s">
        <v>96</v>
      </c>
      <c r="AJ1068" t="s">
        <v>17</v>
      </c>
      <c r="AK1068" t="s">
        <v>18</v>
      </c>
      <c r="AL1068" t="s">
        <v>148</v>
      </c>
      <c r="AM1068" t="s">
        <v>508</v>
      </c>
      <c r="AN1068" t="s">
        <v>0</v>
      </c>
      <c r="AO1068" t="s">
        <v>0</v>
      </c>
      <c r="AP1068" t="s">
        <v>0</v>
      </c>
      <c r="AQ1068" s="5">
        <v>3</v>
      </c>
      <c r="AR1068" t="s">
        <v>147</v>
      </c>
      <c r="AS1068" t="s">
        <v>0</v>
      </c>
      <c r="AT1068" t="s">
        <v>17</v>
      </c>
      <c r="AU1068" s="4">
        <v>0</v>
      </c>
      <c r="AV1068" s="4">
        <v>0</v>
      </c>
      <c r="AW1068" s="4">
        <v>0</v>
      </c>
      <c r="AX1068" s="4">
        <v>0</v>
      </c>
      <c r="AY1068" s="5">
        <v>0</v>
      </c>
      <c r="AZ1068" s="5">
        <v>0</v>
      </c>
      <c r="BA1068" s="5">
        <v>0</v>
      </c>
      <c r="BB1068" s="2"/>
      <c r="BC1068" t="s">
        <v>0</v>
      </c>
      <c r="BD1068" s="5">
        <v>1</v>
      </c>
      <c r="BE1068" t="s">
        <v>0</v>
      </c>
      <c r="BF1068" t="s">
        <v>509</v>
      </c>
      <c r="BG1068" t="s">
        <v>17</v>
      </c>
      <c r="BH1068" t="s">
        <v>0</v>
      </c>
      <c r="BI1068" t="s">
        <v>147</v>
      </c>
      <c r="BJ1068" t="s">
        <v>0</v>
      </c>
      <c r="BK1068" t="s">
        <v>0</v>
      </c>
      <c r="BL1068" s="5">
        <v>0</v>
      </c>
      <c r="BM1068" t="s">
        <v>0</v>
      </c>
      <c r="BN1068" t="s">
        <v>0</v>
      </c>
      <c r="BO1068" t="s">
        <v>0</v>
      </c>
      <c r="BP1068" t="s">
        <v>17</v>
      </c>
      <c r="BQ1068" t="s">
        <v>0</v>
      </c>
      <c r="BR1068" t="s">
        <v>17</v>
      </c>
      <c r="BS1068" t="s">
        <v>17</v>
      </c>
      <c r="BT1068" t="s">
        <v>0</v>
      </c>
      <c r="BU1068" t="s">
        <v>0</v>
      </c>
      <c r="BV1068" t="s">
        <v>0</v>
      </c>
      <c r="BW1068" t="s">
        <v>0</v>
      </c>
      <c r="BX1068" t="s">
        <v>0</v>
      </c>
      <c r="BY1068" t="s">
        <v>0</v>
      </c>
      <c r="BZ1068" t="s">
        <v>0</v>
      </c>
      <c r="CA1068" t="s">
        <v>0</v>
      </c>
      <c r="CB1068" t="s">
        <v>0</v>
      </c>
    </row>
    <row r="1069" spans="1:80" x14ac:dyDescent="0.25">
      <c r="A1069" t="s">
        <v>504</v>
      </c>
      <c r="B1069" s="2">
        <v>46180</v>
      </c>
      <c r="C1069" s="2"/>
      <c r="D1069" s="2"/>
      <c r="E1069" t="s">
        <v>2</v>
      </c>
      <c r="F1069" t="s">
        <v>89</v>
      </c>
      <c r="G1069" t="s">
        <v>0</v>
      </c>
      <c r="H1069" t="s">
        <v>4</v>
      </c>
      <c r="I1069" t="s">
        <v>505</v>
      </c>
      <c r="J1069" t="s">
        <v>6</v>
      </c>
      <c r="K1069" t="s">
        <v>219</v>
      </c>
      <c r="L1069" t="s">
        <v>514</v>
      </c>
      <c r="M1069" t="s">
        <v>515</v>
      </c>
      <c r="N1069" t="s">
        <v>10</v>
      </c>
      <c r="O1069" t="s">
        <v>0</v>
      </c>
      <c r="P1069" t="s">
        <v>147</v>
      </c>
      <c r="Q1069" s="5">
        <v>3</v>
      </c>
      <c r="R1069" s="4">
        <v>1000</v>
      </c>
      <c r="S1069" s="5">
        <v>1</v>
      </c>
      <c r="T1069" s="4">
        <v>3000</v>
      </c>
      <c r="U1069" s="5">
        <v>3</v>
      </c>
      <c r="V1069" s="4">
        <v>3000</v>
      </c>
      <c r="W1069" s="5">
        <v>3</v>
      </c>
      <c r="X1069" s="4">
        <v>3000</v>
      </c>
      <c r="Y1069" s="4">
        <f t="shared" si="32"/>
        <v>0</v>
      </c>
      <c r="Z1069" t="s">
        <v>0</v>
      </c>
      <c r="AA1069" t="s">
        <v>2</v>
      </c>
      <c r="AB1069" t="s">
        <v>12</v>
      </c>
      <c r="AC1069">
        <f>_xlfn.XLOOKUP(AB1069,'[1]GST Codes'!$A:$A,'[1]GST Codes'!$C:$C,0,0)</f>
        <v>18</v>
      </c>
      <c r="AD1069">
        <f t="shared" si="33"/>
        <v>0</v>
      </c>
      <c r="AE1069" t="s">
        <v>13</v>
      </c>
      <c r="AF1069" t="s">
        <v>0</v>
      </c>
      <c r="AG1069" t="s">
        <v>14</v>
      </c>
      <c r="AH1069" t="s">
        <v>15</v>
      </c>
      <c r="AI1069" t="s">
        <v>96</v>
      </c>
      <c r="AJ1069" t="s">
        <v>17</v>
      </c>
      <c r="AK1069" t="s">
        <v>18</v>
      </c>
      <c r="AL1069" t="s">
        <v>148</v>
      </c>
      <c r="AM1069" t="s">
        <v>508</v>
      </c>
      <c r="AN1069" t="s">
        <v>0</v>
      </c>
      <c r="AO1069" t="s">
        <v>0</v>
      </c>
      <c r="AP1069" t="s">
        <v>0</v>
      </c>
      <c r="AQ1069" s="5">
        <v>3</v>
      </c>
      <c r="AR1069" t="s">
        <v>147</v>
      </c>
      <c r="AS1069" t="s">
        <v>0</v>
      </c>
      <c r="AT1069" t="s">
        <v>17</v>
      </c>
      <c r="AU1069" s="4">
        <v>0</v>
      </c>
      <c r="AV1069" s="4">
        <v>0</v>
      </c>
      <c r="AW1069" s="4">
        <v>0</v>
      </c>
      <c r="AX1069" s="4">
        <v>0</v>
      </c>
      <c r="AY1069" s="5">
        <v>0</v>
      </c>
      <c r="AZ1069" s="5">
        <v>0</v>
      </c>
      <c r="BA1069" s="5">
        <v>0</v>
      </c>
      <c r="BB1069" s="2"/>
      <c r="BC1069" t="s">
        <v>0</v>
      </c>
      <c r="BD1069" s="5">
        <v>1</v>
      </c>
      <c r="BE1069" t="s">
        <v>0</v>
      </c>
      <c r="BF1069" t="s">
        <v>516</v>
      </c>
      <c r="BG1069" t="s">
        <v>17</v>
      </c>
      <c r="BH1069" t="s">
        <v>0</v>
      </c>
      <c r="BI1069" t="s">
        <v>147</v>
      </c>
      <c r="BJ1069" t="s">
        <v>0</v>
      </c>
      <c r="BK1069" t="s">
        <v>0</v>
      </c>
      <c r="BL1069" s="5">
        <v>0</v>
      </c>
      <c r="BM1069" t="s">
        <v>0</v>
      </c>
      <c r="BN1069" t="s">
        <v>0</v>
      </c>
      <c r="BO1069" t="s">
        <v>0</v>
      </c>
      <c r="BP1069" t="s">
        <v>17</v>
      </c>
      <c r="BQ1069" t="s">
        <v>0</v>
      </c>
      <c r="BR1069" t="s">
        <v>17</v>
      </c>
      <c r="BS1069" t="s">
        <v>17</v>
      </c>
      <c r="BT1069" t="s">
        <v>0</v>
      </c>
      <c r="BU1069" t="s">
        <v>0</v>
      </c>
      <c r="BV1069" t="s">
        <v>0</v>
      </c>
      <c r="BW1069" t="s">
        <v>0</v>
      </c>
      <c r="BX1069" t="s">
        <v>0</v>
      </c>
      <c r="BY1069" t="s">
        <v>0</v>
      </c>
      <c r="BZ1069" t="s">
        <v>0</v>
      </c>
      <c r="CA1069" t="s">
        <v>0</v>
      </c>
      <c r="CB1069" t="s">
        <v>0</v>
      </c>
    </row>
    <row r="1070" spans="1:80" x14ac:dyDescent="0.25">
      <c r="A1070" t="s">
        <v>504</v>
      </c>
      <c r="B1070" s="2">
        <v>46180</v>
      </c>
      <c r="C1070" s="2"/>
      <c r="D1070" s="2"/>
      <c r="E1070" t="s">
        <v>2</v>
      </c>
      <c r="F1070" t="s">
        <v>89</v>
      </c>
      <c r="G1070" t="s">
        <v>0</v>
      </c>
      <c r="H1070" t="s">
        <v>4</v>
      </c>
      <c r="I1070" t="s">
        <v>505</v>
      </c>
      <c r="J1070" t="s">
        <v>6</v>
      </c>
      <c r="K1070" t="s">
        <v>223</v>
      </c>
      <c r="L1070" t="s">
        <v>517</v>
      </c>
      <c r="M1070" t="s">
        <v>518</v>
      </c>
      <c r="N1070" t="s">
        <v>10</v>
      </c>
      <c r="O1070" t="s">
        <v>0</v>
      </c>
      <c r="P1070" t="s">
        <v>147</v>
      </c>
      <c r="Q1070" s="5">
        <v>1</v>
      </c>
      <c r="R1070" s="4">
        <v>5057.1000000000004</v>
      </c>
      <c r="S1070" s="5">
        <v>1</v>
      </c>
      <c r="T1070" s="4">
        <v>5057.1000000000004</v>
      </c>
      <c r="U1070" s="5">
        <v>1</v>
      </c>
      <c r="V1070" s="4">
        <v>5057.1000000000004</v>
      </c>
      <c r="W1070" s="5">
        <v>1</v>
      </c>
      <c r="X1070" s="4">
        <v>5057.1000000000004</v>
      </c>
      <c r="Y1070" s="4">
        <f t="shared" si="32"/>
        <v>0</v>
      </c>
      <c r="Z1070" t="s">
        <v>0</v>
      </c>
      <c r="AA1070" t="s">
        <v>2</v>
      </c>
      <c r="AB1070" t="s">
        <v>12</v>
      </c>
      <c r="AC1070">
        <f>_xlfn.XLOOKUP(AB1070,'[1]GST Codes'!$A:$A,'[1]GST Codes'!$C:$C,0,0)</f>
        <v>18</v>
      </c>
      <c r="AD1070">
        <f t="shared" si="33"/>
        <v>0</v>
      </c>
      <c r="AE1070" t="s">
        <v>13</v>
      </c>
      <c r="AF1070" t="s">
        <v>0</v>
      </c>
      <c r="AG1070" t="s">
        <v>14</v>
      </c>
      <c r="AH1070" t="s">
        <v>15</v>
      </c>
      <c r="AI1070" t="s">
        <v>96</v>
      </c>
      <c r="AJ1070" t="s">
        <v>17</v>
      </c>
      <c r="AK1070" t="s">
        <v>18</v>
      </c>
      <c r="AL1070" t="s">
        <v>148</v>
      </c>
      <c r="AM1070" t="s">
        <v>508</v>
      </c>
      <c r="AN1070" t="s">
        <v>0</v>
      </c>
      <c r="AO1070" t="s">
        <v>0</v>
      </c>
      <c r="AP1070" t="s">
        <v>0</v>
      </c>
      <c r="AQ1070" s="5">
        <v>1</v>
      </c>
      <c r="AR1070" t="s">
        <v>147</v>
      </c>
      <c r="AS1070" t="s">
        <v>0</v>
      </c>
      <c r="AT1070" t="s">
        <v>17</v>
      </c>
      <c r="AU1070" s="4">
        <v>0</v>
      </c>
      <c r="AV1070" s="4">
        <v>0</v>
      </c>
      <c r="AW1070" s="4">
        <v>0</v>
      </c>
      <c r="AX1070" s="4">
        <v>0</v>
      </c>
      <c r="AY1070" s="5">
        <v>0</v>
      </c>
      <c r="AZ1070" s="5">
        <v>0</v>
      </c>
      <c r="BA1070" s="5">
        <v>0</v>
      </c>
      <c r="BB1070" s="2"/>
      <c r="BC1070" t="s">
        <v>0</v>
      </c>
      <c r="BD1070" s="5">
        <v>1</v>
      </c>
      <c r="BE1070" t="s">
        <v>0</v>
      </c>
      <c r="BF1070" t="s">
        <v>519</v>
      </c>
      <c r="BG1070" t="s">
        <v>17</v>
      </c>
      <c r="BH1070" t="s">
        <v>0</v>
      </c>
      <c r="BI1070" t="s">
        <v>147</v>
      </c>
      <c r="BJ1070" t="s">
        <v>0</v>
      </c>
      <c r="BK1070" t="s">
        <v>0</v>
      </c>
      <c r="BL1070" s="5">
        <v>0</v>
      </c>
      <c r="BM1070" t="s">
        <v>0</v>
      </c>
      <c r="BN1070" t="s">
        <v>0</v>
      </c>
      <c r="BO1070" t="s">
        <v>0</v>
      </c>
      <c r="BP1070" t="s">
        <v>17</v>
      </c>
      <c r="BQ1070" t="s">
        <v>0</v>
      </c>
      <c r="BR1070" t="s">
        <v>17</v>
      </c>
      <c r="BS1070" t="s">
        <v>17</v>
      </c>
      <c r="BT1070" t="s">
        <v>0</v>
      </c>
      <c r="BU1070" t="s">
        <v>0</v>
      </c>
      <c r="BV1070" t="s">
        <v>0</v>
      </c>
      <c r="BW1070" t="s">
        <v>0</v>
      </c>
      <c r="BX1070" t="s">
        <v>0</v>
      </c>
      <c r="BY1070" t="s">
        <v>0</v>
      </c>
      <c r="BZ1070" t="s">
        <v>0</v>
      </c>
      <c r="CA1070" t="s">
        <v>0</v>
      </c>
      <c r="CB1070" t="s">
        <v>0</v>
      </c>
    </row>
    <row r="1071" spans="1:80" x14ac:dyDescent="0.25">
      <c r="A1071" t="s">
        <v>504</v>
      </c>
      <c r="B1071" s="2">
        <v>46180</v>
      </c>
      <c r="C1071" s="2"/>
      <c r="D1071" s="2"/>
      <c r="E1071" t="s">
        <v>2</v>
      </c>
      <c r="F1071" t="s">
        <v>89</v>
      </c>
      <c r="G1071" t="s">
        <v>0</v>
      </c>
      <c r="H1071" t="s">
        <v>4</v>
      </c>
      <c r="I1071" t="s">
        <v>505</v>
      </c>
      <c r="J1071" t="s">
        <v>6</v>
      </c>
      <c r="K1071" t="s">
        <v>224</v>
      </c>
      <c r="L1071" t="s">
        <v>506</v>
      </c>
      <c r="M1071" t="s">
        <v>513</v>
      </c>
      <c r="N1071" t="s">
        <v>10</v>
      </c>
      <c r="O1071" t="s">
        <v>0</v>
      </c>
      <c r="P1071" t="s">
        <v>147</v>
      </c>
      <c r="Q1071" s="5">
        <v>6</v>
      </c>
      <c r="R1071" s="4">
        <v>2729.7</v>
      </c>
      <c r="S1071" s="5">
        <v>1</v>
      </c>
      <c r="T1071" s="4">
        <v>16378.2</v>
      </c>
      <c r="U1071" s="5">
        <v>6</v>
      </c>
      <c r="V1071" s="4">
        <v>16378.2</v>
      </c>
      <c r="W1071" s="5">
        <v>6</v>
      </c>
      <c r="X1071" s="4">
        <v>16378.2</v>
      </c>
      <c r="Y1071" s="4">
        <f t="shared" si="32"/>
        <v>0</v>
      </c>
      <c r="Z1071" t="s">
        <v>0</v>
      </c>
      <c r="AA1071" t="s">
        <v>2</v>
      </c>
      <c r="AB1071" t="s">
        <v>12</v>
      </c>
      <c r="AC1071">
        <f>_xlfn.XLOOKUP(AB1071,'[1]GST Codes'!$A:$A,'[1]GST Codes'!$C:$C,0,0)</f>
        <v>18</v>
      </c>
      <c r="AD1071">
        <f t="shared" si="33"/>
        <v>0</v>
      </c>
      <c r="AE1071" t="s">
        <v>13</v>
      </c>
      <c r="AF1071" t="s">
        <v>0</v>
      </c>
      <c r="AG1071" t="s">
        <v>14</v>
      </c>
      <c r="AH1071" t="s">
        <v>15</v>
      </c>
      <c r="AI1071" t="s">
        <v>96</v>
      </c>
      <c r="AJ1071" t="s">
        <v>17</v>
      </c>
      <c r="AK1071" t="s">
        <v>18</v>
      </c>
      <c r="AL1071" t="s">
        <v>148</v>
      </c>
      <c r="AM1071" t="s">
        <v>508</v>
      </c>
      <c r="AN1071" t="s">
        <v>0</v>
      </c>
      <c r="AO1071" t="s">
        <v>0</v>
      </c>
      <c r="AP1071" t="s">
        <v>0</v>
      </c>
      <c r="AQ1071" s="5">
        <v>6</v>
      </c>
      <c r="AR1071" t="s">
        <v>147</v>
      </c>
      <c r="AS1071" t="s">
        <v>0</v>
      </c>
      <c r="AT1071" t="s">
        <v>17</v>
      </c>
      <c r="AU1071" s="4">
        <v>0</v>
      </c>
      <c r="AV1071" s="4">
        <v>0</v>
      </c>
      <c r="AW1071" s="4">
        <v>0</v>
      </c>
      <c r="AX1071" s="4">
        <v>0</v>
      </c>
      <c r="AY1071" s="5">
        <v>0</v>
      </c>
      <c r="AZ1071" s="5">
        <v>0</v>
      </c>
      <c r="BA1071" s="5">
        <v>0</v>
      </c>
      <c r="BB1071" s="2"/>
      <c r="BC1071" t="s">
        <v>0</v>
      </c>
      <c r="BD1071" s="5">
        <v>1</v>
      </c>
      <c r="BE1071" t="s">
        <v>0</v>
      </c>
      <c r="BF1071" t="s">
        <v>509</v>
      </c>
      <c r="BG1071" t="s">
        <v>17</v>
      </c>
      <c r="BH1071" t="s">
        <v>0</v>
      </c>
      <c r="BI1071" t="s">
        <v>147</v>
      </c>
      <c r="BJ1071" t="s">
        <v>0</v>
      </c>
      <c r="BK1071" t="s">
        <v>0</v>
      </c>
      <c r="BL1071" s="5">
        <v>0</v>
      </c>
      <c r="BM1071" t="s">
        <v>0</v>
      </c>
      <c r="BN1071" t="s">
        <v>0</v>
      </c>
      <c r="BO1071" t="s">
        <v>0</v>
      </c>
      <c r="BP1071" t="s">
        <v>17</v>
      </c>
      <c r="BQ1071" t="s">
        <v>0</v>
      </c>
      <c r="BR1071" t="s">
        <v>17</v>
      </c>
      <c r="BS1071" t="s">
        <v>17</v>
      </c>
      <c r="BT1071" t="s">
        <v>0</v>
      </c>
      <c r="BU1071" t="s">
        <v>0</v>
      </c>
      <c r="BV1071" t="s">
        <v>0</v>
      </c>
      <c r="BW1071" t="s">
        <v>0</v>
      </c>
      <c r="BX1071" t="s">
        <v>0</v>
      </c>
      <c r="BY1071" t="s">
        <v>0</v>
      </c>
      <c r="BZ1071" t="s">
        <v>0</v>
      </c>
      <c r="CA1071" t="s">
        <v>0</v>
      </c>
      <c r="CB1071" t="s">
        <v>0</v>
      </c>
    </row>
    <row r="1072" spans="1:80" x14ac:dyDescent="0.25">
      <c r="A1072" t="s">
        <v>504</v>
      </c>
      <c r="B1072" s="2">
        <v>46180</v>
      </c>
      <c r="C1072" s="2"/>
      <c r="D1072" s="2"/>
      <c r="E1072" t="s">
        <v>2</v>
      </c>
      <c r="F1072" t="s">
        <v>89</v>
      </c>
      <c r="G1072" t="s">
        <v>0</v>
      </c>
      <c r="H1072" t="s">
        <v>4</v>
      </c>
      <c r="I1072" t="s">
        <v>505</v>
      </c>
      <c r="J1072" t="s">
        <v>6</v>
      </c>
      <c r="K1072" t="s">
        <v>225</v>
      </c>
      <c r="L1072" t="s">
        <v>510</v>
      </c>
      <c r="M1072" t="s">
        <v>511</v>
      </c>
      <c r="N1072" t="s">
        <v>10</v>
      </c>
      <c r="O1072" t="s">
        <v>0</v>
      </c>
      <c r="P1072" t="s">
        <v>147</v>
      </c>
      <c r="Q1072" s="5">
        <v>1</v>
      </c>
      <c r="R1072" s="4">
        <v>2299.3200000000002</v>
      </c>
      <c r="S1072" s="5">
        <v>1</v>
      </c>
      <c r="T1072" s="4">
        <v>2299.3200000000002</v>
      </c>
      <c r="U1072" s="5">
        <v>1</v>
      </c>
      <c r="V1072" s="4">
        <v>2299.3200000000002</v>
      </c>
      <c r="W1072" s="5">
        <v>1</v>
      </c>
      <c r="X1072" s="4">
        <v>2299.3200000000002</v>
      </c>
      <c r="Y1072" s="4">
        <f t="shared" si="32"/>
        <v>0</v>
      </c>
      <c r="Z1072" t="s">
        <v>0</v>
      </c>
      <c r="AA1072" t="s">
        <v>2</v>
      </c>
      <c r="AB1072" t="s">
        <v>12</v>
      </c>
      <c r="AC1072">
        <f>_xlfn.XLOOKUP(AB1072,'[1]GST Codes'!$A:$A,'[1]GST Codes'!$C:$C,0,0)</f>
        <v>18</v>
      </c>
      <c r="AD1072">
        <f t="shared" si="33"/>
        <v>0</v>
      </c>
      <c r="AE1072" t="s">
        <v>13</v>
      </c>
      <c r="AF1072" t="s">
        <v>0</v>
      </c>
      <c r="AG1072" t="s">
        <v>14</v>
      </c>
      <c r="AH1072" t="s">
        <v>15</v>
      </c>
      <c r="AI1072" t="s">
        <v>96</v>
      </c>
      <c r="AJ1072" t="s">
        <v>17</v>
      </c>
      <c r="AK1072" t="s">
        <v>18</v>
      </c>
      <c r="AL1072" t="s">
        <v>148</v>
      </c>
      <c r="AM1072" t="s">
        <v>508</v>
      </c>
      <c r="AN1072" t="s">
        <v>0</v>
      </c>
      <c r="AO1072" t="s">
        <v>0</v>
      </c>
      <c r="AP1072" t="s">
        <v>0</v>
      </c>
      <c r="AQ1072" s="5">
        <v>1</v>
      </c>
      <c r="AR1072" t="s">
        <v>147</v>
      </c>
      <c r="AS1072" t="s">
        <v>0</v>
      </c>
      <c r="AT1072" t="s">
        <v>17</v>
      </c>
      <c r="AU1072" s="4">
        <v>0</v>
      </c>
      <c r="AV1072" s="4">
        <v>0</v>
      </c>
      <c r="AW1072" s="4">
        <v>0</v>
      </c>
      <c r="AX1072" s="4">
        <v>0</v>
      </c>
      <c r="AY1072" s="5">
        <v>0</v>
      </c>
      <c r="AZ1072" s="5">
        <v>0</v>
      </c>
      <c r="BA1072" s="5">
        <v>0</v>
      </c>
      <c r="BB1072" s="2"/>
      <c r="BC1072" t="s">
        <v>0</v>
      </c>
      <c r="BD1072" s="5">
        <v>1</v>
      </c>
      <c r="BE1072" t="s">
        <v>0</v>
      </c>
      <c r="BF1072" t="s">
        <v>512</v>
      </c>
      <c r="BG1072" t="s">
        <v>17</v>
      </c>
      <c r="BH1072" t="s">
        <v>0</v>
      </c>
      <c r="BI1072" t="s">
        <v>147</v>
      </c>
      <c r="BJ1072" t="s">
        <v>0</v>
      </c>
      <c r="BK1072" t="s">
        <v>0</v>
      </c>
      <c r="BL1072" s="5">
        <v>0</v>
      </c>
      <c r="BM1072" t="s">
        <v>0</v>
      </c>
      <c r="BN1072" t="s">
        <v>0</v>
      </c>
      <c r="BO1072" t="s">
        <v>0</v>
      </c>
      <c r="BP1072" t="s">
        <v>17</v>
      </c>
      <c r="BQ1072" t="s">
        <v>0</v>
      </c>
      <c r="BR1072" t="s">
        <v>17</v>
      </c>
      <c r="BS1072" t="s">
        <v>17</v>
      </c>
      <c r="BT1072" t="s">
        <v>0</v>
      </c>
      <c r="BU1072" t="s">
        <v>0</v>
      </c>
      <c r="BV1072" t="s">
        <v>0</v>
      </c>
      <c r="BW1072" t="s">
        <v>0</v>
      </c>
      <c r="BX1072" t="s">
        <v>0</v>
      </c>
      <c r="BY1072" t="s">
        <v>0</v>
      </c>
      <c r="BZ1072" t="s">
        <v>0</v>
      </c>
      <c r="CA1072" t="s">
        <v>0</v>
      </c>
      <c r="CB1072" t="s">
        <v>0</v>
      </c>
    </row>
    <row r="1073" spans="1:80" x14ac:dyDescent="0.25">
      <c r="A1073" t="s">
        <v>504</v>
      </c>
      <c r="B1073" s="2">
        <v>46180</v>
      </c>
      <c r="C1073" s="2"/>
      <c r="D1073" s="2"/>
      <c r="E1073" t="s">
        <v>2</v>
      </c>
      <c r="F1073" t="s">
        <v>89</v>
      </c>
      <c r="G1073" t="s">
        <v>0</v>
      </c>
      <c r="H1073" t="s">
        <v>4</v>
      </c>
      <c r="I1073" t="s">
        <v>505</v>
      </c>
      <c r="J1073" t="s">
        <v>6</v>
      </c>
      <c r="K1073" t="s">
        <v>226</v>
      </c>
      <c r="L1073" t="s">
        <v>506</v>
      </c>
      <c r="M1073" t="s">
        <v>513</v>
      </c>
      <c r="N1073" t="s">
        <v>10</v>
      </c>
      <c r="O1073" t="s">
        <v>0</v>
      </c>
      <c r="P1073" t="s">
        <v>147</v>
      </c>
      <c r="Q1073" s="5">
        <v>3</v>
      </c>
      <c r="R1073" s="4">
        <v>2729.7</v>
      </c>
      <c r="S1073" s="5">
        <v>1</v>
      </c>
      <c r="T1073" s="4">
        <v>8189.1</v>
      </c>
      <c r="U1073" s="5">
        <v>3</v>
      </c>
      <c r="V1073" s="4">
        <v>8189.1</v>
      </c>
      <c r="W1073" s="5">
        <v>3</v>
      </c>
      <c r="X1073" s="4">
        <v>8189.1</v>
      </c>
      <c r="Y1073" s="4">
        <f t="shared" si="32"/>
        <v>0</v>
      </c>
      <c r="Z1073" t="s">
        <v>0</v>
      </c>
      <c r="AA1073" t="s">
        <v>2</v>
      </c>
      <c r="AB1073" t="s">
        <v>12</v>
      </c>
      <c r="AC1073">
        <f>_xlfn.XLOOKUP(AB1073,'[1]GST Codes'!$A:$A,'[1]GST Codes'!$C:$C,0,0)</f>
        <v>18</v>
      </c>
      <c r="AD1073">
        <f t="shared" si="33"/>
        <v>0</v>
      </c>
      <c r="AE1073" t="s">
        <v>13</v>
      </c>
      <c r="AF1073" t="s">
        <v>0</v>
      </c>
      <c r="AG1073" t="s">
        <v>14</v>
      </c>
      <c r="AH1073" t="s">
        <v>15</v>
      </c>
      <c r="AI1073" t="s">
        <v>96</v>
      </c>
      <c r="AJ1073" t="s">
        <v>17</v>
      </c>
      <c r="AK1073" t="s">
        <v>18</v>
      </c>
      <c r="AL1073" t="s">
        <v>148</v>
      </c>
      <c r="AM1073" t="s">
        <v>508</v>
      </c>
      <c r="AN1073" t="s">
        <v>0</v>
      </c>
      <c r="AO1073" t="s">
        <v>0</v>
      </c>
      <c r="AP1073" t="s">
        <v>0</v>
      </c>
      <c r="AQ1073" s="5">
        <v>3</v>
      </c>
      <c r="AR1073" t="s">
        <v>147</v>
      </c>
      <c r="AS1073" t="s">
        <v>0</v>
      </c>
      <c r="AT1073" t="s">
        <v>17</v>
      </c>
      <c r="AU1073" s="4">
        <v>0</v>
      </c>
      <c r="AV1073" s="4">
        <v>0</v>
      </c>
      <c r="AW1073" s="4">
        <v>0</v>
      </c>
      <c r="AX1073" s="4">
        <v>0</v>
      </c>
      <c r="AY1073" s="5">
        <v>0</v>
      </c>
      <c r="AZ1073" s="5">
        <v>0</v>
      </c>
      <c r="BA1073" s="5">
        <v>0</v>
      </c>
      <c r="BB1073" s="2"/>
      <c r="BC1073" t="s">
        <v>0</v>
      </c>
      <c r="BD1073" s="5">
        <v>1</v>
      </c>
      <c r="BE1073" t="s">
        <v>0</v>
      </c>
      <c r="BF1073" t="s">
        <v>509</v>
      </c>
      <c r="BG1073" t="s">
        <v>17</v>
      </c>
      <c r="BH1073" t="s">
        <v>0</v>
      </c>
      <c r="BI1073" t="s">
        <v>147</v>
      </c>
      <c r="BJ1073" t="s">
        <v>0</v>
      </c>
      <c r="BK1073" t="s">
        <v>0</v>
      </c>
      <c r="BL1073" s="5">
        <v>0</v>
      </c>
      <c r="BM1073" t="s">
        <v>0</v>
      </c>
      <c r="BN1073" t="s">
        <v>0</v>
      </c>
      <c r="BO1073" t="s">
        <v>0</v>
      </c>
      <c r="BP1073" t="s">
        <v>17</v>
      </c>
      <c r="BQ1073" t="s">
        <v>0</v>
      </c>
      <c r="BR1073" t="s">
        <v>17</v>
      </c>
      <c r="BS1073" t="s">
        <v>17</v>
      </c>
      <c r="BT1073" t="s">
        <v>0</v>
      </c>
      <c r="BU1073" t="s">
        <v>0</v>
      </c>
      <c r="BV1073" t="s">
        <v>0</v>
      </c>
      <c r="BW1073" t="s">
        <v>0</v>
      </c>
      <c r="BX1073" t="s">
        <v>0</v>
      </c>
      <c r="BY1073" t="s">
        <v>0</v>
      </c>
      <c r="BZ1073" t="s">
        <v>0</v>
      </c>
      <c r="CA1073" t="s">
        <v>0</v>
      </c>
      <c r="CB1073" t="s">
        <v>0</v>
      </c>
    </row>
    <row r="1074" spans="1:80" x14ac:dyDescent="0.25">
      <c r="A1074" t="s">
        <v>504</v>
      </c>
      <c r="B1074" s="2">
        <v>46180</v>
      </c>
      <c r="C1074" s="2"/>
      <c r="D1074" s="2"/>
      <c r="E1074" t="s">
        <v>2</v>
      </c>
      <c r="F1074" t="s">
        <v>89</v>
      </c>
      <c r="G1074" t="s">
        <v>0</v>
      </c>
      <c r="H1074" t="s">
        <v>4</v>
      </c>
      <c r="I1074" t="s">
        <v>505</v>
      </c>
      <c r="J1074" t="s">
        <v>6</v>
      </c>
      <c r="K1074" t="s">
        <v>227</v>
      </c>
      <c r="L1074" t="s">
        <v>514</v>
      </c>
      <c r="M1074" t="s">
        <v>515</v>
      </c>
      <c r="N1074" t="s">
        <v>10</v>
      </c>
      <c r="O1074" t="s">
        <v>0</v>
      </c>
      <c r="P1074" t="s">
        <v>147</v>
      </c>
      <c r="Q1074" s="5">
        <v>3</v>
      </c>
      <c r="R1074" s="4">
        <v>1000</v>
      </c>
      <c r="S1074" s="5">
        <v>1</v>
      </c>
      <c r="T1074" s="4">
        <v>3000</v>
      </c>
      <c r="U1074" s="5">
        <v>3</v>
      </c>
      <c r="V1074" s="4">
        <v>3000</v>
      </c>
      <c r="W1074" s="5">
        <v>3</v>
      </c>
      <c r="X1074" s="4">
        <v>3000</v>
      </c>
      <c r="Y1074" s="4">
        <f t="shared" si="32"/>
        <v>0</v>
      </c>
      <c r="Z1074" t="s">
        <v>0</v>
      </c>
      <c r="AA1074" t="s">
        <v>2</v>
      </c>
      <c r="AB1074" t="s">
        <v>12</v>
      </c>
      <c r="AC1074">
        <f>_xlfn.XLOOKUP(AB1074,'[1]GST Codes'!$A:$A,'[1]GST Codes'!$C:$C,0,0)</f>
        <v>18</v>
      </c>
      <c r="AD1074">
        <f t="shared" si="33"/>
        <v>0</v>
      </c>
      <c r="AE1074" t="s">
        <v>13</v>
      </c>
      <c r="AF1074" t="s">
        <v>0</v>
      </c>
      <c r="AG1074" t="s">
        <v>14</v>
      </c>
      <c r="AH1074" t="s">
        <v>15</v>
      </c>
      <c r="AI1074" t="s">
        <v>96</v>
      </c>
      <c r="AJ1074" t="s">
        <v>17</v>
      </c>
      <c r="AK1074" t="s">
        <v>18</v>
      </c>
      <c r="AL1074" t="s">
        <v>148</v>
      </c>
      <c r="AM1074" t="s">
        <v>508</v>
      </c>
      <c r="AN1074" t="s">
        <v>0</v>
      </c>
      <c r="AO1074" t="s">
        <v>0</v>
      </c>
      <c r="AP1074" t="s">
        <v>0</v>
      </c>
      <c r="AQ1074" s="5">
        <v>3</v>
      </c>
      <c r="AR1074" t="s">
        <v>147</v>
      </c>
      <c r="AS1074" t="s">
        <v>0</v>
      </c>
      <c r="AT1074" t="s">
        <v>17</v>
      </c>
      <c r="AU1074" s="4">
        <v>0</v>
      </c>
      <c r="AV1074" s="4">
        <v>0</v>
      </c>
      <c r="AW1074" s="4">
        <v>0</v>
      </c>
      <c r="AX1074" s="4">
        <v>0</v>
      </c>
      <c r="AY1074" s="5">
        <v>0</v>
      </c>
      <c r="AZ1074" s="5">
        <v>0</v>
      </c>
      <c r="BA1074" s="5">
        <v>0</v>
      </c>
      <c r="BB1074" s="2"/>
      <c r="BC1074" t="s">
        <v>0</v>
      </c>
      <c r="BD1074" s="5">
        <v>1</v>
      </c>
      <c r="BE1074" t="s">
        <v>0</v>
      </c>
      <c r="BF1074" t="s">
        <v>516</v>
      </c>
      <c r="BG1074" t="s">
        <v>17</v>
      </c>
      <c r="BH1074" t="s">
        <v>0</v>
      </c>
      <c r="BI1074" t="s">
        <v>147</v>
      </c>
      <c r="BJ1074" t="s">
        <v>0</v>
      </c>
      <c r="BK1074" t="s">
        <v>0</v>
      </c>
      <c r="BL1074" s="5">
        <v>0</v>
      </c>
      <c r="BM1074" t="s">
        <v>0</v>
      </c>
      <c r="BN1074" t="s">
        <v>0</v>
      </c>
      <c r="BO1074" t="s">
        <v>0</v>
      </c>
      <c r="BP1074" t="s">
        <v>17</v>
      </c>
      <c r="BQ1074" t="s">
        <v>0</v>
      </c>
      <c r="BR1074" t="s">
        <v>17</v>
      </c>
      <c r="BS1074" t="s">
        <v>17</v>
      </c>
      <c r="BT1074" t="s">
        <v>0</v>
      </c>
      <c r="BU1074" t="s">
        <v>0</v>
      </c>
      <c r="BV1074" t="s">
        <v>0</v>
      </c>
      <c r="BW1074" t="s">
        <v>0</v>
      </c>
      <c r="BX1074" t="s">
        <v>0</v>
      </c>
      <c r="BY1074" t="s">
        <v>0</v>
      </c>
      <c r="BZ1074" t="s">
        <v>0</v>
      </c>
      <c r="CA1074" t="s">
        <v>0</v>
      </c>
      <c r="CB1074" t="s">
        <v>0</v>
      </c>
    </row>
    <row r="1075" spans="1:80" x14ac:dyDescent="0.25">
      <c r="A1075" t="s">
        <v>504</v>
      </c>
      <c r="B1075" s="2">
        <v>46180</v>
      </c>
      <c r="C1075" s="2"/>
      <c r="D1075" s="2"/>
      <c r="E1075" t="s">
        <v>2</v>
      </c>
      <c r="F1075" t="s">
        <v>89</v>
      </c>
      <c r="G1075" t="s">
        <v>0</v>
      </c>
      <c r="H1075" t="s">
        <v>4</v>
      </c>
      <c r="I1075" t="s">
        <v>505</v>
      </c>
      <c r="J1075" t="s">
        <v>6</v>
      </c>
      <c r="K1075" t="s">
        <v>228</v>
      </c>
      <c r="L1075" t="s">
        <v>517</v>
      </c>
      <c r="M1075" t="s">
        <v>518</v>
      </c>
      <c r="N1075" t="s">
        <v>10</v>
      </c>
      <c r="O1075" t="s">
        <v>0</v>
      </c>
      <c r="P1075" t="s">
        <v>147</v>
      </c>
      <c r="Q1075" s="5">
        <v>1</v>
      </c>
      <c r="R1075" s="4">
        <v>6617.7</v>
      </c>
      <c r="S1075" s="5">
        <v>1</v>
      </c>
      <c r="T1075" s="4">
        <v>6617.7</v>
      </c>
      <c r="U1075" s="5">
        <v>1</v>
      </c>
      <c r="V1075" s="4">
        <v>6617.7</v>
      </c>
      <c r="W1075" s="5">
        <v>1</v>
      </c>
      <c r="X1075" s="4">
        <v>6617.7</v>
      </c>
      <c r="Y1075" s="4">
        <f t="shared" si="32"/>
        <v>0</v>
      </c>
      <c r="Z1075" t="s">
        <v>0</v>
      </c>
      <c r="AA1075" t="s">
        <v>2</v>
      </c>
      <c r="AB1075" t="s">
        <v>12</v>
      </c>
      <c r="AC1075">
        <f>_xlfn.XLOOKUP(AB1075,'[1]GST Codes'!$A:$A,'[1]GST Codes'!$C:$C,0,0)</f>
        <v>18</v>
      </c>
      <c r="AD1075">
        <f t="shared" si="33"/>
        <v>0</v>
      </c>
      <c r="AE1075" t="s">
        <v>13</v>
      </c>
      <c r="AF1075" t="s">
        <v>0</v>
      </c>
      <c r="AG1075" t="s">
        <v>14</v>
      </c>
      <c r="AH1075" t="s">
        <v>15</v>
      </c>
      <c r="AI1075" t="s">
        <v>96</v>
      </c>
      <c r="AJ1075" t="s">
        <v>17</v>
      </c>
      <c r="AK1075" t="s">
        <v>18</v>
      </c>
      <c r="AL1075" t="s">
        <v>148</v>
      </c>
      <c r="AM1075" t="s">
        <v>508</v>
      </c>
      <c r="AN1075" t="s">
        <v>0</v>
      </c>
      <c r="AO1075" t="s">
        <v>0</v>
      </c>
      <c r="AP1075" t="s">
        <v>0</v>
      </c>
      <c r="AQ1075" s="5">
        <v>1</v>
      </c>
      <c r="AR1075" t="s">
        <v>147</v>
      </c>
      <c r="AS1075" t="s">
        <v>0</v>
      </c>
      <c r="AT1075" t="s">
        <v>17</v>
      </c>
      <c r="AU1075" s="4">
        <v>0</v>
      </c>
      <c r="AV1075" s="4">
        <v>0</v>
      </c>
      <c r="AW1075" s="4">
        <v>0</v>
      </c>
      <c r="AX1075" s="4">
        <v>0</v>
      </c>
      <c r="AY1075" s="5">
        <v>0</v>
      </c>
      <c r="AZ1075" s="5">
        <v>0</v>
      </c>
      <c r="BA1075" s="5">
        <v>0</v>
      </c>
      <c r="BB1075" s="2"/>
      <c r="BC1075" t="s">
        <v>0</v>
      </c>
      <c r="BD1075" s="5">
        <v>1</v>
      </c>
      <c r="BE1075" t="s">
        <v>0</v>
      </c>
      <c r="BF1075" t="s">
        <v>519</v>
      </c>
      <c r="BG1075" t="s">
        <v>17</v>
      </c>
      <c r="BH1075" t="s">
        <v>0</v>
      </c>
      <c r="BI1075" t="s">
        <v>147</v>
      </c>
      <c r="BJ1075" t="s">
        <v>0</v>
      </c>
      <c r="BK1075" t="s">
        <v>0</v>
      </c>
      <c r="BL1075" s="5">
        <v>0</v>
      </c>
      <c r="BM1075" t="s">
        <v>0</v>
      </c>
      <c r="BN1075" t="s">
        <v>0</v>
      </c>
      <c r="BO1075" t="s">
        <v>0</v>
      </c>
      <c r="BP1075" t="s">
        <v>17</v>
      </c>
      <c r="BQ1075" t="s">
        <v>0</v>
      </c>
      <c r="BR1075" t="s">
        <v>17</v>
      </c>
      <c r="BS1075" t="s">
        <v>17</v>
      </c>
      <c r="BT1075" t="s">
        <v>0</v>
      </c>
      <c r="BU1075" t="s">
        <v>0</v>
      </c>
      <c r="BV1075" t="s">
        <v>0</v>
      </c>
      <c r="BW1075" t="s">
        <v>0</v>
      </c>
      <c r="BX1075" t="s">
        <v>0</v>
      </c>
      <c r="BY1075" t="s">
        <v>0</v>
      </c>
      <c r="BZ1075" t="s">
        <v>0</v>
      </c>
      <c r="CA1075" t="s">
        <v>0</v>
      </c>
      <c r="CB1075" t="s">
        <v>0</v>
      </c>
    </row>
    <row r="1076" spans="1:80" x14ac:dyDescent="0.25">
      <c r="A1076" t="s">
        <v>504</v>
      </c>
      <c r="B1076" s="2">
        <v>46180</v>
      </c>
      <c r="C1076" s="2"/>
      <c r="D1076" s="2"/>
      <c r="E1076" t="s">
        <v>2</v>
      </c>
      <c r="F1076" t="s">
        <v>89</v>
      </c>
      <c r="G1076" t="s">
        <v>0</v>
      </c>
      <c r="H1076" t="s">
        <v>4</v>
      </c>
      <c r="I1076" t="s">
        <v>505</v>
      </c>
      <c r="J1076" t="s">
        <v>6</v>
      </c>
      <c r="K1076" t="s">
        <v>231</v>
      </c>
      <c r="L1076" t="s">
        <v>506</v>
      </c>
      <c r="M1076" t="s">
        <v>513</v>
      </c>
      <c r="N1076" t="s">
        <v>10</v>
      </c>
      <c r="O1076" t="s">
        <v>0</v>
      </c>
      <c r="P1076" t="s">
        <v>147</v>
      </c>
      <c r="Q1076" s="5">
        <v>6</v>
      </c>
      <c r="R1076" s="4">
        <v>2784.24</v>
      </c>
      <c r="S1076" s="5">
        <v>1</v>
      </c>
      <c r="T1076" s="4">
        <v>16705.439999999999</v>
      </c>
      <c r="U1076" s="5">
        <v>6</v>
      </c>
      <c r="V1076" s="4">
        <v>16705.439999999999</v>
      </c>
      <c r="W1076" s="5">
        <v>6</v>
      </c>
      <c r="X1076" s="4">
        <v>16705.439999999999</v>
      </c>
      <c r="Y1076" s="4">
        <f t="shared" si="32"/>
        <v>0</v>
      </c>
      <c r="Z1076" t="s">
        <v>0</v>
      </c>
      <c r="AA1076" t="s">
        <v>2</v>
      </c>
      <c r="AB1076" t="s">
        <v>12</v>
      </c>
      <c r="AC1076">
        <f>_xlfn.XLOOKUP(AB1076,'[1]GST Codes'!$A:$A,'[1]GST Codes'!$C:$C,0,0)</f>
        <v>18</v>
      </c>
      <c r="AD1076">
        <f t="shared" si="33"/>
        <v>0</v>
      </c>
      <c r="AE1076" t="s">
        <v>13</v>
      </c>
      <c r="AF1076" t="s">
        <v>0</v>
      </c>
      <c r="AG1076" t="s">
        <v>14</v>
      </c>
      <c r="AH1076" t="s">
        <v>15</v>
      </c>
      <c r="AI1076" t="s">
        <v>96</v>
      </c>
      <c r="AJ1076" t="s">
        <v>17</v>
      </c>
      <c r="AK1076" t="s">
        <v>18</v>
      </c>
      <c r="AL1076" t="s">
        <v>148</v>
      </c>
      <c r="AM1076" t="s">
        <v>508</v>
      </c>
      <c r="AN1076" t="s">
        <v>0</v>
      </c>
      <c r="AO1076" t="s">
        <v>0</v>
      </c>
      <c r="AP1076" t="s">
        <v>0</v>
      </c>
      <c r="AQ1076" s="5">
        <v>6</v>
      </c>
      <c r="AR1076" t="s">
        <v>147</v>
      </c>
      <c r="AS1076" t="s">
        <v>0</v>
      </c>
      <c r="AT1076" t="s">
        <v>17</v>
      </c>
      <c r="AU1076" s="4">
        <v>0</v>
      </c>
      <c r="AV1076" s="4">
        <v>0</v>
      </c>
      <c r="AW1076" s="4">
        <v>0</v>
      </c>
      <c r="AX1076" s="4">
        <v>0</v>
      </c>
      <c r="AY1076" s="5">
        <v>0</v>
      </c>
      <c r="AZ1076" s="5">
        <v>0</v>
      </c>
      <c r="BA1076" s="5">
        <v>0</v>
      </c>
      <c r="BB1076" s="2"/>
      <c r="BC1076" t="s">
        <v>0</v>
      </c>
      <c r="BD1076" s="5">
        <v>1</v>
      </c>
      <c r="BE1076" t="s">
        <v>0</v>
      </c>
      <c r="BF1076" t="s">
        <v>509</v>
      </c>
      <c r="BG1076" t="s">
        <v>17</v>
      </c>
      <c r="BH1076" t="s">
        <v>0</v>
      </c>
      <c r="BI1076" t="s">
        <v>147</v>
      </c>
      <c r="BJ1076" t="s">
        <v>0</v>
      </c>
      <c r="BK1076" t="s">
        <v>0</v>
      </c>
      <c r="BL1076" s="5">
        <v>0</v>
      </c>
      <c r="BM1076" t="s">
        <v>0</v>
      </c>
      <c r="BN1076" t="s">
        <v>0</v>
      </c>
      <c r="BO1076" t="s">
        <v>0</v>
      </c>
      <c r="BP1076" t="s">
        <v>17</v>
      </c>
      <c r="BQ1076" t="s">
        <v>0</v>
      </c>
      <c r="BR1076" t="s">
        <v>17</v>
      </c>
      <c r="BS1076" t="s">
        <v>17</v>
      </c>
      <c r="BT1076" t="s">
        <v>0</v>
      </c>
      <c r="BU1076" t="s">
        <v>0</v>
      </c>
      <c r="BV1076" t="s">
        <v>0</v>
      </c>
      <c r="BW1076" t="s">
        <v>0</v>
      </c>
      <c r="BX1076" t="s">
        <v>0</v>
      </c>
      <c r="BY1076" t="s">
        <v>0</v>
      </c>
      <c r="BZ1076" t="s">
        <v>0</v>
      </c>
      <c r="CA1076" t="s">
        <v>0</v>
      </c>
      <c r="CB1076" t="s">
        <v>0</v>
      </c>
    </row>
    <row r="1077" spans="1:80" x14ac:dyDescent="0.25">
      <c r="A1077" t="s">
        <v>504</v>
      </c>
      <c r="B1077" s="2">
        <v>46180</v>
      </c>
      <c r="C1077" s="2"/>
      <c r="D1077" s="2"/>
      <c r="E1077" t="s">
        <v>2</v>
      </c>
      <c r="F1077" t="s">
        <v>89</v>
      </c>
      <c r="G1077" t="s">
        <v>0</v>
      </c>
      <c r="H1077" t="s">
        <v>4</v>
      </c>
      <c r="I1077" t="s">
        <v>505</v>
      </c>
      <c r="J1077" t="s">
        <v>6</v>
      </c>
      <c r="K1077" t="s">
        <v>232</v>
      </c>
      <c r="L1077" t="s">
        <v>510</v>
      </c>
      <c r="M1077" t="s">
        <v>511</v>
      </c>
      <c r="N1077" t="s">
        <v>10</v>
      </c>
      <c r="O1077" t="s">
        <v>0</v>
      </c>
      <c r="P1077" t="s">
        <v>147</v>
      </c>
      <c r="Q1077" s="5">
        <v>1</v>
      </c>
      <c r="R1077" s="4">
        <v>2345.2199999999998</v>
      </c>
      <c r="S1077" s="5">
        <v>1</v>
      </c>
      <c r="T1077" s="4">
        <v>2345.2199999999998</v>
      </c>
      <c r="U1077" s="5">
        <v>1</v>
      </c>
      <c r="V1077" s="4">
        <v>2345.2199999999998</v>
      </c>
      <c r="W1077" s="5">
        <v>1</v>
      </c>
      <c r="X1077" s="4">
        <v>2345.2199999999998</v>
      </c>
      <c r="Y1077" s="4">
        <f t="shared" si="32"/>
        <v>0</v>
      </c>
      <c r="Z1077" t="s">
        <v>0</v>
      </c>
      <c r="AA1077" t="s">
        <v>2</v>
      </c>
      <c r="AB1077" t="s">
        <v>12</v>
      </c>
      <c r="AC1077">
        <f>_xlfn.XLOOKUP(AB1077,'[1]GST Codes'!$A:$A,'[1]GST Codes'!$C:$C,0,0)</f>
        <v>18</v>
      </c>
      <c r="AD1077">
        <f t="shared" si="33"/>
        <v>0</v>
      </c>
      <c r="AE1077" t="s">
        <v>13</v>
      </c>
      <c r="AF1077" t="s">
        <v>0</v>
      </c>
      <c r="AG1077" t="s">
        <v>14</v>
      </c>
      <c r="AH1077" t="s">
        <v>15</v>
      </c>
      <c r="AI1077" t="s">
        <v>96</v>
      </c>
      <c r="AJ1077" t="s">
        <v>17</v>
      </c>
      <c r="AK1077" t="s">
        <v>18</v>
      </c>
      <c r="AL1077" t="s">
        <v>148</v>
      </c>
      <c r="AM1077" t="s">
        <v>508</v>
      </c>
      <c r="AN1077" t="s">
        <v>0</v>
      </c>
      <c r="AO1077" t="s">
        <v>0</v>
      </c>
      <c r="AP1077" t="s">
        <v>0</v>
      </c>
      <c r="AQ1077" s="5">
        <v>1</v>
      </c>
      <c r="AR1077" t="s">
        <v>147</v>
      </c>
      <c r="AS1077" t="s">
        <v>0</v>
      </c>
      <c r="AT1077" t="s">
        <v>17</v>
      </c>
      <c r="AU1077" s="4">
        <v>0</v>
      </c>
      <c r="AV1077" s="4">
        <v>0</v>
      </c>
      <c r="AW1077" s="4">
        <v>0</v>
      </c>
      <c r="AX1077" s="4">
        <v>0</v>
      </c>
      <c r="AY1077" s="5">
        <v>0</v>
      </c>
      <c r="AZ1077" s="5">
        <v>0</v>
      </c>
      <c r="BA1077" s="5">
        <v>0</v>
      </c>
      <c r="BB1077" s="2"/>
      <c r="BC1077" t="s">
        <v>0</v>
      </c>
      <c r="BD1077" s="5">
        <v>1</v>
      </c>
      <c r="BE1077" t="s">
        <v>0</v>
      </c>
      <c r="BF1077" t="s">
        <v>512</v>
      </c>
      <c r="BG1077" t="s">
        <v>17</v>
      </c>
      <c r="BH1077" t="s">
        <v>0</v>
      </c>
      <c r="BI1077" t="s">
        <v>147</v>
      </c>
      <c r="BJ1077" t="s">
        <v>0</v>
      </c>
      <c r="BK1077" t="s">
        <v>0</v>
      </c>
      <c r="BL1077" s="5">
        <v>0</v>
      </c>
      <c r="BM1077" t="s">
        <v>0</v>
      </c>
      <c r="BN1077" t="s">
        <v>0</v>
      </c>
      <c r="BO1077" t="s">
        <v>0</v>
      </c>
      <c r="BP1077" t="s">
        <v>17</v>
      </c>
      <c r="BQ1077" t="s">
        <v>0</v>
      </c>
      <c r="BR1077" t="s">
        <v>17</v>
      </c>
      <c r="BS1077" t="s">
        <v>17</v>
      </c>
      <c r="BT1077" t="s">
        <v>0</v>
      </c>
      <c r="BU1077" t="s">
        <v>0</v>
      </c>
      <c r="BV1077" t="s">
        <v>0</v>
      </c>
      <c r="BW1077" t="s">
        <v>0</v>
      </c>
      <c r="BX1077" t="s">
        <v>0</v>
      </c>
      <c r="BY1077" t="s">
        <v>0</v>
      </c>
      <c r="BZ1077" t="s">
        <v>0</v>
      </c>
      <c r="CA1077" t="s">
        <v>0</v>
      </c>
      <c r="CB1077" t="s">
        <v>0</v>
      </c>
    </row>
    <row r="1078" spans="1:80" x14ac:dyDescent="0.25">
      <c r="A1078" t="s">
        <v>504</v>
      </c>
      <c r="B1078" s="2">
        <v>46180</v>
      </c>
      <c r="C1078" s="2"/>
      <c r="D1078" s="2"/>
      <c r="E1078" t="s">
        <v>2</v>
      </c>
      <c r="F1078" t="s">
        <v>89</v>
      </c>
      <c r="G1078" t="s">
        <v>0</v>
      </c>
      <c r="H1078" t="s">
        <v>4</v>
      </c>
      <c r="I1078" t="s">
        <v>505</v>
      </c>
      <c r="J1078" t="s">
        <v>6</v>
      </c>
      <c r="K1078" t="s">
        <v>233</v>
      </c>
      <c r="L1078" t="s">
        <v>506</v>
      </c>
      <c r="M1078" t="s">
        <v>513</v>
      </c>
      <c r="N1078" t="s">
        <v>10</v>
      </c>
      <c r="O1078" t="s">
        <v>0</v>
      </c>
      <c r="P1078" t="s">
        <v>147</v>
      </c>
      <c r="Q1078" s="5">
        <v>3</v>
      </c>
      <c r="R1078" s="4">
        <v>2784.24</v>
      </c>
      <c r="S1078" s="5">
        <v>1</v>
      </c>
      <c r="T1078" s="4">
        <v>8352.7199999999993</v>
      </c>
      <c r="U1078" s="5">
        <v>3</v>
      </c>
      <c r="V1078" s="4">
        <v>8352.7199999999993</v>
      </c>
      <c r="W1078" s="5">
        <v>3</v>
      </c>
      <c r="X1078" s="4">
        <v>8352.7199999999993</v>
      </c>
      <c r="Y1078" s="4">
        <f t="shared" si="32"/>
        <v>0</v>
      </c>
      <c r="Z1078" t="s">
        <v>0</v>
      </c>
      <c r="AA1078" t="s">
        <v>2</v>
      </c>
      <c r="AB1078" t="s">
        <v>12</v>
      </c>
      <c r="AC1078">
        <f>_xlfn.XLOOKUP(AB1078,'[1]GST Codes'!$A:$A,'[1]GST Codes'!$C:$C,0,0)</f>
        <v>18</v>
      </c>
      <c r="AD1078">
        <f t="shared" si="33"/>
        <v>0</v>
      </c>
      <c r="AE1078" t="s">
        <v>13</v>
      </c>
      <c r="AF1078" t="s">
        <v>0</v>
      </c>
      <c r="AG1078" t="s">
        <v>14</v>
      </c>
      <c r="AH1078" t="s">
        <v>15</v>
      </c>
      <c r="AI1078" t="s">
        <v>96</v>
      </c>
      <c r="AJ1078" t="s">
        <v>17</v>
      </c>
      <c r="AK1078" t="s">
        <v>18</v>
      </c>
      <c r="AL1078" t="s">
        <v>148</v>
      </c>
      <c r="AM1078" t="s">
        <v>508</v>
      </c>
      <c r="AN1078" t="s">
        <v>0</v>
      </c>
      <c r="AO1078" t="s">
        <v>0</v>
      </c>
      <c r="AP1078" t="s">
        <v>0</v>
      </c>
      <c r="AQ1078" s="5">
        <v>3</v>
      </c>
      <c r="AR1078" t="s">
        <v>147</v>
      </c>
      <c r="AS1078" t="s">
        <v>0</v>
      </c>
      <c r="AT1078" t="s">
        <v>17</v>
      </c>
      <c r="AU1078" s="4">
        <v>0</v>
      </c>
      <c r="AV1078" s="4">
        <v>0</v>
      </c>
      <c r="AW1078" s="4">
        <v>0</v>
      </c>
      <c r="AX1078" s="4">
        <v>0</v>
      </c>
      <c r="AY1078" s="5">
        <v>0</v>
      </c>
      <c r="AZ1078" s="5">
        <v>0</v>
      </c>
      <c r="BA1078" s="5">
        <v>0</v>
      </c>
      <c r="BB1078" s="2"/>
      <c r="BC1078" t="s">
        <v>0</v>
      </c>
      <c r="BD1078" s="5">
        <v>1</v>
      </c>
      <c r="BE1078" t="s">
        <v>0</v>
      </c>
      <c r="BF1078" t="s">
        <v>509</v>
      </c>
      <c r="BG1078" t="s">
        <v>17</v>
      </c>
      <c r="BH1078" t="s">
        <v>0</v>
      </c>
      <c r="BI1078" t="s">
        <v>147</v>
      </c>
      <c r="BJ1078" t="s">
        <v>0</v>
      </c>
      <c r="BK1078" t="s">
        <v>0</v>
      </c>
      <c r="BL1078" s="5">
        <v>0</v>
      </c>
      <c r="BM1078" t="s">
        <v>0</v>
      </c>
      <c r="BN1078" t="s">
        <v>0</v>
      </c>
      <c r="BO1078" t="s">
        <v>0</v>
      </c>
      <c r="BP1078" t="s">
        <v>17</v>
      </c>
      <c r="BQ1078" t="s">
        <v>0</v>
      </c>
      <c r="BR1078" t="s">
        <v>17</v>
      </c>
      <c r="BS1078" t="s">
        <v>17</v>
      </c>
      <c r="BT1078" t="s">
        <v>0</v>
      </c>
      <c r="BU1078" t="s">
        <v>0</v>
      </c>
      <c r="BV1078" t="s">
        <v>0</v>
      </c>
      <c r="BW1078" t="s">
        <v>0</v>
      </c>
      <c r="BX1078" t="s">
        <v>0</v>
      </c>
      <c r="BY1078" t="s">
        <v>0</v>
      </c>
      <c r="BZ1078" t="s">
        <v>0</v>
      </c>
      <c r="CA1078" t="s">
        <v>0</v>
      </c>
      <c r="CB1078" t="s">
        <v>0</v>
      </c>
    </row>
    <row r="1079" spans="1:80" x14ac:dyDescent="0.25">
      <c r="A1079" t="s">
        <v>504</v>
      </c>
      <c r="B1079" s="2">
        <v>46180</v>
      </c>
      <c r="C1079" s="2"/>
      <c r="D1079" s="2"/>
      <c r="E1079" t="s">
        <v>2</v>
      </c>
      <c r="F1079" t="s">
        <v>89</v>
      </c>
      <c r="G1079" t="s">
        <v>0</v>
      </c>
      <c r="H1079" t="s">
        <v>4</v>
      </c>
      <c r="I1079" t="s">
        <v>505</v>
      </c>
      <c r="J1079" t="s">
        <v>6</v>
      </c>
      <c r="K1079" t="s">
        <v>237</v>
      </c>
      <c r="L1079" t="s">
        <v>514</v>
      </c>
      <c r="M1079" t="s">
        <v>515</v>
      </c>
      <c r="N1079" t="s">
        <v>10</v>
      </c>
      <c r="O1079" t="s">
        <v>0</v>
      </c>
      <c r="P1079" t="s">
        <v>147</v>
      </c>
      <c r="Q1079" s="5">
        <v>3</v>
      </c>
      <c r="R1079" s="4">
        <v>1000</v>
      </c>
      <c r="S1079" s="5">
        <v>1</v>
      </c>
      <c r="T1079" s="4">
        <v>3000</v>
      </c>
      <c r="U1079" s="5">
        <v>3</v>
      </c>
      <c r="V1079" s="4">
        <v>3000</v>
      </c>
      <c r="W1079" s="5">
        <v>3</v>
      </c>
      <c r="X1079" s="4">
        <v>3000</v>
      </c>
      <c r="Y1079" s="4">
        <f t="shared" si="32"/>
        <v>0</v>
      </c>
      <c r="Z1079" t="s">
        <v>0</v>
      </c>
      <c r="AA1079" t="s">
        <v>2</v>
      </c>
      <c r="AB1079" t="s">
        <v>12</v>
      </c>
      <c r="AC1079">
        <f>_xlfn.XLOOKUP(AB1079,'[1]GST Codes'!$A:$A,'[1]GST Codes'!$C:$C,0,0)</f>
        <v>18</v>
      </c>
      <c r="AD1079">
        <f t="shared" si="33"/>
        <v>0</v>
      </c>
      <c r="AE1079" t="s">
        <v>13</v>
      </c>
      <c r="AF1079" t="s">
        <v>0</v>
      </c>
      <c r="AG1079" t="s">
        <v>14</v>
      </c>
      <c r="AH1079" t="s">
        <v>15</v>
      </c>
      <c r="AI1079" t="s">
        <v>96</v>
      </c>
      <c r="AJ1079" t="s">
        <v>17</v>
      </c>
      <c r="AK1079" t="s">
        <v>18</v>
      </c>
      <c r="AL1079" t="s">
        <v>148</v>
      </c>
      <c r="AM1079" t="s">
        <v>508</v>
      </c>
      <c r="AN1079" t="s">
        <v>0</v>
      </c>
      <c r="AO1079" t="s">
        <v>0</v>
      </c>
      <c r="AP1079" t="s">
        <v>0</v>
      </c>
      <c r="AQ1079" s="5">
        <v>3</v>
      </c>
      <c r="AR1079" t="s">
        <v>147</v>
      </c>
      <c r="AS1079" t="s">
        <v>0</v>
      </c>
      <c r="AT1079" t="s">
        <v>17</v>
      </c>
      <c r="AU1079" s="4">
        <v>0</v>
      </c>
      <c r="AV1079" s="4">
        <v>0</v>
      </c>
      <c r="AW1079" s="4">
        <v>0</v>
      </c>
      <c r="AX1079" s="4">
        <v>0</v>
      </c>
      <c r="AY1079" s="5">
        <v>0</v>
      </c>
      <c r="AZ1079" s="5">
        <v>0</v>
      </c>
      <c r="BA1079" s="5">
        <v>0</v>
      </c>
      <c r="BB1079" s="2"/>
      <c r="BC1079" t="s">
        <v>0</v>
      </c>
      <c r="BD1079" s="5">
        <v>1</v>
      </c>
      <c r="BE1079" t="s">
        <v>0</v>
      </c>
      <c r="BF1079" t="s">
        <v>516</v>
      </c>
      <c r="BG1079" t="s">
        <v>17</v>
      </c>
      <c r="BH1079" t="s">
        <v>0</v>
      </c>
      <c r="BI1079" t="s">
        <v>147</v>
      </c>
      <c r="BJ1079" t="s">
        <v>0</v>
      </c>
      <c r="BK1079" t="s">
        <v>0</v>
      </c>
      <c r="BL1079" s="5">
        <v>0</v>
      </c>
      <c r="BM1079" t="s">
        <v>0</v>
      </c>
      <c r="BN1079" t="s">
        <v>0</v>
      </c>
      <c r="BO1079" t="s">
        <v>0</v>
      </c>
      <c r="BP1079" t="s">
        <v>17</v>
      </c>
      <c r="BQ1079" t="s">
        <v>0</v>
      </c>
      <c r="BR1079" t="s">
        <v>17</v>
      </c>
      <c r="BS1079" t="s">
        <v>17</v>
      </c>
      <c r="BT1079" t="s">
        <v>0</v>
      </c>
      <c r="BU1079" t="s">
        <v>0</v>
      </c>
      <c r="BV1079" t="s">
        <v>0</v>
      </c>
      <c r="BW1079" t="s">
        <v>0</v>
      </c>
      <c r="BX1079" t="s">
        <v>0</v>
      </c>
      <c r="BY1079" t="s">
        <v>0</v>
      </c>
      <c r="BZ1079" t="s">
        <v>0</v>
      </c>
      <c r="CA1079" t="s">
        <v>0</v>
      </c>
      <c r="CB1079" t="s">
        <v>0</v>
      </c>
    </row>
    <row r="1080" spans="1:80" x14ac:dyDescent="0.25">
      <c r="A1080" t="s">
        <v>504</v>
      </c>
      <c r="B1080" s="2">
        <v>46180</v>
      </c>
      <c r="C1080" s="2"/>
      <c r="D1080" s="2"/>
      <c r="E1080" t="s">
        <v>2</v>
      </c>
      <c r="F1080" t="s">
        <v>89</v>
      </c>
      <c r="G1080" t="s">
        <v>0</v>
      </c>
      <c r="H1080" t="s">
        <v>4</v>
      </c>
      <c r="I1080" t="s">
        <v>505</v>
      </c>
      <c r="J1080" t="s">
        <v>6</v>
      </c>
      <c r="K1080" t="s">
        <v>238</v>
      </c>
      <c r="L1080" t="s">
        <v>517</v>
      </c>
      <c r="M1080" t="s">
        <v>518</v>
      </c>
      <c r="N1080" t="s">
        <v>10</v>
      </c>
      <c r="O1080" t="s">
        <v>0</v>
      </c>
      <c r="P1080" t="s">
        <v>147</v>
      </c>
      <c r="Q1080" s="5">
        <v>1</v>
      </c>
      <c r="R1080" s="4">
        <v>5057.1000000000004</v>
      </c>
      <c r="S1080" s="5">
        <v>1</v>
      </c>
      <c r="T1080" s="4">
        <v>5057.1000000000004</v>
      </c>
      <c r="U1080" s="5">
        <v>1</v>
      </c>
      <c r="V1080" s="4">
        <v>5057.1000000000004</v>
      </c>
      <c r="W1080" s="5">
        <v>1</v>
      </c>
      <c r="X1080" s="4">
        <v>5057.1000000000004</v>
      </c>
      <c r="Y1080" s="4">
        <f t="shared" si="32"/>
        <v>0</v>
      </c>
      <c r="Z1080" t="s">
        <v>0</v>
      </c>
      <c r="AA1080" t="s">
        <v>2</v>
      </c>
      <c r="AB1080" t="s">
        <v>12</v>
      </c>
      <c r="AC1080">
        <f>_xlfn.XLOOKUP(AB1080,'[1]GST Codes'!$A:$A,'[1]GST Codes'!$C:$C,0,0)</f>
        <v>18</v>
      </c>
      <c r="AD1080">
        <f t="shared" si="33"/>
        <v>0</v>
      </c>
      <c r="AE1080" t="s">
        <v>13</v>
      </c>
      <c r="AF1080" t="s">
        <v>0</v>
      </c>
      <c r="AG1080" t="s">
        <v>14</v>
      </c>
      <c r="AH1080" t="s">
        <v>15</v>
      </c>
      <c r="AI1080" t="s">
        <v>96</v>
      </c>
      <c r="AJ1080" t="s">
        <v>17</v>
      </c>
      <c r="AK1080" t="s">
        <v>18</v>
      </c>
      <c r="AL1080" t="s">
        <v>148</v>
      </c>
      <c r="AM1080" t="s">
        <v>508</v>
      </c>
      <c r="AN1080" t="s">
        <v>0</v>
      </c>
      <c r="AO1080" t="s">
        <v>0</v>
      </c>
      <c r="AP1080" t="s">
        <v>0</v>
      </c>
      <c r="AQ1080" s="5">
        <v>1</v>
      </c>
      <c r="AR1080" t="s">
        <v>147</v>
      </c>
      <c r="AS1080" t="s">
        <v>0</v>
      </c>
      <c r="AT1080" t="s">
        <v>17</v>
      </c>
      <c r="AU1080" s="4">
        <v>0</v>
      </c>
      <c r="AV1080" s="4">
        <v>0</v>
      </c>
      <c r="AW1080" s="4">
        <v>0</v>
      </c>
      <c r="AX1080" s="4">
        <v>0</v>
      </c>
      <c r="AY1080" s="5">
        <v>0</v>
      </c>
      <c r="AZ1080" s="5">
        <v>0</v>
      </c>
      <c r="BA1080" s="5">
        <v>0</v>
      </c>
      <c r="BB1080" s="2"/>
      <c r="BC1080" t="s">
        <v>0</v>
      </c>
      <c r="BD1080" s="5">
        <v>1</v>
      </c>
      <c r="BE1080" t="s">
        <v>0</v>
      </c>
      <c r="BF1080" t="s">
        <v>519</v>
      </c>
      <c r="BG1080" t="s">
        <v>17</v>
      </c>
      <c r="BH1080" t="s">
        <v>0</v>
      </c>
      <c r="BI1080" t="s">
        <v>147</v>
      </c>
      <c r="BJ1080" t="s">
        <v>0</v>
      </c>
      <c r="BK1080" t="s">
        <v>0</v>
      </c>
      <c r="BL1080" s="5">
        <v>0</v>
      </c>
      <c r="BM1080" t="s">
        <v>0</v>
      </c>
      <c r="BN1080" t="s">
        <v>0</v>
      </c>
      <c r="BO1080" t="s">
        <v>0</v>
      </c>
      <c r="BP1080" t="s">
        <v>17</v>
      </c>
      <c r="BQ1080" t="s">
        <v>0</v>
      </c>
      <c r="BR1080" t="s">
        <v>17</v>
      </c>
      <c r="BS1080" t="s">
        <v>17</v>
      </c>
      <c r="BT1080" t="s">
        <v>0</v>
      </c>
      <c r="BU1080" t="s">
        <v>0</v>
      </c>
      <c r="BV1080" t="s">
        <v>0</v>
      </c>
      <c r="BW1080" t="s">
        <v>0</v>
      </c>
      <c r="BX1080" t="s">
        <v>0</v>
      </c>
      <c r="BY1080" t="s">
        <v>0</v>
      </c>
      <c r="BZ1080" t="s">
        <v>0</v>
      </c>
      <c r="CA1080" t="s">
        <v>0</v>
      </c>
      <c r="CB1080" t="s">
        <v>0</v>
      </c>
    </row>
    <row r="1081" spans="1:80" x14ac:dyDescent="0.25">
      <c r="A1081" t="s">
        <v>504</v>
      </c>
      <c r="B1081" s="2">
        <v>46180</v>
      </c>
      <c r="C1081" s="2"/>
      <c r="D1081" s="2"/>
      <c r="E1081" t="s">
        <v>2</v>
      </c>
      <c r="F1081" t="s">
        <v>89</v>
      </c>
      <c r="G1081" t="s">
        <v>0</v>
      </c>
      <c r="H1081" t="s">
        <v>4</v>
      </c>
      <c r="I1081" t="s">
        <v>505</v>
      </c>
      <c r="J1081" t="s">
        <v>6</v>
      </c>
      <c r="K1081" t="s">
        <v>239</v>
      </c>
      <c r="L1081" t="s">
        <v>220</v>
      </c>
      <c r="M1081" t="s">
        <v>520</v>
      </c>
      <c r="N1081" t="s">
        <v>10</v>
      </c>
      <c r="O1081" t="s">
        <v>0</v>
      </c>
      <c r="P1081" t="s">
        <v>147</v>
      </c>
      <c r="Q1081" s="5">
        <v>11</v>
      </c>
      <c r="R1081" s="4">
        <v>73</v>
      </c>
      <c r="S1081" s="5">
        <v>1</v>
      </c>
      <c r="T1081" s="4">
        <v>803</v>
      </c>
      <c r="U1081" s="5">
        <v>11</v>
      </c>
      <c r="V1081" s="4">
        <v>803</v>
      </c>
      <c r="W1081" s="5">
        <v>11</v>
      </c>
      <c r="X1081" s="4">
        <v>803</v>
      </c>
      <c r="Y1081" s="4">
        <f t="shared" si="32"/>
        <v>0</v>
      </c>
      <c r="Z1081" t="s">
        <v>0</v>
      </c>
      <c r="AA1081" t="s">
        <v>2</v>
      </c>
      <c r="AB1081" t="s">
        <v>12</v>
      </c>
      <c r="AC1081">
        <f>_xlfn.XLOOKUP(AB1081,'[1]GST Codes'!$A:$A,'[1]GST Codes'!$C:$C,0,0)</f>
        <v>18</v>
      </c>
      <c r="AD1081">
        <f t="shared" si="33"/>
        <v>0</v>
      </c>
      <c r="AE1081" t="s">
        <v>13</v>
      </c>
      <c r="AF1081" t="s">
        <v>0</v>
      </c>
      <c r="AG1081" t="s">
        <v>14</v>
      </c>
      <c r="AH1081" t="s">
        <v>15</v>
      </c>
      <c r="AI1081" t="s">
        <v>96</v>
      </c>
      <c r="AJ1081" t="s">
        <v>17</v>
      </c>
      <c r="AK1081" t="s">
        <v>18</v>
      </c>
      <c r="AL1081" t="s">
        <v>148</v>
      </c>
      <c r="AM1081" t="s">
        <v>508</v>
      </c>
      <c r="AN1081" t="s">
        <v>0</v>
      </c>
      <c r="AO1081" t="s">
        <v>0</v>
      </c>
      <c r="AP1081" t="s">
        <v>0</v>
      </c>
      <c r="AQ1081" s="5">
        <v>11</v>
      </c>
      <c r="AR1081" t="s">
        <v>147</v>
      </c>
      <c r="AS1081" t="s">
        <v>0</v>
      </c>
      <c r="AT1081" t="s">
        <v>17</v>
      </c>
      <c r="AU1081" s="4">
        <v>0</v>
      </c>
      <c r="AV1081" s="4">
        <v>0</v>
      </c>
      <c r="AW1081" s="4">
        <v>0</v>
      </c>
      <c r="AX1081" s="4">
        <v>0</v>
      </c>
      <c r="AY1081" s="5">
        <v>0</v>
      </c>
      <c r="AZ1081" s="5">
        <v>0</v>
      </c>
      <c r="BA1081" s="5">
        <v>0</v>
      </c>
      <c r="BB1081" s="2"/>
      <c r="BC1081" t="s">
        <v>0</v>
      </c>
      <c r="BD1081" s="5">
        <v>1</v>
      </c>
      <c r="BE1081" t="s">
        <v>0</v>
      </c>
      <c r="BF1081" t="s">
        <v>521</v>
      </c>
      <c r="BG1081" t="s">
        <v>17</v>
      </c>
      <c r="BH1081" t="s">
        <v>0</v>
      </c>
      <c r="BI1081" t="s">
        <v>147</v>
      </c>
      <c r="BJ1081" t="s">
        <v>0</v>
      </c>
      <c r="BK1081" t="s">
        <v>0</v>
      </c>
      <c r="BL1081" s="5">
        <v>0</v>
      </c>
      <c r="BM1081" t="s">
        <v>0</v>
      </c>
      <c r="BN1081" t="s">
        <v>0</v>
      </c>
      <c r="BO1081" t="s">
        <v>0</v>
      </c>
      <c r="BP1081" t="s">
        <v>17</v>
      </c>
      <c r="BQ1081" t="s">
        <v>0</v>
      </c>
      <c r="BR1081" t="s">
        <v>17</v>
      </c>
      <c r="BS1081" t="s">
        <v>17</v>
      </c>
      <c r="BT1081" t="s">
        <v>0</v>
      </c>
      <c r="BU1081" t="s">
        <v>0</v>
      </c>
      <c r="BV1081" t="s">
        <v>0</v>
      </c>
      <c r="BW1081" t="s">
        <v>0</v>
      </c>
      <c r="BX1081" t="s">
        <v>0</v>
      </c>
      <c r="BY1081" t="s">
        <v>0</v>
      </c>
      <c r="BZ1081" t="s">
        <v>0</v>
      </c>
      <c r="CA1081" t="s">
        <v>0</v>
      </c>
      <c r="CB1081" t="s">
        <v>0</v>
      </c>
    </row>
    <row r="1082" spans="1:80" x14ac:dyDescent="0.25">
      <c r="A1082" t="s">
        <v>504</v>
      </c>
      <c r="B1082" s="2">
        <v>46180</v>
      </c>
      <c r="C1082" s="2"/>
      <c r="D1082" s="2"/>
      <c r="E1082" t="s">
        <v>2</v>
      </c>
      <c r="F1082" t="s">
        <v>89</v>
      </c>
      <c r="G1082" t="s">
        <v>0</v>
      </c>
      <c r="H1082" t="s">
        <v>4</v>
      </c>
      <c r="I1082" t="s">
        <v>505</v>
      </c>
      <c r="J1082" t="s">
        <v>6</v>
      </c>
      <c r="K1082" t="s">
        <v>240</v>
      </c>
      <c r="L1082" t="s">
        <v>178</v>
      </c>
      <c r="M1082" t="s">
        <v>522</v>
      </c>
      <c r="N1082" t="s">
        <v>10</v>
      </c>
      <c r="O1082" t="s">
        <v>0</v>
      </c>
      <c r="P1082" t="s">
        <v>147</v>
      </c>
      <c r="Q1082" s="5">
        <v>6</v>
      </c>
      <c r="R1082" s="4">
        <v>108</v>
      </c>
      <c r="S1082" s="5">
        <v>1</v>
      </c>
      <c r="T1082" s="4">
        <v>648</v>
      </c>
      <c r="U1082" s="5">
        <v>6</v>
      </c>
      <c r="V1082" s="4">
        <v>648</v>
      </c>
      <c r="W1082" s="5">
        <v>6</v>
      </c>
      <c r="X1082" s="4">
        <v>648</v>
      </c>
      <c r="Y1082" s="4">
        <f t="shared" si="32"/>
        <v>0</v>
      </c>
      <c r="Z1082" t="s">
        <v>0</v>
      </c>
      <c r="AA1082" t="s">
        <v>2</v>
      </c>
      <c r="AB1082" t="s">
        <v>12</v>
      </c>
      <c r="AC1082">
        <f>_xlfn.XLOOKUP(AB1082,'[1]GST Codes'!$A:$A,'[1]GST Codes'!$C:$C,0,0)</f>
        <v>18</v>
      </c>
      <c r="AD1082">
        <f t="shared" si="33"/>
        <v>0</v>
      </c>
      <c r="AE1082" t="s">
        <v>13</v>
      </c>
      <c r="AF1082" t="s">
        <v>0</v>
      </c>
      <c r="AG1082" t="s">
        <v>14</v>
      </c>
      <c r="AH1082" t="s">
        <v>15</v>
      </c>
      <c r="AI1082" t="s">
        <v>96</v>
      </c>
      <c r="AJ1082" t="s">
        <v>17</v>
      </c>
      <c r="AK1082" t="s">
        <v>18</v>
      </c>
      <c r="AL1082" t="s">
        <v>148</v>
      </c>
      <c r="AM1082" t="s">
        <v>508</v>
      </c>
      <c r="AN1082" t="s">
        <v>0</v>
      </c>
      <c r="AO1082" t="s">
        <v>0</v>
      </c>
      <c r="AP1082" t="s">
        <v>0</v>
      </c>
      <c r="AQ1082" s="5">
        <v>6</v>
      </c>
      <c r="AR1082" t="s">
        <v>147</v>
      </c>
      <c r="AS1082" t="s">
        <v>0</v>
      </c>
      <c r="AT1082" t="s">
        <v>17</v>
      </c>
      <c r="AU1082" s="4">
        <v>0</v>
      </c>
      <c r="AV1082" s="4">
        <v>0</v>
      </c>
      <c r="AW1082" s="4">
        <v>0</v>
      </c>
      <c r="AX1082" s="4">
        <v>0</v>
      </c>
      <c r="AY1082" s="5">
        <v>0</v>
      </c>
      <c r="AZ1082" s="5">
        <v>0</v>
      </c>
      <c r="BA1082" s="5">
        <v>0</v>
      </c>
      <c r="BB1082" s="2"/>
      <c r="BC1082" t="s">
        <v>0</v>
      </c>
      <c r="BD1082" s="5">
        <v>1</v>
      </c>
      <c r="BE1082" t="s">
        <v>0</v>
      </c>
      <c r="BF1082" t="s">
        <v>523</v>
      </c>
      <c r="BG1082" t="s">
        <v>17</v>
      </c>
      <c r="BH1082" t="s">
        <v>0</v>
      </c>
      <c r="BI1082" t="s">
        <v>147</v>
      </c>
      <c r="BJ1082" t="s">
        <v>0</v>
      </c>
      <c r="BK1082" t="s">
        <v>0</v>
      </c>
      <c r="BL1082" s="5">
        <v>0</v>
      </c>
      <c r="BM1082" t="s">
        <v>0</v>
      </c>
      <c r="BN1082" t="s">
        <v>0</v>
      </c>
      <c r="BO1082" t="s">
        <v>0</v>
      </c>
      <c r="BP1082" t="s">
        <v>17</v>
      </c>
      <c r="BQ1082" t="s">
        <v>0</v>
      </c>
      <c r="BR1082" t="s">
        <v>17</v>
      </c>
      <c r="BS1082" t="s">
        <v>17</v>
      </c>
      <c r="BT1082" t="s">
        <v>0</v>
      </c>
      <c r="BU1082" t="s">
        <v>0</v>
      </c>
      <c r="BV1082" t="s">
        <v>0</v>
      </c>
      <c r="BW1082" t="s">
        <v>0</v>
      </c>
      <c r="BX1082" t="s">
        <v>0</v>
      </c>
      <c r="BY1082" t="s">
        <v>0</v>
      </c>
      <c r="BZ1082" t="s">
        <v>0</v>
      </c>
      <c r="CA1082" t="s">
        <v>0</v>
      </c>
      <c r="CB1082" t="s">
        <v>0</v>
      </c>
    </row>
    <row r="1083" spans="1:80" x14ac:dyDescent="0.25">
      <c r="A1083" t="s">
        <v>504</v>
      </c>
      <c r="B1083" s="2">
        <v>46180</v>
      </c>
      <c r="C1083" s="2"/>
      <c r="D1083" s="2"/>
      <c r="E1083" t="s">
        <v>2</v>
      </c>
      <c r="F1083" t="s">
        <v>89</v>
      </c>
      <c r="G1083" t="s">
        <v>0</v>
      </c>
      <c r="H1083" t="s">
        <v>4</v>
      </c>
      <c r="I1083" t="s">
        <v>505</v>
      </c>
      <c r="J1083" t="s">
        <v>6</v>
      </c>
      <c r="K1083" t="s">
        <v>241</v>
      </c>
      <c r="L1083" t="s">
        <v>182</v>
      </c>
      <c r="M1083" t="s">
        <v>183</v>
      </c>
      <c r="N1083" t="s">
        <v>10</v>
      </c>
      <c r="O1083" t="s">
        <v>0</v>
      </c>
      <c r="P1083" t="s">
        <v>147</v>
      </c>
      <c r="Q1083" s="5">
        <v>2</v>
      </c>
      <c r="R1083" s="4">
        <v>154</v>
      </c>
      <c r="S1083" s="5">
        <v>1</v>
      </c>
      <c r="T1083" s="4">
        <v>308</v>
      </c>
      <c r="U1083" s="5">
        <v>2</v>
      </c>
      <c r="V1083" s="4">
        <v>308</v>
      </c>
      <c r="W1083" s="5">
        <v>2</v>
      </c>
      <c r="X1083" s="4">
        <v>308</v>
      </c>
      <c r="Y1083" s="4">
        <f t="shared" si="32"/>
        <v>0</v>
      </c>
      <c r="Z1083" t="s">
        <v>0</v>
      </c>
      <c r="AA1083" t="s">
        <v>2</v>
      </c>
      <c r="AB1083" t="s">
        <v>12</v>
      </c>
      <c r="AC1083">
        <f>_xlfn.XLOOKUP(AB1083,'[1]GST Codes'!$A:$A,'[1]GST Codes'!$C:$C,0,0)</f>
        <v>18</v>
      </c>
      <c r="AD1083">
        <f t="shared" si="33"/>
        <v>0</v>
      </c>
      <c r="AE1083" t="s">
        <v>13</v>
      </c>
      <c r="AF1083" t="s">
        <v>0</v>
      </c>
      <c r="AG1083" t="s">
        <v>14</v>
      </c>
      <c r="AH1083" t="s">
        <v>15</v>
      </c>
      <c r="AI1083" t="s">
        <v>96</v>
      </c>
      <c r="AJ1083" t="s">
        <v>17</v>
      </c>
      <c r="AK1083" t="s">
        <v>18</v>
      </c>
      <c r="AL1083" t="s">
        <v>148</v>
      </c>
      <c r="AM1083" t="s">
        <v>508</v>
      </c>
      <c r="AN1083" t="s">
        <v>0</v>
      </c>
      <c r="AO1083" t="s">
        <v>0</v>
      </c>
      <c r="AP1083" t="s">
        <v>0</v>
      </c>
      <c r="AQ1083" s="5">
        <v>2</v>
      </c>
      <c r="AR1083" t="s">
        <v>147</v>
      </c>
      <c r="AS1083" t="s">
        <v>0</v>
      </c>
      <c r="AT1083" t="s">
        <v>17</v>
      </c>
      <c r="AU1083" s="4">
        <v>0</v>
      </c>
      <c r="AV1083" s="4">
        <v>0</v>
      </c>
      <c r="AW1083" s="4">
        <v>0</v>
      </c>
      <c r="AX1083" s="4">
        <v>0</v>
      </c>
      <c r="AY1083" s="5">
        <v>0</v>
      </c>
      <c r="AZ1083" s="5">
        <v>0</v>
      </c>
      <c r="BA1083" s="5">
        <v>0</v>
      </c>
      <c r="BB1083" s="2"/>
      <c r="BC1083" t="s">
        <v>0</v>
      </c>
      <c r="BD1083" s="5">
        <v>1</v>
      </c>
      <c r="BE1083" t="s">
        <v>0</v>
      </c>
      <c r="BF1083" t="s">
        <v>524</v>
      </c>
      <c r="BG1083" t="s">
        <v>17</v>
      </c>
      <c r="BH1083" t="s">
        <v>0</v>
      </c>
      <c r="BI1083" t="s">
        <v>147</v>
      </c>
      <c r="BJ1083" t="s">
        <v>0</v>
      </c>
      <c r="BK1083" t="s">
        <v>0</v>
      </c>
      <c r="BL1083" s="5">
        <v>0</v>
      </c>
      <c r="BM1083" t="s">
        <v>0</v>
      </c>
      <c r="BN1083" t="s">
        <v>0</v>
      </c>
      <c r="BO1083" t="s">
        <v>0</v>
      </c>
      <c r="BP1083" t="s">
        <v>17</v>
      </c>
      <c r="BQ1083" t="s">
        <v>0</v>
      </c>
      <c r="BR1083" t="s">
        <v>17</v>
      </c>
      <c r="BS1083" t="s">
        <v>17</v>
      </c>
      <c r="BT1083" t="s">
        <v>0</v>
      </c>
      <c r="BU1083" t="s">
        <v>0</v>
      </c>
      <c r="BV1083" t="s">
        <v>0</v>
      </c>
      <c r="BW1083" t="s">
        <v>0</v>
      </c>
      <c r="BX1083" t="s">
        <v>0</v>
      </c>
      <c r="BY1083" t="s">
        <v>0</v>
      </c>
      <c r="BZ1083" t="s">
        <v>0</v>
      </c>
      <c r="CA1083" t="s">
        <v>0</v>
      </c>
      <c r="CB1083" t="s">
        <v>0</v>
      </c>
    </row>
    <row r="1084" spans="1:80" x14ac:dyDescent="0.25">
      <c r="A1084" t="s">
        <v>504</v>
      </c>
      <c r="B1084" s="2">
        <v>46180</v>
      </c>
      <c r="C1084" s="2"/>
      <c r="D1084" s="2"/>
      <c r="E1084" t="s">
        <v>2</v>
      </c>
      <c r="F1084" t="s">
        <v>89</v>
      </c>
      <c r="G1084" t="s">
        <v>0</v>
      </c>
      <c r="H1084" t="s">
        <v>4</v>
      </c>
      <c r="I1084" t="s">
        <v>505</v>
      </c>
      <c r="J1084" t="s">
        <v>6</v>
      </c>
      <c r="K1084" t="s">
        <v>242</v>
      </c>
      <c r="L1084" t="s">
        <v>525</v>
      </c>
      <c r="M1084" t="s">
        <v>526</v>
      </c>
      <c r="N1084" t="s">
        <v>10</v>
      </c>
      <c r="O1084" t="s">
        <v>0</v>
      </c>
      <c r="P1084" t="s">
        <v>147</v>
      </c>
      <c r="Q1084" s="5">
        <v>2</v>
      </c>
      <c r="R1084" s="4">
        <v>238</v>
      </c>
      <c r="S1084" s="5">
        <v>1</v>
      </c>
      <c r="T1084" s="4">
        <v>476</v>
      </c>
      <c r="U1084" s="5">
        <v>2</v>
      </c>
      <c r="V1084" s="4">
        <v>476</v>
      </c>
      <c r="W1084" s="5">
        <v>2</v>
      </c>
      <c r="X1084" s="4">
        <v>476</v>
      </c>
      <c r="Y1084" s="4">
        <f t="shared" si="32"/>
        <v>0</v>
      </c>
      <c r="Z1084" t="s">
        <v>0</v>
      </c>
      <c r="AA1084" t="s">
        <v>2</v>
      </c>
      <c r="AB1084" t="s">
        <v>12</v>
      </c>
      <c r="AC1084">
        <f>_xlfn.XLOOKUP(AB1084,'[1]GST Codes'!$A:$A,'[1]GST Codes'!$C:$C,0,0)</f>
        <v>18</v>
      </c>
      <c r="AD1084">
        <f t="shared" si="33"/>
        <v>0</v>
      </c>
      <c r="AE1084" t="s">
        <v>13</v>
      </c>
      <c r="AF1084" t="s">
        <v>0</v>
      </c>
      <c r="AG1084" t="s">
        <v>14</v>
      </c>
      <c r="AH1084" t="s">
        <v>15</v>
      </c>
      <c r="AI1084" t="s">
        <v>96</v>
      </c>
      <c r="AJ1084" t="s">
        <v>17</v>
      </c>
      <c r="AK1084" t="s">
        <v>18</v>
      </c>
      <c r="AL1084" t="s">
        <v>148</v>
      </c>
      <c r="AM1084" t="s">
        <v>508</v>
      </c>
      <c r="AN1084" t="s">
        <v>0</v>
      </c>
      <c r="AO1084" t="s">
        <v>0</v>
      </c>
      <c r="AP1084" t="s">
        <v>0</v>
      </c>
      <c r="AQ1084" s="5">
        <v>2</v>
      </c>
      <c r="AR1084" t="s">
        <v>147</v>
      </c>
      <c r="AS1084" t="s">
        <v>0</v>
      </c>
      <c r="AT1084" t="s">
        <v>17</v>
      </c>
      <c r="AU1084" s="4">
        <v>0</v>
      </c>
      <c r="AV1084" s="4">
        <v>0</v>
      </c>
      <c r="AW1084" s="4">
        <v>0</v>
      </c>
      <c r="AX1084" s="4">
        <v>0</v>
      </c>
      <c r="AY1084" s="5">
        <v>0</v>
      </c>
      <c r="AZ1084" s="5">
        <v>0</v>
      </c>
      <c r="BA1084" s="5">
        <v>0</v>
      </c>
      <c r="BB1084" s="2"/>
      <c r="BC1084" t="s">
        <v>0</v>
      </c>
      <c r="BD1084" s="5">
        <v>1</v>
      </c>
      <c r="BE1084" t="s">
        <v>0</v>
      </c>
      <c r="BF1084" t="s">
        <v>527</v>
      </c>
      <c r="BG1084" t="s">
        <v>17</v>
      </c>
      <c r="BH1084" t="s">
        <v>0</v>
      </c>
      <c r="BI1084" t="s">
        <v>147</v>
      </c>
      <c r="BJ1084" t="s">
        <v>0</v>
      </c>
      <c r="BK1084" t="s">
        <v>0</v>
      </c>
      <c r="BL1084" s="5">
        <v>0</v>
      </c>
      <c r="BM1084" t="s">
        <v>0</v>
      </c>
      <c r="BN1084" t="s">
        <v>0</v>
      </c>
      <c r="BO1084" t="s">
        <v>0</v>
      </c>
      <c r="BP1084" t="s">
        <v>17</v>
      </c>
      <c r="BQ1084" t="s">
        <v>0</v>
      </c>
      <c r="BR1084" t="s">
        <v>17</v>
      </c>
      <c r="BS1084" t="s">
        <v>17</v>
      </c>
      <c r="BT1084" t="s">
        <v>0</v>
      </c>
      <c r="BU1084" t="s">
        <v>0</v>
      </c>
      <c r="BV1084" t="s">
        <v>0</v>
      </c>
      <c r="BW1084" t="s">
        <v>0</v>
      </c>
      <c r="BX1084" t="s">
        <v>0</v>
      </c>
      <c r="BY1084" t="s">
        <v>0</v>
      </c>
      <c r="BZ1084" t="s">
        <v>0</v>
      </c>
      <c r="CA1084" t="s">
        <v>0</v>
      </c>
      <c r="CB1084" t="s">
        <v>0</v>
      </c>
    </row>
    <row r="1085" spans="1:80" x14ac:dyDescent="0.25">
      <c r="A1085" t="s">
        <v>504</v>
      </c>
      <c r="B1085" s="2">
        <v>46180</v>
      </c>
      <c r="C1085" s="2"/>
      <c r="D1085" s="2"/>
      <c r="E1085" t="s">
        <v>2</v>
      </c>
      <c r="F1085" t="s">
        <v>89</v>
      </c>
      <c r="G1085" t="s">
        <v>0</v>
      </c>
      <c r="H1085" t="s">
        <v>4</v>
      </c>
      <c r="I1085" t="s">
        <v>505</v>
      </c>
      <c r="J1085" t="s">
        <v>6</v>
      </c>
      <c r="K1085" t="s">
        <v>243</v>
      </c>
      <c r="L1085" t="s">
        <v>528</v>
      </c>
      <c r="M1085" t="s">
        <v>529</v>
      </c>
      <c r="N1085" t="s">
        <v>10</v>
      </c>
      <c r="O1085" t="s">
        <v>0</v>
      </c>
      <c r="P1085" t="s">
        <v>147</v>
      </c>
      <c r="Q1085" s="5">
        <v>5</v>
      </c>
      <c r="R1085" s="4">
        <v>120</v>
      </c>
      <c r="S1085" s="5">
        <v>1</v>
      </c>
      <c r="T1085" s="4">
        <v>600</v>
      </c>
      <c r="U1085" s="5">
        <v>5</v>
      </c>
      <c r="V1085" s="4">
        <v>600</v>
      </c>
      <c r="W1085" s="5">
        <v>5</v>
      </c>
      <c r="X1085" s="4">
        <v>600</v>
      </c>
      <c r="Y1085" s="4">
        <f t="shared" si="32"/>
        <v>0</v>
      </c>
      <c r="Z1085" t="s">
        <v>0</v>
      </c>
      <c r="AA1085" t="s">
        <v>2</v>
      </c>
      <c r="AB1085" t="s">
        <v>12</v>
      </c>
      <c r="AC1085">
        <f>_xlfn.XLOOKUP(AB1085,'[1]GST Codes'!$A:$A,'[1]GST Codes'!$C:$C,0,0)</f>
        <v>18</v>
      </c>
      <c r="AD1085">
        <f t="shared" si="33"/>
        <v>0</v>
      </c>
      <c r="AE1085" t="s">
        <v>13</v>
      </c>
      <c r="AF1085" t="s">
        <v>0</v>
      </c>
      <c r="AG1085" t="s">
        <v>14</v>
      </c>
      <c r="AH1085" t="s">
        <v>15</v>
      </c>
      <c r="AI1085" t="s">
        <v>96</v>
      </c>
      <c r="AJ1085" t="s">
        <v>17</v>
      </c>
      <c r="AK1085" t="s">
        <v>18</v>
      </c>
      <c r="AL1085" t="s">
        <v>148</v>
      </c>
      <c r="AM1085" t="s">
        <v>508</v>
      </c>
      <c r="AN1085" t="s">
        <v>0</v>
      </c>
      <c r="AO1085" t="s">
        <v>0</v>
      </c>
      <c r="AP1085" t="s">
        <v>0</v>
      </c>
      <c r="AQ1085" s="5">
        <v>5</v>
      </c>
      <c r="AR1085" t="s">
        <v>147</v>
      </c>
      <c r="AS1085" t="s">
        <v>0</v>
      </c>
      <c r="AT1085" t="s">
        <v>17</v>
      </c>
      <c r="AU1085" s="4">
        <v>0</v>
      </c>
      <c r="AV1085" s="4">
        <v>0</v>
      </c>
      <c r="AW1085" s="4">
        <v>0</v>
      </c>
      <c r="AX1085" s="4">
        <v>0</v>
      </c>
      <c r="AY1085" s="5">
        <v>0</v>
      </c>
      <c r="AZ1085" s="5">
        <v>0</v>
      </c>
      <c r="BA1085" s="5">
        <v>0</v>
      </c>
      <c r="BB1085" s="2"/>
      <c r="BC1085" t="s">
        <v>0</v>
      </c>
      <c r="BD1085" s="5">
        <v>1</v>
      </c>
      <c r="BE1085" t="s">
        <v>0</v>
      </c>
      <c r="BF1085" t="s">
        <v>530</v>
      </c>
      <c r="BG1085" t="s">
        <v>17</v>
      </c>
      <c r="BH1085" t="s">
        <v>0</v>
      </c>
      <c r="BI1085" t="s">
        <v>147</v>
      </c>
      <c r="BJ1085" t="s">
        <v>0</v>
      </c>
      <c r="BK1085" t="s">
        <v>0</v>
      </c>
      <c r="BL1085" s="5">
        <v>0</v>
      </c>
      <c r="BM1085" t="s">
        <v>0</v>
      </c>
      <c r="BN1085" t="s">
        <v>0</v>
      </c>
      <c r="BO1085" t="s">
        <v>0</v>
      </c>
      <c r="BP1085" t="s">
        <v>17</v>
      </c>
      <c r="BQ1085" t="s">
        <v>0</v>
      </c>
      <c r="BR1085" t="s">
        <v>17</v>
      </c>
      <c r="BS1085" t="s">
        <v>17</v>
      </c>
      <c r="BT1085" t="s">
        <v>0</v>
      </c>
      <c r="BU1085" t="s">
        <v>0</v>
      </c>
      <c r="BV1085" t="s">
        <v>0</v>
      </c>
      <c r="BW1085" t="s">
        <v>0</v>
      </c>
      <c r="BX1085" t="s">
        <v>0</v>
      </c>
      <c r="BY1085" t="s">
        <v>0</v>
      </c>
      <c r="BZ1085" t="s">
        <v>0</v>
      </c>
      <c r="CA1085" t="s">
        <v>0</v>
      </c>
      <c r="CB1085" t="s">
        <v>0</v>
      </c>
    </row>
    <row r="1086" spans="1:80" x14ac:dyDescent="0.25">
      <c r="A1086" t="s">
        <v>504</v>
      </c>
      <c r="B1086" s="2">
        <v>46180</v>
      </c>
      <c r="C1086" s="2"/>
      <c r="D1086" s="2"/>
      <c r="E1086" t="s">
        <v>2</v>
      </c>
      <c r="F1086" t="s">
        <v>89</v>
      </c>
      <c r="G1086" t="s">
        <v>0</v>
      </c>
      <c r="H1086" t="s">
        <v>4</v>
      </c>
      <c r="I1086" t="s">
        <v>505</v>
      </c>
      <c r="J1086" t="s">
        <v>6</v>
      </c>
      <c r="K1086" t="s">
        <v>244</v>
      </c>
      <c r="L1086" t="s">
        <v>531</v>
      </c>
      <c r="M1086" t="s">
        <v>532</v>
      </c>
      <c r="N1086" t="s">
        <v>10</v>
      </c>
      <c r="O1086" t="s">
        <v>0</v>
      </c>
      <c r="P1086" t="s">
        <v>147</v>
      </c>
      <c r="Q1086" s="5">
        <v>3</v>
      </c>
      <c r="R1086" s="4">
        <v>184</v>
      </c>
      <c r="S1086" s="5">
        <v>1</v>
      </c>
      <c r="T1086" s="4">
        <v>552</v>
      </c>
      <c r="U1086" s="5">
        <v>3</v>
      </c>
      <c r="V1086" s="4">
        <v>552</v>
      </c>
      <c r="W1086" s="5">
        <v>3</v>
      </c>
      <c r="X1086" s="4">
        <v>552</v>
      </c>
      <c r="Y1086" s="4">
        <f t="shared" si="32"/>
        <v>0</v>
      </c>
      <c r="Z1086" t="s">
        <v>0</v>
      </c>
      <c r="AA1086" t="s">
        <v>2</v>
      </c>
      <c r="AB1086" t="s">
        <v>12</v>
      </c>
      <c r="AC1086">
        <f>_xlfn.XLOOKUP(AB1086,'[1]GST Codes'!$A:$A,'[1]GST Codes'!$C:$C,0,0)</f>
        <v>18</v>
      </c>
      <c r="AD1086">
        <f t="shared" si="33"/>
        <v>0</v>
      </c>
      <c r="AE1086" t="s">
        <v>13</v>
      </c>
      <c r="AF1086" t="s">
        <v>0</v>
      </c>
      <c r="AG1086" t="s">
        <v>14</v>
      </c>
      <c r="AH1086" t="s">
        <v>15</v>
      </c>
      <c r="AI1086" t="s">
        <v>96</v>
      </c>
      <c r="AJ1086" t="s">
        <v>17</v>
      </c>
      <c r="AK1086" t="s">
        <v>18</v>
      </c>
      <c r="AL1086" t="s">
        <v>148</v>
      </c>
      <c r="AM1086" t="s">
        <v>508</v>
      </c>
      <c r="AN1086" t="s">
        <v>0</v>
      </c>
      <c r="AO1086" t="s">
        <v>0</v>
      </c>
      <c r="AP1086" t="s">
        <v>0</v>
      </c>
      <c r="AQ1086" s="5">
        <v>3</v>
      </c>
      <c r="AR1086" t="s">
        <v>147</v>
      </c>
      <c r="AS1086" t="s">
        <v>0</v>
      </c>
      <c r="AT1086" t="s">
        <v>17</v>
      </c>
      <c r="AU1086" s="4">
        <v>0</v>
      </c>
      <c r="AV1086" s="4">
        <v>0</v>
      </c>
      <c r="AW1086" s="4">
        <v>0</v>
      </c>
      <c r="AX1086" s="4">
        <v>0</v>
      </c>
      <c r="AY1086" s="5">
        <v>0</v>
      </c>
      <c r="AZ1086" s="5">
        <v>0</v>
      </c>
      <c r="BA1086" s="5">
        <v>0</v>
      </c>
      <c r="BB1086" s="2"/>
      <c r="BC1086" t="s">
        <v>0</v>
      </c>
      <c r="BD1086" s="5">
        <v>1</v>
      </c>
      <c r="BE1086" t="s">
        <v>0</v>
      </c>
      <c r="BF1086" t="s">
        <v>533</v>
      </c>
      <c r="BG1086" t="s">
        <v>17</v>
      </c>
      <c r="BH1086" t="s">
        <v>0</v>
      </c>
      <c r="BI1086" t="s">
        <v>147</v>
      </c>
      <c r="BJ1086" t="s">
        <v>0</v>
      </c>
      <c r="BK1086" t="s">
        <v>0</v>
      </c>
      <c r="BL1086" s="5">
        <v>0</v>
      </c>
      <c r="BM1086" t="s">
        <v>0</v>
      </c>
      <c r="BN1086" t="s">
        <v>0</v>
      </c>
      <c r="BO1086" t="s">
        <v>0</v>
      </c>
      <c r="BP1086" t="s">
        <v>17</v>
      </c>
      <c r="BQ1086" t="s">
        <v>0</v>
      </c>
      <c r="BR1086" t="s">
        <v>17</v>
      </c>
      <c r="BS1086" t="s">
        <v>17</v>
      </c>
      <c r="BT1086" t="s">
        <v>0</v>
      </c>
      <c r="BU1086" t="s">
        <v>0</v>
      </c>
      <c r="BV1086" t="s">
        <v>0</v>
      </c>
      <c r="BW1086" t="s">
        <v>0</v>
      </c>
      <c r="BX1086" t="s">
        <v>0</v>
      </c>
      <c r="BY1086" t="s">
        <v>0</v>
      </c>
      <c r="BZ1086" t="s">
        <v>0</v>
      </c>
      <c r="CA1086" t="s">
        <v>0</v>
      </c>
      <c r="CB1086" t="s">
        <v>0</v>
      </c>
    </row>
    <row r="1087" spans="1:80" x14ac:dyDescent="0.25">
      <c r="A1087" t="s">
        <v>504</v>
      </c>
      <c r="B1087" s="2">
        <v>46180</v>
      </c>
      <c r="C1087" s="2"/>
      <c r="D1087" s="2"/>
      <c r="E1087" t="s">
        <v>2</v>
      </c>
      <c r="F1087" t="s">
        <v>89</v>
      </c>
      <c r="G1087" t="s">
        <v>0</v>
      </c>
      <c r="H1087" t="s">
        <v>4</v>
      </c>
      <c r="I1087" t="s">
        <v>505</v>
      </c>
      <c r="J1087" t="s">
        <v>6</v>
      </c>
      <c r="K1087" t="s">
        <v>245</v>
      </c>
      <c r="L1087" t="s">
        <v>229</v>
      </c>
      <c r="M1087" t="s">
        <v>534</v>
      </c>
      <c r="N1087" t="s">
        <v>10</v>
      </c>
      <c r="O1087" t="s">
        <v>0</v>
      </c>
      <c r="P1087" t="s">
        <v>147</v>
      </c>
      <c r="Q1087" s="5">
        <v>1</v>
      </c>
      <c r="R1087" s="4">
        <v>124</v>
      </c>
      <c r="S1087" s="5">
        <v>1</v>
      </c>
      <c r="T1087" s="4">
        <v>124</v>
      </c>
      <c r="U1087" s="5">
        <v>1</v>
      </c>
      <c r="V1087" s="4">
        <v>124</v>
      </c>
      <c r="W1087" s="5">
        <v>1</v>
      </c>
      <c r="X1087" s="4">
        <v>124</v>
      </c>
      <c r="Y1087" s="4">
        <f t="shared" si="32"/>
        <v>0</v>
      </c>
      <c r="Z1087" t="s">
        <v>0</v>
      </c>
      <c r="AA1087" t="s">
        <v>2</v>
      </c>
      <c r="AB1087" t="s">
        <v>12</v>
      </c>
      <c r="AC1087">
        <f>_xlfn.XLOOKUP(AB1087,'[1]GST Codes'!$A:$A,'[1]GST Codes'!$C:$C,0,0)</f>
        <v>18</v>
      </c>
      <c r="AD1087">
        <f t="shared" si="33"/>
        <v>0</v>
      </c>
      <c r="AE1087" t="s">
        <v>13</v>
      </c>
      <c r="AF1087" t="s">
        <v>0</v>
      </c>
      <c r="AG1087" t="s">
        <v>14</v>
      </c>
      <c r="AH1087" t="s">
        <v>15</v>
      </c>
      <c r="AI1087" t="s">
        <v>96</v>
      </c>
      <c r="AJ1087" t="s">
        <v>17</v>
      </c>
      <c r="AK1087" t="s">
        <v>18</v>
      </c>
      <c r="AL1087" t="s">
        <v>148</v>
      </c>
      <c r="AM1087" t="s">
        <v>508</v>
      </c>
      <c r="AN1087" t="s">
        <v>0</v>
      </c>
      <c r="AO1087" t="s">
        <v>0</v>
      </c>
      <c r="AP1087" t="s">
        <v>0</v>
      </c>
      <c r="AQ1087" s="5">
        <v>1</v>
      </c>
      <c r="AR1087" t="s">
        <v>147</v>
      </c>
      <c r="AS1087" t="s">
        <v>0</v>
      </c>
      <c r="AT1087" t="s">
        <v>17</v>
      </c>
      <c r="AU1087" s="4">
        <v>0</v>
      </c>
      <c r="AV1087" s="4">
        <v>0</v>
      </c>
      <c r="AW1087" s="4">
        <v>0</v>
      </c>
      <c r="AX1087" s="4">
        <v>0</v>
      </c>
      <c r="AY1087" s="5">
        <v>0</v>
      </c>
      <c r="AZ1087" s="5">
        <v>0</v>
      </c>
      <c r="BA1087" s="5">
        <v>0</v>
      </c>
      <c r="BB1087" s="2"/>
      <c r="BC1087" t="s">
        <v>0</v>
      </c>
      <c r="BD1087" s="5">
        <v>1</v>
      </c>
      <c r="BE1087" t="s">
        <v>0</v>
      </c>
      <c r="BF1087" t="s">
        <v>535</v>
      </c>
      <c r="BG1087" t="s">
        <v>17</v>
      </c>
      <c r="BH1087" t="s">
        <v>0</v>
      </c>
      <c r="BI1087" t="s">
        <v>147</v>
      </c>
      <c r="BJ1087" t="s">
        <v>0</v>
      </c>
      <c r="BK1087" t="s">
        <v>0</v>
      </c>
      <c r="BL1087" s="5">
        <v>0</v>
      </c>
      <c r="BM1087" t="s">
        <v>0</v>
      </c>
      <c r="BN1087" t="s">
        <v>0</v>
      </c>
      <c r="BO1087" t="s">
        <v>0</v>
      </c>
      <c r="BP1087" t="s">
        <v>17</v>
      </c>
      <c r="BQ1087" t="s">
        <v>0</v>
      </c>
      <c r="BR1087" t="s">
        <v>17</v>
      </c>
      <c r="BS1087" t="s">
        <v>17</v>
      </c>
      <c r="BT1087" t="s">
        <v>0</v>
      </c>
      <c r="BU1087" t="s">
        <v>0</v>
      </c>
      <c r="BV1087" t="s">
        <v>0</v>
      </c>
      <c r="BW1087" t="s">
        <v>0</v>
      </c>
      <c r="BX1087" t="s">
        <v>0</v>
      </c>
      <c r="BY1087" t="s">
        <v>0</v>
      </c>
      <c r="BZ1087" t="s">
        <v>0</v>
      </c>
      <c r="CA1087" t="s">
        <v>0</v>
      </c>
      <c r="CB1087" t="s">
        <v>0</v>
      </c>
    </row>
    <row r="1088" spans="1:80" x14ac:dyDescent="0.25">
      <c r="A1088" t="s">
        <v>504</v>
      </c>
      <c r="B1088" s="2">
        <v>46180</v>
      </c>
      <c r="C1088" s="2"/>
      <c r="D1088" s="2"/>
      <c r="E1088" t="s">
        <v>2</v>
      </c>
      <c r="F1088" t="s">
        <v>89</v>
      </c>
      <c r="G1088" t="s">
        <v>0</v>
      </c>
      <c r="H1088" t="s">
        <v>4</v>
      </c>
      <c r="I1088" t="s">
        <v>505</v>
      </c>
      <c r="J1088" t="s">
        <v>6</v>
      </c>
      <c r="K1088" t="s">
        <v>246</v>
      </c>
      <c r="L1088" t="s">
        <v>536</v>
      </c>
      <c r="M1088" t="s">
        <v>537</v>
      </c>
      <c r="N1088" t="s">
        <v>10</v>
      </c>
      <c r="O1088" t="s">
        <v>0</v>
      </c>
      <c r="P1088" t="s">
        <v>147</v>
      </c>
      <c r="Q1088" s="5">
        <v>5</v>
      </c>
      <c r="R1088" s="4">
        <v>102</v>
      </c>
      <c r="S1088" s="5">
        <v>1</v>
      </c>
      <c r="T1088" s="4">
        <v>510</v>
      </c>
      <c r="U1088" s="5">
        <v>5</v>
      </c>
      <c r="V1088" s="4">
        <v>510</v>
      </c>
      <c r="W1088" s="5">
        <v>5</v>
      </c>
      <c r="X1088" s="4">
        <v>510</v>
      </c>
      <c r="Y1088" s="4">
        <f t="shared" si="32"/>
        <v>0</v>
      </c>
      <c r="Z1088" t="s">
        <v>0</v>
      </c>
      <c r="AA1088" t="s">
        <v>2</v>
      </c>
      <c r="AB1088" t="s">
        <v>12</v>
      </c>
      <c r="AC1088">
        <f>_xlfn.XLOOKUP(AB1088,'[1]GST Codes'!$A:$A,'[1]GST Codes'!$C:$C,0,0)</f>
        <v>18</v>
      </c>
      <c r="AD1088">
        <f t="shared" si="33"/>
        <v>0</v>
      </c>
      <c r="AE1088" t="s">
        <v>13</v>
      </c>
      <c r="AF1088" t="s">
        <v>0</v>
      </c>
      <c r="AG1088" t="s">
        <v>14</v>
      </c>
      <c r="AH1088" t="s">
        <v>15</v>
      </c>
      <c r="AI1088" t="s">
        <v>96</v>
      </c>
      <c r="AJ1088" t="s">
        <v>17</v>
      </c>
      <c r="AK1088" t="s">
        <v>18</v>
      </c>
      <c r="AL1088" t="s">
        <v>148</v>
      </c>
      <c r="AM1088" t="s">
        <v>508</v>
      </c>
      <c r="AN1088" t="s">
        <v>0</v>
      </c>
      <c r="AO1088" t="s">
        <v>0</v>
      </c>
      <c r="AP1088" t="s">
        <v>0</v>
      </c>
      <c r="AQ1088" s="5">
        <v>5</v>
      </c>
      <c r="AR1088" t="s">
        <v>147</v>
      </c>
      <c r="AS1088" t="s">
        <v>0</v>
      </c>
      <c r="AT1088" t="s">
        <v>17</v>
      </c>
      <c r="AU1088" s="4">
        <v>0</v>
      </c>
      <c r="AV1088" s="4">
        <v>0</v>
      </c>
      <c r="AW1088" s="4">
        <v>0</v>
      </c>
      <c r="AX1088" s="4">
        <v>0</v>
      </c>
      <c r="AY1088" s="5">
        <v>0</v>
      </c>
      <c r="AZ1088" s="5">
        <v>0</v>
      </c>
      <c r="BA1088" s="5">
        <v>0</v>
      </c>
      <c r="BB1088" s="2"/>
      <c r="BC1088" t="s">
        <v>0</v>
      </c>
      <c r="BD1088" s="5">
        <v>1</v>
      </c>
      <c r="BE1088" t="s">
        <v>0</v>
      </c>
      <c r="BF1088" t="s">
        <v>538</v>
      </c>
      <c r="BG1088" t="s">
        <v>17</v>
      </c>
      <c r="BH1088" t="s">
        <v>0</v>
      </c>
      <c r="BI1088" t="s">
        <v>147</v>
      </c>
      <c r="BJ1088" t="s">
        <v>0</v>
      </c>
      <c r="BK1088" t="s">
        <v>0</v>
      </c>
      <c r="BL1088" s="5">
        <v>0</v>
      </c>
      <c r="BM1088" t="s">
        <v>0</v>
      </c>
      <c r="BN1088" t="s">
        <v>0</v>
      </c>
      <c r="BO1088" t="s">
        <v>0</v>
      </c>
      <c r="BP1088" t="s">
        <v>17</v>
      </c>
      <c r="BQ1088" t="s">
        <v>0</v>
      </c>
      <c r="BR1088" t="s">
        <v>17</v>
      </c>
      <c r="BS1088" t="s">
        <v>17</v>
      </c>
      <c r="BT1088" t="s">
        <v>0</v>
      </c>
      <c r="BU1088" t="s">
        <v>0</v>
      </c>
      <c r="BV1088" t="s">
        <v>0</v>
      </c>
      <c r="BW1088" t="s">
        <v>0</v>
      </c>
      <c r="BX1088" t="s">
        <v>0</v>
      </c>
      <c r="BY1088" t="s">
        <v>0</v>
      </c>
      <c r="BZ1088" t="s">
        <v>0</v>
      </c>
      <c r="CA1088" t="s">
        <v>0</v>
      </c>
      <c r="CB1088" t="s">
        <v>0</v>
      </c>
    </row>
    <row r="1089" spans="1:80" x14ac:dyDescent="0.25">
      <c r="A1089" t="s">
        <v>504</v>
      </c>
      <c r="B1089" s="2">
        <v>46180</v>
      </c>
      <c r="C1089" s="2"/>
      <c r="D1089" s="2"/>
      <c r="E1089" t="s">
        <v>2</v>
      </c>
      <c r="F1089" t="s">
        <v>89</v>
      </c>
      <c r="G1089" t="s">
        <v>0</v>
      </c>
      <c r="H1089" t="s">
        <v>4</v>
      </c>
      <c r="I1089" t="s">
        <v>505</v>
      </c>
      <c r="J1089" t="s">
        <v>6</v>
      </c>
      <c r="K1089" t="s">
        <v>247</v>
      </c>
      <c r="L1089" t="s">
        <v>536</v>
      </c>
      <c r="M1089" t="s">
        <v>537</v>
      </c>
      <c r="N1089" t="s">
        <v>10</v>
      </c>
      <c r="O1089" t="s">
        <v>0</v>
      </c>
      <c r="P1089" t="s">
        <v>147</v>
      </c>
      <c r="Q1089" s="5">
        <v>3</v>
      </c>
      <c r="R1089" s="4">
        <v>107</v>
      </c>
      <c r="S1089" s="5">
        <v>1</v>
      </c>
      <c r="T1089" s="4">
        <v>321</v>
      </c>
      <c r="U1089" s="5">
        <v>3</v>
      </c>
      <c r="V1089" s="4">
        <v>321</v>
      </c>
      <c r="W1089" s="5">
        <v>3</v>
      </c>
      <c r="X1089" s="4">
        <v>321</v>
      </c>
      <c r="Y1089" s="4">
        <f t="shared" si="32"/>
        <v>0</v>
      </c>
      <c r="Z1089" t="s">
        <v>0</v>
      </c>
      <c r="AA1089" t="s">
        <v>2</v>
      </c>
      <c r="AB1089" t="s">
        <v>12</v>
      </c>
      <c r="AC1089">
        <f>_xlfn.XLOOKUP(AB1089,'[1]GST Codes'!$A:$A,'[1]GST Codes'!$C:$C,0,0)</f>
        <v>18</v>
      </c>
      <c r="AD1089">
        <f t="shared" si="33"/>
        <v>0</v>
      </c>
      <c r="AE1089" t="s">
        <v>13</v>
      </c>
      <c r="AF1089" t="s">
        <v>0</v>
      </c>
      <c r="AG1089" t="s">
        <v>14</v>
      </c>
      <c r="AH1089" t="s">
        <v>15</v>
      </c>
      <c r="AI1089" t="s">
        <v>96</v>
      </c>
      <c r="AJ1089" t="s">
        <v>17</v>
      </c>
      <c r="AK1089" t="s">
        <v>18</v>
      </c>
      <c r="AL1089" t="s">
        <v>148</v>
      </c>
      <c r="AM1089" t="s">
        <v>508</v>
      </c>
      <c r="AN1089" t="s">
        <v>0</v>
      </c>
      <c r="AO1089" t="s">
        <v>0</v>
      </c>
      <c r="AP1089" t="s">
        <v>0</v>
      </c>
      <c r="AQ1089" s="5">
        <v>3</v>
      </c>
      <c r="AR1089" t="s">
        <v>147</v>
      </c>
      <c r="AS1089" t="s">
        <v>0</v>
      </c>
      <c r="AT1089" t="s">
        <v>17</v>
      </c>
      <c r="AU1089" s="4">
        <v>0</v>
      </c>
      <c r="AV1089" s="4">
        <v>0</v>
      </c>
      <c r="AW1089" s="4">
        <v>0</v>
      </c>
      <c r="AX1089" s="4">
        <v>0</v>
      </c>
      <c r="AY1089" s="5">
        <v>0</v>
      </c>
      <c r="AZ1089" s="5">
        <v>0</v>
      </c>
      <c r="BA1089" s="5">
        <v>0</v>
      </c>
      <c r="BB1089" s="2"/>
      <c r="BC1089" t="s">
        <v>0</v>
      </c>
      <c r="BD1089" s="5">
        <v>1</v>
      </c>
      <c r="BE1089" t="s">
        <v>0</v>
      </c>
      <c r="BF1089" t="s">
        <v>538</v>
      </c>
      <c r="BG1089" t="s">
        <v>17</v>
      </c>
      <c r="BH1089" t="s">
        <v>0</v>
      </c>
      <c r="BI1089" t="s">
        <v>147</v>
      </c>
      <c r="BJ1089" t="s">
        <v>0</v>
      </c>
      <c r="BK1089" t="s">
        <v>0</v>
      </c>
      <c r="BL1089" s="5">
        <v>0</v>
      </c>
      <c r="BM1089" t="s">
        <v>0</v>
      </c>
      <c r="BN1089" t="s">
        <v>0</v>
      </c>
      <c r="BO1089" t="s">
        <v>0</v>
      </c>
      <c r="BP1089" t="s">
        <v>17</v>
      </c>
      <c r="BQ1089" t="s">
        <v>0</v>
      </c>
      <c r="BR1089" t="s">
        <v>17</v>
      </c>
      <c r="BS1089" t="s">
        <v>17</v>
      </c>
      <c r="BT1089" t="s">
        <v>0</v>
      </c>
      <c r="BU1089" t="s">
        <v>0</v>
      </c>
      <c r="BV1089" t="s">
        <v>0</v>
      </c>
      <c r="BW1089" t="s">
        <v>0</v>
      </c>
      <c r="BX1089" t="s">
        <v>0</v>
      </c>
      <c r="BY1089" t="s">
        <v>0</v>
      </c>
      <c r="BZ1089" t="s">
        <v>0</v>
      </c>
      <c r="CA1089" t="s">
        <v>0</v>
      </c>
      <c r="CB1089" t="s">
        <v>0</v>
      </c>
    </row>
    <row r="1090" spans="1:80" x14ac:dyDescent="0.25">
      <c r="A1090" t="s">
        <v>504</v>
      </c>
      <c r="B1090" s="2">
        <v>46180</v>
      </c>
      <c r="C1090" s="2"/>
      <c r="D1090" s="2"/>
      <c r="E1090" t="s">
        <v>2</v>
      </c>
      <c r="F1090" t="s">
        <v>89</v>
      </c>
      <c r="G1090" t="s">
        <v>0</v>
      </c>
      <c r="H1090" t="s">
        <v>4</v>
      </c>
      <c r="I1090" t="s">
        <v>505</v>
      </c>
      <c r="J1090" t="s">
        <v>6</v>
      </c>
      <c r="K1090" t="s">
        <v>248</v>
      </c>
      <c r="L1090" t="s">
        <v>536</v>
      </c>
      <c r="M1090" t="s">
        <v>537</v>
      </c>
      <c r="N1090" t="s">
        <v>10</v>
      </c>
      <c r="O1090" t="s">
        <v>0</v>
      </c>
      <c r="P1090" t="s">
        <v>147</v>
      </c>
      <c r="Q1090" s="5">
        <v>5</v>
      </c>
      <c r="R1090" s="4">
        <v>116</v>
      </c>
      <c r="S1090" s="5">
        <v>1</v>
      </c>
      <c r="T1090" s="4">
        <v>580</v>
      </c>
      <c r="U1090" s="5">
        <v>5</v>
      </c>
      <c r="V1090" s="4">
        <v>580</v>
      </c>
      <c r="W1090" s="5">
        <v>5</v>
      </c>
      <c r="X1090" s="4">
        <v>580</v>
      </c>
      <c r="Y1090" s="4">
        <f t="shared" si="32"/>
        <v>0</v>
      </c>
      <c r="Z1090" t="s">
        <v>0</v>
      </c>
      <c r="AA1090" t="s">
        <v>2</v>
      </c>
      <c r="AB1090" t="s">
        <v>12</v>
      </c>
      <c r="AC1090">
        <f>_xlfn.XLOOKUP(AB1090,'[1]GST Codes'!$A:$A,'[1]GST Codes'!$C:$C,0,0)</f>
        <v>18</v>
      </c>
      <c r="AD1090">
        <f t="shared" si="33"/>
        <v>0</v>
      </c>
      <c r="AE1090" t="s">
        <v>13</v>
      </c>
      <c r="AF1090" t="s">
        <v>0</v>
      </c>
      <c r="AG1090" t="s">
        <v>14</v>
      </c>
      <c r="AH1090" t="s">
        <v>15</v>
      </c>
      <c r="AI1090" t="s">
        <v>96</v>
      </c>
      <c r="AJ1090" t="s">
        <v>17</v>
      </c>
      <c r="AK1090" t="s">
        <v>18</v>
      </c>
      <c r="AL1090" t="s">
        <v>148</v>
      </c>
      <c r="AM1090" t="s">
        <v>508</v>
      </c>
      <c r="AN1090" t="s">
        <v>0</v>
      </c>
      <c r="AO1090" t="s">
        <v>0</v>
      </c>
      <c r="AP1090" t="s">
        <v>0</v>
      </c>
      <c r="AQ1090" s="5">
        <v>5</v>
      </c>
      <c r="AR1090" t="s">
        <v>147</v>
      </c>
      <c r="AS1090" t="s">
        <v>0</v>
      </c>
      <c r="AT1090" t="s">
        <v>17</v>
      </c>
      <c r="AU1090" s="4">
        <v>0</v>
      </c>
      <c r="AV1090" s="4">
        <v>0</v>
      </c>
      <c r="AW1090" s="4">
        <v>0</v>
      </c>
      <c r="AX1090" s="4">
        <v>0</v>
      </c>
      <c r="AY1090" s="5">
        <v>0</v>
      </c>
      <c r="AZ1090" s="5">
        <v>0</v>
      </c>
      <c r="BA1090" s="5">
        <v>0</v>
      </c>
      <c r="BB1090" s="2"/>
      <c r="BC1090" t="s">
        <v>0</v>
      </c>
      <c r="BD1090" s="5">
        <v>1</v>
      </c>
      <c r="BE1090" t="s">
        <v>0</v>
      </c>
      <c r="BF1090" t="s">
        <v>538</v>
      </c>
      <c r="BG1090" t="s">
        <v>17</v>
      </c>
      <c r="BH1090" t="s">
        <v>0</v>
      </c>
      <c r="BI1090" t="s">
        <v>147</v>
      </c>
      <c r="BJ1090" t="s">
        <v>0</v>
      </c>
      <c r="BK1090" t="s">
        <v>0</v>
      </c>
      <c r="BL1090" s="5">
        <v>0</v>
      </c>
      <c r="BM1090" t="s">
        <v>0</v>
      </c>
      <c r="BN1090" t="s">
        <v>0</v>
      </c>
      <c r="BO1090" t="s">
        <v>0</v>
      </c>
      <c r="BP1090" t="s">
        <v>17</v>
      </c>
      <c r="BQ1090" t="s">
        <v>0</v>
      </c>
      <c r="BR1090" t="s">
        <v>17</v>
      </c>
      <c r="BS1090" t="s">
        <v>17</v>
      </c>
      <c r="BT1090" t="s">
        <v>0</v>
      </c>
      <c r="BU1090" t="s">
        <v>0</v>
      </c>
      <c r="BV1090" t="s">
        <v>0</v>
      </c>
      <c r="BW1090" t="s">
        <v>0</v>
      </c>
      <c r="BX1090" t="s">
        <v>0</v>
      </c>
      <c r="BY1090" t="s">
        <v>0</v>
      </c>
      <c r="BZ1090" t="s">
        <v>0</v>
      </c>
      <c r="CA1090" t="s">
        <v>0</v>
      </c>
      <c r="CB1090" t="s">
        <v>0</v>
      </c>
    </row>
    <row r="1091" spans="1:80" x14ac:dyDescent="0.25">
      <c r="A1091" t="s">
        <v>504</v>
      </c>
      <c r="B1091" s="2">
        <v>46180</v>
      </c>
      <c r="C1091" s="2"/>
      <c r="D1091" s="2"/>
      <c r="E1091" t="s">
        <v>2</v>
      </c>
      <c r="F1091" t="s">
        <v>89</v>
      </c>
      <c r="G1091" t="s">
        <v>0</v>
      </c>
      <c r="H1091" t="s">
        <v>4</v>
      </c>
      <c r="I1091" t="s">
        <v>505</v>
      </c>
      <c r="J1091" t="s">
        <v>6</v>
      </c>
      <c r="K1091" t="s">
        <v>249</v>
      </c>
      <c r="L1091" t="s">
        <v>536</v>
      </c>
      <c r="M1091" t="s">
        <v>537</v>
      </c>
      <c r="N1091" t="s">
        <v>10</v>
      </c>
      <c r="O1091" t="s">
        <v>0</v>
      </c>
      <c r="P1091" t="s">
        <v>147</v>
      </c>
      <c r="Q1091" s="5">
        <v>1</v>
      </c>
      <c r="R1091" s="4">
        <v>222</v>
      </c>
      <c r="S1091" s="5">
        <v>1</v>
      </c>
      <c r="T1091" s="4">
        <v>222</v>
      </c>
      <c r="U1091" s="5">
        <v>1</v>
      </c>
      <c r="V1091" s="4">
        <v>222</v>
      </c>
      <c r="W1091" s="5">
        <v>1</v>
      </c>
      <c r="X1091" s="4">
        <v>222</v>
      </c>
      <c r="Y1091" s="4">
        <f t="shared" ref="Y1091:Y1154" si="34">T1091-V1091</f>
        <v>0</v>
      </c>
      <c r="Z1091" t="s">
        <v>0</v>
      </c>
      <c r="AA1091" t="s">
        <v>2</v>
      </c>
      <c r="AB1091" t="s">
        <v>12</v>
      </c>
      <c r="AC1091">
        <f>_xlfn.XLOOKUP(AB1091,'[1]GST Codes'!$A:$A,'[1]GST Codes'!$C:$C,0,0)</f>
        <v>18</v>
      </c>
      <c r="AD1091">
        <f t="shared" ref="AD1091:AD1154" si="35">Y1091+(Y1091*AC1091/100)</f>
        <v>0</v>
      </c>
      <c r="AE1091" t="s">
        <v>13</v>
      </c>
      <c r="AF1091" t="s">
        <v>0</v>
      </c>
      <c r="AG1091" t="s">
        <v>14</v>
      </c>
      <c r="AH1091" t="s">
        <v>15</v>
      </c>
      <c r="AI1091" t="s">
        <v>96</v>
      </c>
      <c r="AJ1091" t="s">
        <v>17</v>
      </c>
      <c r="AK1091" t="s">
        <v>18</v>
      </c>
      <c r="AL1091" t="s">
        <v>148</v>
      </c>
      <c r="AM1091" t="s">
        <v>508</v>
      </c>
      <c r="AN1091" t="s">
        <v>0</v>
      </c>
      <c r="AO1091" t="s">
        <v>0</v>
      </c>
      <c r="AP1091" t="s">
        <v>0</v>
      </c>
      <c r="AQ1091" s="5">
        <v>1</v>
      </c>
      <c r="AR1091" t="s">
        <v>147</v>
      </c>
      <c r="AS1091" t="s">
        <v>0</v>
      </c>
      <c r="AT1091" t="s">
        <v>17</v>
      </c>
      <c r="AU1091" s="4">
        <v>0</v>
      </c>
      <c r="AV1091" s="4">
        <v>0</v>
      </c>
      <c r="AW1091" s="4">
        <v>0</v>
      </c>
      <c r="AX1091" s="4">
        <v>0</v>
      </c>
      <c r="AY1091" s="5">
        <v>0</v>
      </c>
      <c r="AZ1091" s="5">
        <v>0</v>
      </c>
      <c r="BA1091" s="5">
        <v>0</v>
      </c>
      <c r="BB1091" s="2"/>
      <c r="BC1091" t="s">
        <v>0</v>
      </c>
      <c r="BD1091" s="5">
        <v>1</v>
      </c>
      <c r="BE1091" t="s">
        <v>0</v>
      </c>
      <c r="BF1091" t="s">
        <v>538</v>
      </c>
      <c r="BG1091" t="s">
        <v>17</v>
      </c>
      <c r="BH1091" t="s">
        <v>0</v>
      </c>
      <c r="BI1091" t="s">
        <v>147</v>
      </c>
      <c r="BJ1091" t="s">
        <v>0</v>
      </c>
      <c r="BK1091" t="s">
        <v>0</v>
      </c>
      <c r="BL1091" s="5">
        <v>0</v>
      </c>
      <c r="BM1091" t="s">
        <v>0</v>
      </c>
      <c r="BN1091" t="s">
        <v>0</v>
      </c>
      <c r="BO1091" t="s">
        <v>0</v>
      </c>
      <c r="BP1091" t="s">
        <v>17</v>
      </c>
      <c r="BQ1091" t="s">
        <v>0</v>
      </c>
      <c r="BR1091" t="s">
        <v>17</v>
      </c>
      <c r="BS1091" t="s">
        <v>17</v>
      </c>
      <c r="BT1091" t="s">
        <v>0</v>
      </c>
      <c r="BU1091" t="s">
        <v>0</v>
      </c>
      <c r="BV1091" t="s">
        <v>0</v>
      </c>
      <c r="BW1091" t="s">
        <v>0</v>
      </c>
      <c r="BX1091" t="s">
        <v>0</v>
      </c>
      <c r="BY1091" t="s">
        <v>0</v>
      </c>
      <c r="BZ1091" t="s">
        <v>0</v>
      </c>
      <c r="CA1091" t="s">
        <v>0</v>
      </c>
      <c r="CB1091" t="s">
        <v>0</v>
      </c>
    </row>
    <row r="1092" spans="1:80" x14ac:dyDescent="0.25">
      <c r="A1092" t="s">
        <v>504</v>
      </c>
      <c r="B1092" s="2">
        <v>46180</v>
      </c>
      <c r="C1092" s="2"/>
      <c r="D1092" s="2"/>
      <c r="E1092" t="s">
        <v>2</v>
      </c>
      <c r="F1092" t="s">
        <v>89</v>
      </c>
      <c r="G1092" t="s">
        <v>0</v>
      </c>
      <c r="H1092" t="s">
        <v>4</v>
      </c>
      <c r="I1092" t="s">
        <v>505</v>
      </c>
      <c r="J1092" t="s">
        <v>6</v>
      </c>
      <c r="K1092" t="s">
        <v>539</v>
      </c>
      <c r="L1092" t="s">
        <v>536</v>
      </c>
      <c r="M1092" t="s">
        <v>537</v>
      </c>
      <c r="N1092" t="s">
        <v>10</v>
      </c>
      <c r="O1092" t="s">
        <v>0</v>
      </c>
      <c r="P1092" t="s">
        <v>147</v>
      </c>
      <c r="Q1092" s="5">
        <v>2</v>
      </c>
      <c r="R1092" s="4">
        <v>242</v>
      </c>
      <c r="S1092" s="5">
        <v>1</v>
      </c>
      <c r="T1092" s="4">
        <v>484</v>
      </c>
      <c r="U1092" s="5">
        <v>2</v>
      </c>
      <c r="V1092" s="4">
        <v>484</v>
      </c>
      <c r="W1092" s="5">
        <v>2</v>
      </c>
      <c r="X1092" s="4">
        <v>484</v>
      </c>
      <c r="Y1092" s="4">
        <f t="shared" si="34"/>
        <v>0</v>
      </c>
      <c r="Z1092" t="s">
        <v>0</v>
      </c>
      <c r="AA1092" t="s">
        <v>2</v>
      </c>
      <c r="AB1092" t="s">
        <v>12</v>
      </c>
      <c r="AC1092">
        <f>_xlfn.XLOOKUP(AB1092,'[1]GST Codes'!$A:$A,'[1]GST Codes'!$C:$C,0,0)</f>
        <v>18</v>
      </c>
      <c r="AD1092">
        <f t="shared" si="35"/>
        <v>0</v>
      </c>
      <c r="AE1092" t="s">
        <v>13</v>
      </c>
      <c r="AF1092" t="s">
        <v>0</v>
      </c>
      <c r="AG1092" t="s">
        <v>14</v>
      </c>
      <c r="AH1092" t="s">
        <v>15</v>
      </c>
      <c r="AI1092" t="s">
        <v>96</v>
      </c>
      <c r="AJ1092" t="s">
        <v>17</v>
      </c>
      <c r="AK1092" t="s">
        <v>18</v>
      </c>
      <c r="AL1092" t="s">
        <v>148</v>
      </c>
      <c r="AM1092" t="s">
        <v>508</v>
      </c>
      <c r="AN1092" t="s">
        <v>0</v>
      </c>
      <c r="AO1092" t="s">
        <v>0</v>
      </c>
      <c r="AP1092" t="s">
        <v>0</v>
      </c>
      <c r="AQ1092" s="5">
        <v>2</v>
      </c>
      <c r="AR1092" t="s">
        <v>147</v>
      </c>
      <c r="AS1092" t="s">
        <v>0</v>
      </c>
      <c r="AT1092" t="s">
        <v>17</v>
      </c>
      <c r="AU1092" s="4">
        <v>0</v>
      </c>
      <c r="AV1092" s="4">
        <v>0</v>
      </c>
      <c r="AW1092" s="4">
        <v>0</v>
      </c>
      <c r="AX1092" s="4">
        <v>0</v>
      </c>
      <c r="AY1092" s="5">
        <v>0</v>
      </c>
      <c r="AZ1092" s="5">
        <v>0</v>
      </c>
      <c r="BA1092" s="5">
        <v>0</v>
      </c>
      <c r="BB1092" s="2"/>
      <c r="BC1092" t="s">
        <v>0</v>
      </c>
      <c r="BD1092" s="5">
        <v>1</v>
      </c>
      <c r="BE1092" t="s">
        <v>0</v>
      </c>
      <c r="BF1092" t="s">
        <v>538</v>
      </c>
      <c r="BG1092" t="s">
        <v>17</v>
      </c>
      <c r="BH1092" t="s">
        <v>0</v>
      </c>
      <c r="BI1092" t="s">
        <v>147</v>
      </c>
      <c r="BJ1092" t="s">
        <v>0</v>
      </c>
      <c r="BK1092" t="s">
        <v>0</v>
      </c>
      <c r="BL1092" s="5">
        <v>0</v>
      </c>
      <c r="BM1092" t="s">
        <v>0</v>
      </c>
      <c r="BN1092" t="s">
        <v>0</v>
      </c>
      <c r="BO1092" t="s">
        <v>0</v>
      </c>
      <c r="BP1092" t="s">
        <v>17</v>
      </c>
      <c r="BQ1092" t="s">
        <v>0</v>
      </c>
      <c r="BR1092" t="s">
        <v>17</v>
      </c>
      <c r="BS1092" t="s">
        <v>17</v>
      </c>
      <c r="BT1092" t="s">
        <v>0</v>
      </c>
      <c r="BU1092" t="s">
        <v>0</v>
      </c>
      <c r="BV1092" t="s">
        <v>0</v>
      </c>
      <c r="BW1092" t="s">
        <v>0</v>
      </c>
      <c r="BX1092" t="s">
        <v>0</v>
      </c>
      <c r="BY1092" t="s">
        <v>0</v>
      </c>
      <c r="BZ1092" t="s">
        <v>0</v>
      </c>
      <c r="CA1092" t="s">
        <v>0</v>
      </c>
      <c r="CB1092" t="s">
        <v>0</v>
      </c>
    </row>
    <row r="1093" spans="1:80" x14ac:dyDescent="0.25">
      <c r="A1093" t="s">
        <v>504</v>
      </c>
      <c r="B1093" s="2">
        <v>46180</v>
      </c>
      <c r="C1093" s="2"/>
      <c r="D1093" s="2"/>
      <c r="E1093" t="s">
        <v>2</v>
      </c>
      <c r="F1093" t="s">
        <v>89</v>
      </c>
      <c r="G1093" t="s">
        <v>0</v>
      </c>
      <c r="H1093" t="s">
        <v>4</v>
      </c>
      <c r="I1093" t="s">
        <v>505</v>
      </c>
      <c r="J1093" t="s">
        <v>6</v>
      </c>
      <c r="K1093" t="s">
        <v>540</v>
      </c>
      <c r="L1093" t="s">
        <v>220</v>
      </c>
      <c r="M1093" t="s">
        <v>520</v>
      </c>
      <c r="N1093" t="s">
        <v>10</v>
      </c>
      <c r="O1093" t="s">
        <v>0</v>
      </c>
      <c r="P1093" t="s">
        <v>147</v>
      </c>
      <c r="Q1093" s="5">
        <v>8</v>
      </c>
      <c r="R1093" s="4">
        <v>73</v>
      </c>
      <c r="S1093" s="5">
        <v>1</v>
      </c>
      <c r="T1093" s="4">
        <v>584</v>
      </c>
      <c r="U1093" s="5">
        <v>8</v>
      </c>
      <c r="V1093" s="4">
        <v>584</v>
      </c>
      <c r="W1093" s="5">
        <v>8</v>
      </c>
      <c r="X1093" s="4">
        <v>584</v>
      </c>
      <c r="Y1093" s="4">
        <f t="shared" si="34"/>
        <v>0</v>
      </c>
      <c r="Z1093" t="s">
        <v>0</v>
      </c>
      <c r="AA1093" t="s">
        <v>2</v>
      </c>
      <c r="AB1093" t="s">
        <v>12</v>
      </c>
      <c r="AC1093">
        <f>_xlfn.XLOOKUP(AB1093,'[1]GST Codes'!$A:$A,'[1]GST Codes'!$C:$C,0,0)</f>
        <v>18</v>
      </c>
      <c r="AD1093">
        <f t="shared" si="35"/>
        <v>0</v>
      </c>
      <c r="AE1093" t="s">
        <v>13</v>
      </c>
      <c r="AF1093" t="s">
        <v>0</v>
      </c>
      <c r="AG1093" t="s">
        <v>14</v>
      </c>
      <c r="AH1093" t="s">
        <v>15</v>
      </c>
      <c r="AI1093" t="s">
        <v>96</v>
      </c>
      <c r="AJ1093" t="s">
        <v>17</v>
      </c>
      <c r="AK1093" t="s">
        <v>18</v>
      </c>
      <c r="AL1093" t="s">
        <v>148</v>
      </c>
      <c r="AM1093" t="s">
        <v>508</v>
      </c>
      <c r="AN1093" t="s">
        <v>0</v>
      </c>
      <c r="AO1093" t="s">
        <v>0</v>
      </c>
      <c r="AP1093" t="s">
        <v>0</v>
      </c>
      <c r="AQ1093" s="5">
        <v>8</v>
      </c>
      <c r="AR1093" t="s">
        <v>147</v>
      </c>
      <c r="AS1093" t="s">
        <v>0</v>
      </c>
      <c r="AT1093" t="s">
        <v>17</v>
      </c>
      <c r="AU1093" s="4">
        <v>0</v>
      </c>
      <c r="AV1093" s="4">
        <v>0</v>
      </c>
      <c r="AW1093" s="4">
        <v>0</v>
      </c>
      <c r="AX1093" s="4">
        <v>0</v>
      </c>
      <c r="AY1093" s="5">
        <v>0</v>
      </c>
      <c r="AZ1093" s="5">
        <v>0</v>
      </c>
      <c r="BA1093" s="5">
        <v>0</v>
      </c>
      <c r="BB1093" s="2"/>
      <c r="BC1093" t="s">
        <v>0</v>
      </c>
      <c r="BD1093" s="5">
        <v>1</v>
      </c>
      <c r="BE1093" t="s">
        <v>0</v>
      </c>
      <c r="BF1093" t="s">
        <v>521</v>
      </c>
      <c r="BG1093" t="s">
        <v>17</v>
      </c>
      <c r="BH1093" t="s">
        <v>0</v>
      </c>
      <c r="BI1093" t="s">
        <v>147</v>
      </c>
      <c r="BJ1093" t="s">
        <v>0</v>
      </c>
      <c r="BK1093" t="s">
        <v>0</v>
      </c>
      <c r="BL1093" s="5">
        <v>0</v>
      </c>
      <c r="BM1093" t="s">
        <v>0</v>
      </c>
      <c r="BN1093" t="s">
        <v>0</v>
      </c>
      <c r="BO1093" t="s">
        <v>0</v>
      </c>
      <c r="BP1093" t="s">
        <v>17</v>
      </c>
      <c r="BQ1093" t="s">
        <v>0</v>
      </c>
      <c r="BR1093" t="s">
        <v>17</v>
      </c>
      <c r="BS1093" t="s">
        <v>17</v>
      </c>
      <c r="BT1093" t="s">
        <v>0</v>
      </c>
      <c r="BU1093" t="s">
        <v>0</v>
      </c>
      <c r="BV1093" t="s">
        <v>0</v>
      </c>
      <c r="BW1093" t="s">
        <v>0</v>
      </c>
      <c r="BX1093" t="s">
        <v>0</v>
      </c>
      <c r="BY1093" t="s">
        <v>0</v>
      </c>
      <c r="BZ1093" t="s">
        <v>0</v>
      </c>
      <c r="CA1093" t="s">
        <v>0</v>
      </c>
      <c r="CB1093" t="s">
        <v>0</v>
      </c>
    </row>
    <row r="1094" spans="1:80" x14ac:dyDescent="0.25">
      <c r="A1094" t="s">
        <v>504</v>
      </c>
      <c r="B1094" s="2">
        <v>46180</v>
      </c>
      <c r="C1094" s="2"/>
      <c r="D1094" s="2"/>
      <c r="E1094" t="s">
        <v>2</v>
      </c>
      <c r="F1094" t="s">
        <v>89</v>
      </c>
      <c r="G1094" t="s">
        <v>0</v>
      </c>
      <c r="H1094" t="s">
        <v>4</v>
      </c>
      <c r="I1094" t="s">
        <v>505</v>
      </c>
      <c r="J1094" t="s">
        <v>6</v>
      </c>
      <c r="K1094" t="s">
        <v>541</v>
      </c>
      <c r="L1094" t="s">
        <v>542</v>
      </c>
      <c r="M1094" t="s">
        <v>543</v>
      </c>
      <c r="N1094" t="s">
        <v>10</v>
      </c>
      <c r="O1094" t="s">
        <v>0</v>
      </c>
      <c r="P1094" t="s">
        <v>147</v>
      </c>
      <c r="Q1094" s="5">
        <v>6</v>
      </c>
      <c r="R1094" s="4">
        <v>108</v>
      </c>
      <c r="S1094" s="5">
        <v>1</v>
      </c>
      <c r="T1094" s="4">
        <v>648</v>
      </c>
      <c r="U1094" s="5">
        <v>6</v>
      </c>
      <c r="V1094" s="4">
        <v>648</v>
      </c>
      <c r="W1094" s="5">
        <v>6</v>
      </c>
      <c r="X1094" s="4">
        <v>648</v>
      </c>
      <c r="Y1094" s="4">
        <f t="shared" si="34"/>
        <v>0</v>
      </c>
      <c r="Z1094" t="s">
        <v>0</v>
      </c>
      <c r="AA1094" t="s">
        <v>2</v>
      </c>
      <c r="AB1094" t="s">
        <v>12</v>
      </c>
      <c r="AC1094">
        <f>_xlfn.XLOOKUP(AB1094,'[1]GST Codes'!$A:$A,'[1]GST Codes'!$C:$C,0,0)</f>
        <v>18</v>
      </c>
      <c r="AD1094">
        <f t="shared" si="35"/>
        <v>0</v>
      </c>
      <c r="AE1094" t="s">
        <v>13</v>
      </c>
      <c r="AF1094" t="s">
        <v>0</v>
      </c>
      <c r="AG1094" t="s">
        <v>14</v>
      </c>
      <c r="AH1094" t="s">
        <v>15</v>
      </c>
      <c r="AI1094" t="s">
        <v>96</v>
      </c>
      <c r="AJ1094" t="s">
        <v>17</v>
      </c>
      <c r="AK1094" t="s">
        <v>18</v>
      </c>
      <c r="AL1094" t="s">
        <v>148</v>
      </c>
      <c r="AM1094" t="s">
        <v>508</v>
      </c>
      <c r="AN1094" t="s">
        <v>0</v>
      </c>
      <c r="AO1094" t="s">
        <v>0</v>
      </c>
      <c r="AP1094" t="s">
        <v>0</v>
      </c>
      <c r="AQ1094" s="5">
        <v>6</v>
      </c>
      <c r="AR1094" t="s">
        <v>147</v>
      </c>
      <c r="AS1094" t="s">
        <v>0</v>
      </c>
      <c r="AT1094" t="s">
        <v>17</v>
      </c>
      <c r="AU1094" s="4">
        <v>0</v>
      </c>
      <c r="AV1094" s="4">
        <v>0</v>
      </c>
      <c r="AW1094" s="4">
        <v>0</v>
      </c>
      <c r="AX1094" s="4">
        <v>0</v>
      </c>
      <c r="AY1094" s="5">
        <v>0</v>
      </c>
      <c r="AZ1094" s="5">
        <v>0</v>
      </c>
      <c r="BA1094" s="5">
        <v>0</v>
      </c>
      <c r="BB1094" s="2"/>
      <c r="BC1094" t="s">
        <v>0</v>
      </c>
      <c r="BD1094" s="5">
        <v>1</v>
      </c>
      <c r="BE1094" t="s">
        <v>0</v>
      </c>
      <c r="BF1094" t="s">
        <v>544</v>
      </c>
      <c r="BG1094" t="s">
        <v>17</v>
      </c>
      <c r="BH1094" t="s">
        <v>0</v>
      </c>
      <c r="BI1094" t="s">
        <v>147</v>
      </c>
      <c r="BJ1094" t="s">
        <v>0</v>
      </c>
      <c r="BK1094" t="s">
        <v>0</v>
      </c>
      <c r="BL1094" s="5">
        <v>0</v>
      </c>
      <c r="BM1094" t="s">
        <v>0</v>
      </c>
      <c r="BN1094" t="s">
        <v>0</v>
      </c>
      <c r="BO1094" t="s">
        <v>0</v>
      </c>
      <c r="BP1094" t="s">
        <v>17</v>
      </c>
      <c r="BQ1094" t="s">
        <v>0</v>
      </c>
      <c r="BR1094" t="s">
        <v>17</v>
      </c>
      <c r="BS1094" t="s">
        <v>17</v>
      </c>
      <c r="BT1094" t="s">
        <v>0</v>
      </c>
      <c r="BU1094" t="s">
        <v>0</v>
      </c>
      <c r="BV1094" t="s">
        <v>0</v>
      </c>
      <c r="BW1094" t="s">
        <v>0</v>
      </c>
      <c r="BX1094" t="s">
        <v>0</v>
      </c>
      <c r="BY1094" t="s">
        <v>0</v>
      </c>
      <c r="BZ1094" t="s">
        <v>0</v>
      </c>
      <c r="CA1094" t="s">
        <v>0</v>
      </c>
      <c r="CB1094" t="s">
        <v>0</v>
      </c>
    </row>
    <row r="1095" spans="1:80" x14ac:dyDescent="0.25">
      <c r="A1095" t="s">
        <v>504</v>
      </c>
      <c r="B1095" s="2">
        <v>46180</v>
      </c>
      <c r="C1095" s="2"/>
      <c r="D1095" s="2"/>
      <c r="E1095" t="s">
        <v>2</v>
      </c>
      <c r="F1095" t="s">
        <v>89</v>
      </c>
      <c r="G1095" t="s">
        <v>0</v>
      </c>
      <c r="H1095" t="s">
        <v>4</v>
      </c>
      <c r="I1095" t="s">
        <v>505</v>
      </c>
      <c r="J1095" t="s">
        <v>6</v>
      </c>
      <c r="K1095" t="s">
        <v>545</v>
      </c>
      <c r="L1095" t="s">
        <v>182</v>
      </c>
      <c r="M1095" t="s">
        <v>183</v>
      </c>
      <c r="N1095" t="s">
        <v>10</v>
      </c>
      <c r="O1095" t="s">
        <v>0</v>
      </c>
      <c r="P1095" t="s">
        <v>147</v>
      </c>
      <c r="Q1095" s="5">
        <v>2</v>
      </c>
      <c r="R1095" s="4">
        <v>154</v>
      </c>
      <c r="S1095" s="5">
        <v>1</v>
      </c>
      <c r="T1095" s="4">
        <v>308</v>
      </c>
      <c r="U1095" s="5">
        <v>2</v>
      </c>
      <c r="V1095" s="4">
        <v>308</v>
      </c>
      <c r="W1095" s="5">
        <v>2</v>
      </c>
      <c r="X1095" s="4">
        <v>308</v>
      </c>
      <c r="Y1095" s="4">
        <f t="shared" si="34"/>
        <v>0</v>
      </c>
      <c r="Z1095" t="s">
        <v>0</v>
      </c>
      <c r="AA1095" t="s">
        <v>2</v>
      </c>
      <c r="AB1095" t="s">
        <v>12</v>
      </c>
      <c r="AC1095">
        <f>_xlfn.XLOOKUP(AB1095,'[1]GST Codes'!$A:$A,'[1]GST Codes'!$C:$C,0,0)</f>
        <v>18</v>
      </c>
      <c r="AD1095">
        <f t="shared" si="35"/>
        <v>0</v>
      </c>
      <c r="AE1095" t="s">
        <v>13</v>
      </c>
      <c r="AF1095" t="s">
        <v>0</v>
      </c>
      <c r="AG1095" t="s">
        <v>14</v>
      </c>
      <c r="AH1095" t="s">
        <v>15</v>
      </c>
      <c r="AI1095" t="s">
        <v>96</v>
      </c>
      <c r="AJ1095" t="s">
        <v>17</v>
      </c>
      <c r="AK1095" t="s">
        <v>18</v>
      </c>
      <c r="AL1095" t="s">
        <v>148</v>
      </c>
      <c r="AM1095" t="s">
        <v>508</v>
      </c>
      <c r="AN1095" t="s">
        <v>0</v>
      </c>
      <c r="AO1095" t="s">
        <v>0</v>
      </c>
      <c r="AP1095" t="s">
        <v>0</v>
      </c>
      <c r="AQ1095" s="5">
        <v>2</v>
      </c>
      <c r="AR1095" t="s">
        <v>147</v>
      </c>
      <c r="AS1095" t="s">
        <v>0</v>
      </c>
      <c r="AT1095" t="s">
        <v>17</v>
      </c>
      <c r="AU1095" s="4">
        <v>0</v>
      </c>
      <c r="AV1095" s="4">
        <v>0</v>
      </c>
      <c r="AW1095" s="4">
        <v>0</v>
      </c>
      <c r="AX1095" s="4">
        <v>0</v>
      </c>
      <c r="AY1095" s="5">
        <v>0</v>
      </c>
      <c r="AZ1095" s="5">
        <v>0</v>
      </c>
      <c r="BA1095" s="5">
        <v>0</v>
      </c>
      <c r="BB1095" s="2"/>
      <c r="BC1095" t="s">
        <v>0</v>
      </c>
      <c r="BD1095" s="5">
        <v>1</v>
      </c>
      <c r="BE1095" t="s">
        <v>0</v>
      </c>
      <c r="BF1095" t="s">
        <v>524</v>
      </c>
      <c r="BG1095" t="s">
        <v>17</v>
      </c>
      <c r="BH1095" t="s">
        <v>0</v>
      </c>
      <c r="BI1095" t="s">
        <v>147</v>
      </c>
      <c r="BJ1095" t="s">
        <v>0</v>
      </c>
      <c r="BK1095" t="s">
        <v>0</v>
      </c>
      <c r="BL1095" s="5">
        <v>0</v>
      </c>
      <c r="BM1095" t="s">
        <v>0</v>
      </c>
      <c r="BN1095" t="s">
        <v>0</v>
      </c>
      <c r="BO1095" t="s">
        <v>0</v>
      </c>
      <c r="BP1095" t="s">
        <v>17</v>
      </c>
      <c r="BQ1095" t="s">
        <v>0</v>
      </c>
      <c r="BR1095" t="s">
        <v>17</v>
      </c>
      <c r="BS1095" t="s">
        <v>17</v>
      </c>
      <c r="BT1095" t="s">
        <v>0</v>
      </c>
      <c r="BU1095" t="s">
        <v>0</v>
      </c>
      <c r="BV1095" t="s">
        <v>0</v>
      </c>
      <c r="BW1095" t="s">
        <v>0</v>
      </c>
      <c r="BX1095" t="s">
        <v>0</v>
      </c>
      <c r="BY1095" t="s">
        <v>0</v>
      </c>
      <c r="BZ1095" t="s">
        <v>0</v>
      </c>
      <c r="CA1095" t="s">
        <v>0</v>
      </c>
      <c r="CB1095" t="s">
        <v>0</v>
      </c>
    </row>
    <row r="1096" spans="1:80" x14ac:dyDescent="0.25">
      <c r="A1096" t="s">
        <v>504</v>
      </c>
      <c r="B1096" s="2">
        <v>46180</v>
      </c>
      <c r="C1096" s="2"/>
      <c r="D1096" s="2"/>
      <c r="E1096" t="s">
        <v>2</v>
      </c>
      <c r="F1096" t="s">
        <v>89</v>
      </c>
      <c r="G1096" t="s">
        <v>0</v>
      </c>
      <c r="H1096" t="s">
        <v>4</v>
      </c>
      <c r="I1096" t="s">
        <v>505</v>
      </c>
      <c r="J1096" t="s">
        <v>6</v>
      </c>
      <c r="K1096" t="s">
        <v>546</v>
      </c>
      <c r="L1096" t="s">
        <v>525</v>
      </c>
      <c r="M1096" t="s">
        <v>526</v>
      </c>
      <c r="N1096" t="s">
        <v>10</v>
      </c>
      <c r="O1096" t="s">
        <v>0</v>
      </c>
      <c r="P1096" t="s">
        <v>147</v>
      </c>
      <c r="Q1096" s="5">
        <v>2</v>
      </c>
      <c r="R1096" s="4">
        <v>238</v>
      </c>
      <c r="S1096" s="5">
        <v>1</v>
      </c>
      <c r="T1096" s="4">
        <v>476</v>
      </c>
      <c r="U1096" s="5">
        <v>2</v>
      </c>
      <c r="V1096" s="4">
        <v>476</v>
      </c>
      <c r="W1096" s="5">
        <v>2</v>
      </c>
      <c r="X1096" s="4">
        <v>476</v>
      </c>
      <c r="Y1096" s="4">
        <f t="shared" si="34"/>
        <v>0</v>
      </c>
      <c r="Z1096" t="s">
        <v>0</v>
      </c>
      <c r="AA1096" t="s">
        <v>2</v>
      </c>
      <c r="AB1096" t="s">
        <v>12</v>
      </c>
      <c r="AC1096">
        <f>_xlfn.XLOOKUP(AB1096,'[1]GST Codes'!$A:$A,'[1]GST Codes'!$C:$C,0,0)</f>
        <v>18</v>
      </c>
      <c r="AD1096">
        <f t="shared" si="35"/>
        <v>0</v>
      </c>
      <c r="AE1096" t="s">
        <v>13</v>
      </c>
      <c r="AF1096" t="s">
        <v>0</v>
      </c>
      <c r="AG1096" t="s">
        <v>14</v>
      </c>
      <c r="AH1096" t="s">
        <v>15</v>
      </c>
      <c r="AI1096" t="s">
        <v>96</v>
      </c>
      <c r="AJ1096" t="s">
        <v>17</v>
      </c>
      <c r="AK1096" t="s">
        <v>18</v>
      </c>
      <c r="AL1096" t="s">
        <v>148</v>
      </c>
      <c r="AM1096" t="s">
        <v>508</v>
      </c>
      <c r="AN1096" t="s">
        <v>0</v>
      </c>
      <c r="AO1096" t="s">
        <v>0</v>
      </c>
      <c r="AP1096" t="s">
        <v>0</v>
      </c>
      <c r="AQ1096" s="5">
        <v>2</v>
      </c>
      <c r="AR1096" t="s">
        <v>147</v>
      </c>
      <c r="AS1096" t="s">
        <v>0</v>
      </c>
      <c r="AT1096" t="s">
        <v>17</v>
      </c>
      <c r="AU1096" s="4">
        <v>0</v>
      </c>
      <c r="AV1096" s="4">
        <v>0</v>
      </c>
      <c r="AW1096" s="4">
        <v>0</v>
      </c>
      <c r="AX1096" s="4">
        <v>0</v>
      </c>
      <c r="AY1096" s="5">
        <v>0</v>
      </c>
      <c r="AZ1096" s="5">
        <v>0</v>
      </c>
      <c r="BA1096" s="5">
        <v>0</v>
      </c>
      <c r="BB1096" s="2"/>
      <c r="BC1096" t="s">
        <v>0</v>
      </c>
      <c r="BD1096" s="5">
        <v>1</v>
      </c>
      <c r="BE1096" t="s">
        <v>0</v>
      </c>
      <c r="BF1096" t="s">
        <v>527</v>
      </c>
      <c r="BG1096" t="s">
        <v>17</v>
      </c>
      <c r="BH1096" t="s">
        <v>0</v>
      </c>
      <c r="BI1096" t="s">
        <v>147</v>
      </c>
      <c r="BJ1096" t="s">
        <v>0</v>
      </c>
      <c r="BK1096" t="s">
        <v>0</v>
      </c>
      <c r="BL1096" s="5">
        <v>0</v>
      </c>
      <c r="BM1096" t="s">
        <v>0</v>
      </c>
      <c r="BN1096" t="s">
        <v>0</v>
      </c>
      <c r="BO1096" t="s">
        <v>0</v>
      </c>
      <c r="BP1096" t="s">
        <v>17</v>
      </c>
      <c r="BQ1096" t="s">
        <v>0</v>
      </c>
      <c r="BR1096" t="s">
        <v>17</v>
      </c>
      <c r="BS1096" t="s">
        <v>17</v>
      </c>
      <c r="BT1096" t="s">
        <v>0</v>
      </c>
      <c r="BU1096" t="s">
        <v>0</v>
      </c>
      <c r="BV1096" t="s">
        <v>0</v>
      </c>
      <c r="BW1096" t="s">
        <v>0</v>
      </c>
      <c r="BX1096" t="s">
        <v>0</v>
      </c>
      <c r="BY1096" t="s">
        <v>0</v>
      </c>
      <c r="BZ1096" t="s">
        <v>0</v>
      </c>
      <c r="CA1096" t="s">
        <v>0</v>
      </c>
      <c r="CB1096" t="s">
        <v>0</v>
      </c>
    </row>
    <row r="1097" spans="1:80" x14ac:dyDescent="0.25">
      <c r="A1097" t="s">
        <v>504</v>
      </c>
      <c r="B1097" s="2">
        <v>46180</v>
      </c>
      <c r="C1097" s="2"/>
      <c r="D1097" s="2"/>
      <c r="E1097" t="s">
        <v>2</v>
      </c>
      <c r="F1097" t="s">
        <v>89</v>
      </c>
      <c r="G1097" t="s">
        <v>0</v>
      </c>
      <c r="H1097" t="s">
        <v>4</v>
      </c>
      <c r="I1097" t="s">
        <v>505</v>
      </c>
      <c r="J1097" t="s">
        <v>6</v>
      </c>
      <c r="K1097" t="s">
        <v>547</v>
      </c>
      <c r="L1097" t="s">
        <v>528</v>
      </c>
      <c r="M1097" t="s">
        <v>529</v>
      </c>
      <c r="N1097" t="s">
        <v>10</v>
      </c>
      <c r="O1097" t="s">
        <v>0</v>
      </c>
      <c r="P1097" t="s">
        <v>147</v>
      </c>
      <c r="Q1097" s="5">
        <v>1</v>
      </c>
      <c r="R1097" s="4">
        <v>184</v>
      </c>
      <c r="S1097" s="5">
        <v>1</v>
      </c>
      <c r="T1097" s="4">
        <v>184</v>
      </c>
      <c r="U1097" s="5">
        <v>1</v>
      </c>
      <c r="V1097" s="4">
        <v>184</v>
      </c>
      <c r="W1097" s="5">
        <v>1</v>
      </c>
      <c r="X1097" s="4">
        <v>184</v>
      </c>
      <c r="Y1097" s="4">
        <f t="shared" si="34"/>
        <v>0</v>
      </c>
      <c r="Z1097" t="s">
        <v>0</v>
      </c>
      <c r="AA1097" t="s">
        <v>2</v>
      </c>
      <c r="AB1097" t="s">
        <v>12</v>
      </c>
      <c r="AC1097">
        <f>_xlfn.XLOOKUP(AB1097,'[1]GST Codes'!$A:$A,'[1]GST Codes'!$C:$C,0,0)</f>
        <v>18</v>
      </c>
      <c r="AD1097">
        <f t="shared" si="35"/>
        <v>0</v>
      </c>
      <c r="AE1097" t="s">
        <v>13</v>
      </c>
      <c r="AF1097" t="s">
        <v>0</v>
      </c>
      <c r="AG1097" t="s">
        <v>14</v>
      </c>
      <c r="AH1097" t="s">
        <v>15</v>
      </c>
      <c r="AI1097" t="s">
        <v>96</v>
      </c>
      <c r="AJ1097" t="s">
        <v>17</v>
      </c>
      <c r="AK1097" t="s">
        <v>18</v>
      </c>
      <c r="AL1097" t="s">
        <v>148</v>
      </c>
      <c r="AM1097" t="s">
        <v>508</v>
      </c>
      <c r="AN1097" t="s">
        <v>0</v>
      </c>
      <c r="AO1097" t="s">
        <v>0</v>
      </c>
      <c r="AP1097" t="s">
        <v>0</v>
      </c>
      <c r="AQ1097" s="5">
        <v>1</v>
      </c>
      <c r="AR1097" t="s">
        <v>147</v>
      </c>
      <c r="AS1097" t="s">
        <v>0</v>
      </c>
      <c r="AT1097" t="s">
        <v>17</v>
      </c>
      <c r="AU1097" s="4">
        <v>0</v>
      </c>
      <c r="AV1097" s="4">
        <v>0</v>
      </c>
      <c r="AW1097" s="4">
        <v>0</v>
      </c>
      <c r="AX1097" s="4">
        <v>0</v>
      </c>
      <c r="AY1097" s="5">
        <v>0</v>
      </c>
      <c r="AZ1097" s="5">
        <v>0</v>
      </c>
      <c r="BA1097" s="5">
        <v>0</v>
      </c>
      <c r="BB1097" s="2"/>
      <c r="BC1097" t="s">
        <v>0</v>
      </c>
      <c r="BD1097" s="5">
        <v>1</v>
      </c>
      <c r="BE1097" t="s">
        <v>0</v>
      </c>
      <c r="BF1097" t="s">
        <v>530</v>
      </c>
      <c r="BG1097" t="s">
        <v>17</v>
      </c>
      <c r="BH1097" t="s">
        <v>0</v>
      </c>
      <c r="BI1097" t="s">
        <v>147</v>
      </c>
      <c r="BJ1097" t="s">
        <v>0</v>
      </c>
      <c r="BK1097" t="s">
        <v>0</v>
      </c>
      <c r="BL1097" s="5">
        <v>0</v>
      </c>
      <c r="BM1097" t="s">
        <v>0</v>
      </c>
      <c r="BN1097" t="s">
        <v>0</v>
      </c>
      <c r="BO1097" t="s">
        <v>0</v>
      </c>
      <c r="BP1097" t="s">
        <v>17</v>
      </c>
      <c r="BQ1097" t="s">
        <v>0</v>
      </c>
      <c r="BR1097" t="s">
        <v>17</v>
      </c>
      <c r="BS1097" t="s">
        <v>17</v>
      </c>
      <c r="BT1097" t="s">
        <v>0</v>
      </c>
      <c r="BU1097" t="s">
        <v>0</v>
      </c>
      <c r="BV1097" t="s">
        <v>0</v>
      </c>
      <c r="BW1097" t="s">
        <v>0</v>
      </c>
      <c r="BX1097" t="s">
        <v>0</v>
      </c>
      <c r="BY1097" t="s">
        <v>0</v>
      </c>
      <c r="BZ1097" t="s">
        <v>0</v>
      </c>
      <c r="CA1097" t="s">
        <v>0</v>
      </c>
      <c r="CB1097" t="s">
        <v>0</v>
      </c>
    </row>
    <row r="1098" spans="1:80" x14ac:dyDescent="0.25">
      <c r="A1098" t="s">
        <v>504</v>
      </c>
      <c r="B1098" s="2">
        <v>46180</v>
      </c>
      <c r="C1098" s="2"/>
      <c r="D1098" s="2"/>
      <c r="E1098" t="s">
        <v>2</v>
      </c>
      <c r="F1098" t="s">
        <v>89</v>
      </c>
      <c r="G1098" t="s">
        <v>0</v>
      </c>
      <c r="H1098" t="s">
        <v>4</v>
      </c>
      <c r="I1098" t="s">
        <v>505</v>
      </c>
      <c r="J1098" t="s">
        <v>6</v>
      </c>
      <c r="K1098" t="s">
        <v>548</v>
      </c>
      <c r="L1098" t="s">
        <v>531</v>
      </c>
      <c r="M1098" t="s">
        <v>532</v>
      </c>
      <c r="N1098" t="s">
        <v>10</v>
      </c>
      <c r="O1098" t="s">
        <v>0</v>
      </c>
      <c r="P1098" t="s">
        <v>147</v>
      </c>
      <c r="Q1098" s="5">
        <v>1</v>
      </c>
      <c r="R1098" s="4">
        <v>184</v>
      </c>
      <c r="S1098" s="5">
        <v>1</v>
      </c>
      <c r="T1098" s="4">
        <v>184</v>
      </c>
      <c r="U1098" s="5">
        <v>1</v>
      </c>
      <c r="V1098" s="4">
        <v>184</v>
      </c>
      <c r="W1098" s="5">
        <v>1</v>
      </c>
      <c r="X1098" s="4">
        <v>184</v>
      </c>
      <c r="Y1098" s="4">
        <f t="shared" si="34"/>
        <v>0</v>
      </c>
      <c r="Z1098" t="s">
        <v>0</v>
      </c>
      <c r="AA1098" t="s">
        <v>2</v>
      </c>
      <c r="AB1098" t="s">
        <v>12</v>
      </c>
      <c r="AC1098">
        <f>_xlfn.XLOOKUP(AB1098,'[1]GST Codes'!$A:$A,'[1]GST Codes'!$C:$C,0,0)</f>
        <v>18</v>
      </c>
      <c r="AD1098">
        <f t="shared" si="35"/>
        <v>0</v>
      </c>
      <c r="AE1098" t="s">
        <v>13</v>
      </c>
      <c r="AF1098" t="s">
        <v>0</v>
      </c>
      <c r="AG1098" t="s">
        <v>14</v>
      </c>
      <c r="AH1098" t="s">
        <v>15</v>
      </c>
      <c r="AI1098" t="s">
        <v>96</v>
      </c>
      <c r="AJ1098" t="s">
        <v>17</v>
      </c>
      <c r="AK1098" t="s">
        <v>18</v>
      </c>
      <c r="AL1098" t="s">
        <v>148</v>
      </c>
      <c r="AM1098" t="s">
        <v>508</v>
      </c>
      <c r="AN1098" t="s">
        <v>0</v>
      </c>
      <c r="AO1098" t="s">
        <v>0</v>
      </c>
      <c r="AP1098" t="s">
        <v>0</v>
      </c>
      <c r="AQ1098" s="5">
        <v>1</v>
      </c>
      <c r="AR1098" t="s">
        <v>147</v>
      </c>
      <c r="AS1098" t="s">
        <v>0</v>
      </c>
      <c r="AT1098" t="s">
        <v>17</v>
      </c>
      <c r="AU1098" s="4">
        <v>0</v>
      </c>
      <c r="AV1098" s="4">
        <v>0</v>
      </c>
      <c r="AW1098" s="4">
        <v>0</v>
      </c>
      <c r="AX1098" s="4">
        <v>0</v>
      </c>
      <c r="AY1098" s="5">
        <v>0</v>
      </c>
      <c r="AZ1098" s="5">
        <v>0</v>
      </c>
      <c r="BA1098" s="5">
        <v>0</v>
      </c>
      <c r="BB1098" s="2"/>
      <c r="BC1098" t="s">
        <v>0</v>
      </c>
      <c r="BD1098" s="5">
        <v>1</v>
      </c>
      <c r="BE1098" t="s">
        <v>0</v>
      </c>
      <c r="BF1098" t="s">
        <v>533</v>
      </c>
      <c r="BG1098" t="s">
        <v>17</v>
      </c>
      <c r="BH1098" t="s">
        <v>0</v>
      </c>
      <c r="BI1098" t="s">
        <v>147</v>
      </c>
      <c r="BJ1098" t="s">
        <v>0</v>
      </c>
      <c r="BK1098" t="s">
        <v>0</v>
      </c>
      <c r="BL1098" s="5">
        <v>0</v>
      </c>
      <c r="BM1098" t="s">
        <v>0</v>
      </c>
      <c r="BN1098" t="s">
        <v>0</v>
      </c>
      <c r="BO1098" t="s">
        <v>0</v>
      </c>
      <c r="BP1098" t="s">
        <v>17</v>
      </c>
      <c r="BQ1098" t="s">
        <v>0</v>
      </c>
      <c r="BR1098" t="s">
        <v>17</v>
      </c>
      <c r="BS1098" t="s">
        <v>17</v>
      </c>
      <c r="BT1098" t="s">
        <v>0</v>
      </c>
      <c r="BU1098" t="s">
        <v>0</v>
      </c>
      <c r="BV1098" t="s">
        <v>0</v>
      </c>
      <c r="BW1098" t="s">
        <v>0</v>
      </c>
      <c r="BX1098" t="s">
        <v>0</v>
      </c>
      <c r="BY1098" t="s">
        <v>0</v>
      </c>
      <c r="BZ1098" t="s">
        <v>0</v>
      </c>
      <c r="CA1098" t="s">
        <v>0</v>
      </c>
      <c r="CB1098" t="s">
        <v>0</v>
      </c>
    </row>
    <row r="1099" spans="1:80" x14ac:dyDescent="0.25">
      <c r="A1099" t="s">
        <v>504</v>
      </c>
      <c r="B1099" s="2">
        <v>46180</v>
      </c>
      <c r="C1099" s="2"/>
      <c r="D1099" s="2"/>
      <c r="E1099" t="s">
        <v>2</v>
      </c>
      <c r="F1099" t="s">
        <v>89</v>
      </c>
      <c r="G1099" t="s">
        <v>0</v>
      </c>
      <c r="H1099" t="s">
        <v>4</v>
      </c>
      <c r="I1099" t="s">
        <v>505</v>
      </c>
      <c r="J1099" t="s">
        <v>6</v>
      </c>
      <c r="K1099" t="s">
        <v>549</v>
      </c>
      <c r="L1099" t="s">
        <v>194</v>
      </c>
      <c r="M1099" t="s">
        <v>195</v>
      </c>
      <c r="N1099" t="s">
        <v>10</v>
      </c>
      <c r="O1099" t="s">
        <v>0</v>
      </c>
      <c r="P1099" t="s">
        <v>147</v>
      </c>
      <c r="Q1099" s="5">
        <v>2</v>
      </c>
      <c r="R1099" s="4">
        <v>23</v>
      </c>
      <c r="S1099" s="5">
        <v>1</v>
      </c>
      <c r="T1099" s="4">
        <v>46</v>
      </c>
      <c r="U1099" s="5">
        <v>2</v>
      </c>
      <c r="V1099" s="4">
        <v>46</v>
      </c>
      <c r="W1099" s="5">
        <v>2</v>
      </c>
      <c r="X1099" s="4">
        <v>46</v>
      </c>
      <c r="Y1099" s="4">
        <f t="shared" si="34"/>
        <v>0</v>
      </c>
      <c r="Z1099" t="s">
        <v>0</v>
      </c>
      <c r="AA1099" t="s">
        <v>2</v>
      </c>
      <c r="AB1099" t="s">
        <v>12</v>
      </c>
      <c r="AC1099">
        <f>_xlfn.XLOOKUP(AB1099,'[1]GST Codes'!$A:$A,'[1]GST Codes'!$C:$C,0,0)</f>
        <v>18</v>
      </c>
      <c r="AD1099">
        <f t="shared" si="35"/>
        <v>0</v>
      </c>
      <c r="AE1099" t="s">
        <v>13</v>
      </c>
      <c r="AF1099" t="s">
        <v>0</v>
      </c>
      <c r="AG1099" t="s">
        <v>14</v>
      </c>
      <c r="AH1099" t="s">
        <v>15</v>
      </c>
      <c r="AI1099" t="s">
        <v>96</v>
      </c>
      <c r="AJ1099" t="s">
        <v>17</v>
      </c>
      <c r="AK1099" t="s">
        <v>18</v>
      </c>
      <c r="AL1099" t="s">
        <v>148</v>
      </c>
      <c r="AM1099" t="s">
        <v>508</v>
      </c>
      <c r="AN1099" t="s">
        <v>0</v>
      </c>
      <c r="AO1099" t="s">
        <v>0</v>
      </c>
      <c r="AP1099" t="s">
        <v>0</v>
      </c>
      <c r="AQ1099" s="5">
        <v>2</v>
      </c>
      <c r="AR1099" t="s">
        <v>147</v>
      </c>
      <c r="AS1099" t="s">
        <v>0</v>
      </c>
      <c r="AT1099" t="s">
        <v>17</v>
      </c>
      <c r="AU1099" s="4">
        <v>0</v>
      </c>
      <c r="AV1099" s="4">
        <v>0</v>
      </c>
      <c r="AW1099" s="4">
        <v>0</v>
      </c>
      <c r="AX1099" s="4">
        <v>0</v>
      </c>
      <c r="AY1099" s="5">
        <v>0</v>
      </c>
      <c r="AZ1099" s="5">
        <v>0</v>
      </c>
      <c r="BA1099" s="5">
        <v>0</v>
      </c>
      <c r="BB1099" s="2"/>
      <c r="BC1099" t="s">
        <v>0</v>
      </c>
      <c r="BD1099" s="5">
        <v>1</v>
      </c>
      <c r="BE1099" t="s">
        <v>0</v>
      </c>
      <c r="BF1099" t="s">
        <v>550</v>
      </c>
      <c r="BG1099" t="s">
        <v>17</v>
      </c>
      <c r="BH1099" t="s">
        <v>0</v>
      </c>
      <c r="BI1099" t="s">
        <v>147</v>
      </c>
      <c r="BJ1099" t="s">
        <v>0</v>
      </c>
      <c r="BK1099" t="s">
        <v>0</v>
      </c>
      <c r="BL1099" s="5">
        <v>0</v>
      </c>
      <c r="BM1099" t="s">
        <v>0</v>
      </c>
      <c r="BN1099" t="s">
        <v>0</v>
      </c>
      <c r="BO1099" t="s">
        <v>0</v>
      </c>
      <c r="BP1099" t="s">
        <v>17</v>
      </c>
      <c r="BQ1099" t="s">
        <v>0</v>
      </c>
      <c r="BR1099" t="s">
        <v>17</v>
      </c>
      <c r="BS1099" t="s">
        <v>17</v>
      </c>
      <c r="BT1099" t="s">
        <v>0</v>
      </c>
      <c r="BU1099" t="s">
        <v>0</v>
      </c>
      <c r="BV1099" t="s">
        <v>0</v>
      </c>
      <c r="BW1099" t="s">
        <v>0</v>
      </c>
      <c r="BX1099" t="s">
        <v>0</v>
      </c>
      <c r="BY1099" t="s">
        <v>0</v>
      </c>
      <c r="BZ1099" t="s">
        <v>0</v>
      </c>
      <c r="CA1099" t="s">
        <v>0</v>
      </c>
      <c r="CB1099" t="s">
        <v>0</v>
      </c>
    </row>
    <row r="1100" spans="1:80" x14ac:dyDescent="0.25">
      <c r="A1100" t="s">
        <v>504</v>
      </c>
      <c r="B1100" s="2">
        <v>46180</v>
      </c>
      <c r="C1100" s="2"/>
      <c r="D1100" s="2"/>
      <c r="E1100" t="s">
        <v>2</v>
      </c>
      <c r="F1100" t="s">
        <v>89</v>
      </c>
      <c r="G1100" t="s">
        <v>0</v>
      </c>
      <c r="H1100" t="s">
        <v>4</v>
      </c>
      <c r="I1100" t="s">
        <v>505</v>
      </c>
      <c r="J1100" t="s">
        <v>6</v>
      </c>
      <c r="K1100" t="s">
        <v>551</v>
      </c>
      <c r="L1100" t="s">
        <v>536</v>
      </c>
      <c r="M1100" t="s">
        <v>537</v>
      </c>
      <c r="N1100" t="s">
        <v>10</v>
      </c>
      <c r="O1100" t="s">
        <v>0</v>
      </c>
      <c r="P1100" t="s">
        <v>147</v>
      </c>
      <c r="Q1100" s="5">
        <v>1</v>
      </c>
      <c r="R1100" s="4">
        <v>102</v>
      </c>
      <c r="S1100" s="5">
        <v>1</v>
      </c>
      <c r="T1100" s="4">
        <v>102</v>
      </c>
      <c r="U1100" s="5">
        <v>1</v>
      </c>
      <c r="V1100" s="4">
        <v>102</v>
      </c>
      <c r="W1100" s="5">
        <v>1</v>
      </c>
      <c r="X1100" s="4">
        <v>102</v>
      </c>
      <c r="Y1100" s="4">
        <f t="shared" si="34"/>
        <v>0</v>
      </c>
      <c r="Z1100" t="s">
        <v>0</v>
      </c>
      <c r="AA1100" t="s">
        <v>2</v>
      </c>
      <c r="AB1100" t="s">
        <v>12</v>
      </c>
      <c r="AC1100">
        <f>_xlfn.XLOOKUP(AB1100,'[1]GST Codes'!$A:$A,'[1]GST Codes'!$C:$C,0,0)</f>
        <v>18</v>
      </c>
      <c r="AD1100">
        <f t="shared" si="35"/>
        <v>0</v>
      </c>
      <c r="AE1100" t="s">
        <v>13</v>
      </c>
      <c r="AF1100" t="s">
        <v>0</v>
      </c>
      <c r="AG1100" t="s">
        <v>14</v>
      </c>
      <c r="AH1100" t="s">
        <v>15</v>
      </c>
      <c r="AI1100" t="s">
        <v>96</v>
      </c>
      <c r="AJ1100" t="s">
        <v>17</v>
      </c>
      <c r="AK1100" t="s">
        <v>18</v>
      </c>
      <c r="AL1100" t="s">
        <v>148</v>
      </c>
      <c r="AM1100" t="s">
        <v>508</v>
      </c>
      <c r="AN1100" t="s">
        <v>0</v>
      </c>
      <c r="AO1100" t="s">
        <v>0</v>
      </c>
      <c r="AP1100" t="s">
        <v>0</v>
      </c>
      <c r="AQ1100" s="5">
        <v>1</v>
      </c>
      <c r="AR1100" t="s">
        <v>147</v>
      </c>
      <c r="AS1100" t="s">
        <v>0</v>
      </c>
      <c r="AT1100" t="s">
        <v>17</v>
      </c>
      <c r="AU1100" s="4">
        <v>0</v>
      </c>
      <c r="AV1100" s="4">
        <v>0</v>
      </c>
      <c r="AW1100" s="4">
        <v>0</v>
      </c>
      <c r="AX1100" s="4">
        <v>0</v>
      </c>
      <c r="AY1100" s="5">
        <v>0</v>
      </c>
      <c r="AZ1100" s="5">
        <v>0</v>
      </c>
      <c r="BA1100" s="5">
        <v>0</v>
      </c>
      <c r="BB1100" s="2"/>
      <c r="BC1100" t="s">
        <v>0</v>
      </c>
      <c r="BD1100" s="5">
        <v>1</v>
      </c>
      <c r="BE1100" t="s">
        <v>0</v>
      </c>
      <c r="BF1100" t="s">
        <v>538</v>
      </c>
      <c r="BG1100" t="s">
        <v>17</v>
      </c>
      <c r="BH1100" t="s">
        <v>0</v>
      </c>
      <c r="BI1100" t="s">
        <v>147</v>
      </c>
      <c r="BJ1100" t="s">
        <v>0</v>
      </c>
      <c r="BK1100" t="s">
        <v>0</v>
      </c>
      <c r="BL1100" s="5">
        <v>0</v>
      </c>
      <c r="BM1100" t="s">
        <v>0</v>
      </c>
      <c r="BN1100" t="s">
        <v>0</v>
      </c>
      <c r="BO1100" t="s">
        <v>0</v>
      </c>
      <c r="BP1100" t="s">
        <v>17</v>
      </c>
      <c r="BQ1100" t="s">
        <v>0</v>
      </c>
      <c r="BR1100" t="s">
        <v>17</v>
      </c>
      <c r="BS1100" t="s">
        <v>17</v>
      </c>
      <c r="BT1100" t="s">
        <v>0</v>
      </c>
      <c r="BU1100" t="s">
        <v>0</v>
      </c>
      <c r="BV1100" t="s">
        <v>0</v>
      </c>
      <c r="BW1100" t="s">
        <v>0</v>
      </c>
      <c r="BX1100" t="s">
        <v>0</v>
      </c>
      <c r="BY1100" t="s">
        <v>0</v>
      </c>
      <c r="BZ1100" t="s">
        <v>0</v>
      </c>
      <c r="CA1100" t="s">
        <v>0</v>
      </c>
      <c r="CB1100" t="s">
        <v>0</v>
      </c>
    </row>
    <row r="1101" spans="1:80" x14ac:dyDescent="0.25">
      <c r="A1101" t="s">
        <v>504</v>
      </c>
      <c r="B1101" s="2">
        <v>46180</v>
      </c>
      <c r="C1101" s="2"/>
      <c r="D1101" s="2"/>
      <c r="E1101" t="s">
        <v>2</v>
      </c>
      <c r="F1101" t="s">
        <v>89</v>
      </c>
      <c r="G1101" t="s">
        <v>0</v>
      </c>
      <c r="H1101" t="s">
        <v>4</v>
      </c>
      <c r="I1101" t="s">
        <v>505</v>
      </c>
      <c r="J1101" t="s">
        <v>6</v>
      </c>
      <c r="K1101" t="s">
        <v>552</v>
      </c>
      <c r="L1101" t="s">
        <v>536</v>
      </c>
      <c r="M1101" t="s">
        <v>537</v>
      </c>
      <c r="N1101" t="s">
        <v>10</v>
      </c>
      <c r="O1101" t="s">
        <v>0</v>
      </c>
      <c r="P1101" t="s">
        <v>147</v>
      </c>
      <c r="Q1101" s="5">
        <v>5</v>
      </c>
      <c r="R1101" s="4">
        <v>107</v>
      </c>
      <c r="S1101" s="5">
        <v>1</v>
      </c>
      <c r="T1101" s="4">
        <v>535</v>
      </c>
      <c r="U1101" s="5">
        <v>5</v>
      </c>
      <c r="V1101" s="4">
        <v>535</v>
      </c>
      <c r="W1101" s="5">
        <v>5</v>
      </c>
      <c r="X1101" s="4">
        <v>535</v>
      </c>
      <c r="Y1101" s="4">
        <f t="shared" si="34"/>
        <v>0</v>
      </c>
      <c r="Z1101" t="s">
        <v>0</v>
      </c>
      <c r="AA1101" t="s">
        <v>2</v>
      </c>
      <c r="AB1101" t="s">
        <v>12</v>
      </c>
      <c r="AC1101">
        <f>_xlfn.XLOOKUP(AB1101,'[1]GST Codes'!$A:$A,'[1]GST Codes'!$C:$C,0,0)</f>
        <v>18</v>
      </c>
      <c r="AD1101">
        <f t="shared" si="35"/>
        <v>0</v>
      </c>
      <c r="AE1101" t="s">
        <v>13</v>
      </c>
      <c r="AF1101" t="s">
        <v>0</v>
      </c>
      <c r="AG1101" t="s">
        <v>14</v>
      </c>
      <c r="AH1101" t="s">
        <v>15</v>
      </c>
      <c r="AI1101" t="s">
        <v>96</v>
      </c>
      <c r="AJ1101" t="s">
        <v>17</v>
      </c>
      <c r="AK1101" t="s">
        <v>18</v>
      </c>
      <c r="AL1101" t="s">
        <v>148</v>
      </c>
      <c r="AM1101" t="s">
        <v>508</v>
      </c>
      <c r="AN1101" t="s">
        <v>0</v>
      </c>
      <c r="AO1101" t="s">
        <v>0</v>
      </c>
      <c r="AP1101" t="s">
        <v>0</v>
      </c>
      <c r="AQ1101" s="5">
        <v>5</v>
      </c>
      <c r="AR1101" t="s">
        <v>147</v>
      </c>
      <c r="AS1101" t="s">
        <v>0</v>
      </c>
      <c r="AT1101" t="s">
        <v>17</v>
      </c>
      <c r="AU1101" s="4">
        <v>0</v>
      </c>
      <c r="AV1101" s="4">
        <v>0</v>
      </c>
      <c r="AW1101" s="4">
        <v>0</v>
      </c>
      <c r="AX1101" s="4">
        <v>0</v>
      </c>
      <c r="AY1101" s="5">
        <v>0</v>
      </c>
      <c r="AZ1101" s="5">
        <v>0</v>
      </c>
      <c r="BA1101" s="5">
        <v>0</v>
      </c>
      <c r="BB1101" s="2"/>
      <c r="BC1101" t="s">
        <v>0</v>
      </c>
      <c r="BD1101" s="5">
        <v>1</v>
      </c>
      <c r="BE1101" t="s">
        <v>0</v>
      </c>
      <c r="BF1101" t="s">
        <v>538</v>
      </c>
      <c r="BG1101" t="s">
        <v>17</v>
      </c>
      <c r="BH1101" t="s">
        <v>0</v>
      </c>
      <c r="BI1101" t="s">
        <v>147</v>
      </c>
      <c r="BJ1101" t="s">
        <v>0</v>
      </c>
      <c r="BK1101" t="s">
        <v>0</v>
      </c>
      <c r="BL1101" s="5">
        <v>0</v>
      </c>
      <c r="BM1101" t="s">
        <v>0</v>
      </c>
      <c r="BN1101" t="s">
        <v>0</v>
      </c>
      <c r="BO1101" t="s">
        <v>0</v>
      </c>
      <c r="BP1101" t="s">
        <v>17</v>
      </c>
      <c r="BQ1101" t="s">
        <v>0</v>
      </c>
      <c r="BR1101" t="s">
        <v>17</v>
      </c>
      <c r="BS1101" t="s">
        <v>17</v>
      </c>
      <c r="BT1101" t="s">
        <v>0</v>
      </c>
      <c r="BU1101" t="s">
        <v>0</v>
      </c>
      <c r="BV1101" t="s">
        <v>0</v>
      </c>
      <c r="BW1101" t="s">
        <v>0</v>
      </c>
      <c r="BX1101" t="s">
        <v>0</v>
      </c>
      <c r="BY1101" t="s">
        <v>0</v>
      </c>
      <c r="BZ1101" t="s">
        <v>0</v>
      </c>
      <c r="CA1101" t="s">
        <v>0</v>
      </c>
      <c r="CB1101" t="s">
        <v>0</v>
      </c>
    </row>
    <row r="1102" spans="1:80" x14ac:dyDescent="0.25">
      <c r="A1102" t="s">
        <v>504</v>
      </c>
      <c r="B1102" s="2">
        <v>46180</v>
      </c>
      <c r="C1102" s="2"/>
      <c r="D1102" s="2"/>
      <c r="E1102" t="s">
        <v>2</v>
      </c>
      <c r="F1102" t="s">
        <v>89</v>
      </c>
      <c r="G1102" t="s">
        <v>0</v>
      </c>
      <c r="H1102" t="s">
        <v>4</v>
      </c>
      <c r="I1102" t="s">
        <v>505</v>
      </c>
      <c r="J1102" t="s">
        <v>6</v>
      </c>
      <c r="K1102" t="s">
        <v>553</v>
      </c>
      <c r="L1102" t="s">
        <v>536</v>
      </c>
      <c r="M1102" t="s">
        <v>537</v>
      </c>
      <c r="N1102" t="s">
        <v>10</v>
      </c>
      <c r="O1102" t="s">
        <v>0</v>
      </c>
      <c r="P1102" t="s">
        <v>147</v>
      </c>
      <c r="Q1102" s="5">
        <v>2</v>
      </c>
      <c r="R1102" s="4">
        <v>116</v>
      </c>
      <c r="S1102" s="5">
        <v>1</v>
      </c>
      <c r="T1102" s="4">
        <v>232</v>
      </c>
      <c r="U1102" s="5">
        <v>2</v>
      </c>
      <c r="V1102" s="4">
        <v>232</v>
      </c>
      <c r="W1102" s="5">
        <v>2</v>
      </c>
      <c r="X1102" s="4">
        <v>232</v>
      </c>
      <c r="Y1102" s="4">
        <f t="shared" si="34"/>
        <v>0</v>
      </c>
      <c r="Z1102" t="s">
        <v>0</v>
      </c>
      <c r="AA1102" t="s">
        <v>2</v>
      </c>
      <c r="AB1102" t="s">
        <v>12</v>
      </c>
      <c r="AC1102">
        <f>_xlfn.XLOOKUP(AB1102,'[1]GST Codes'!$A:$A,'[1]GST Codes'!$C:$C,0,0)</f>
        <v>18</v>
      </c>
      <c r="AD1102">
        <f t="shared" si="35"/>
        <v>0</v>
      </c>
      <c r="AE1102" t="s">
        <v>13</v>
      </c>
      <c r="AF1102" t="s">
        <v>0</v>
      </c>
      <c r="AG1102" t="s">
        <v>14</v>
      </c>
      <c r="AH1102" t="s">
        <v>15</v>
      </c>
      <c r="AI1102" t="s">
        <v>96</v>
      </c>
      <c r="AJ1102" t="s">
        <v>17</v>
      </c>
      <c r="AK1102" t="s">
        <v>18</v>
      </c>
      <c r="AL1102" t="s">
        <v>148</v>
      </c>
      <c r="AM1102" t="s">
        <v>508</v>
      </c>
      <c r="AN1102" t="s">
        <v>0</v>
      </c>
      <c r="AO1102" t="s">
        <v>0</v>
      </c>
      <c r="AP1102" t="s">
        <v>0</v>
      </c>
      <c r="AQ1102" s="5">
        <v>2</v>
      </c>
      <c r="AR1102" t="s">
        <v>147</v>
      </c>
      <c r="AS1102" t="s">
        <v>0</v>
      </c>
      <c r="AT1102" t="s">
        <v>17</v>
      </c>
      <c r="AU1102" s="4">
        <v>0</v>
      </c>
      <c r="AV1102" s="4">
        <v>0</v>
      </c>
      <c r="AW1102" s="4">
        <v>0</v>
      </c>
      <c r="AX1102" s="4">
        <v>0</v>
      </c>
      <c r="AY1102" s="5">
        <v>0</v>
      </c>
      <c r="AZ1102" s="5">
        <v>0</v>
      </c>
      <c r="BA1102" s="5">
        <v>0</v>
      </c>
      <c r="BB1102" s="2"/>
      <c r="BC1102" t="s">
        <v>0</v>
      </c>
      <c r="BD1102" s="5">
        <v>1</v>
      </c>
      <c r="BE1102" t="s">
        <v>0</v>
      </c>
      <c r="BF1102" t="s">
        <v>538</v>
      </c>
      <c r="BG1102" t="s">
        <v>17</v>
      </c>
      <c r="BH1102" t="s">
        <v>0</v>
      </c>
      <c r="BI1102" t="s">
        <v>147</v>
      </c>
      <c r="BJ1102" t="s">
        <v>0</v>
      </c>
      <c r="BK1102" t="s">
        <v>0</v>
      </c>
      <c r="BL1102" s="5">
        <v>0</v>
      </c>
      <c r="BM1102" t="s">
        <v>0</v>
      </c>
      <c r="BN1102" t="s">
        <v>0</v>
      </c>
      <c r="BO1102" t="s">
        <v>0</v>
      </c>
      <c r="BP1102" t="s">
        <v>17</v>
      </c>
      <c r="BQ1102" t="s">
        <v>0</v>
      </c>
      <c r="BR1102" t="s">
        <v>17</v>
      </c>
      <c r="BS1102" t="s">
        <v>17</v>
      </c>
      <c r="BT1102" t="s">
        <v>0</v>
      </c>
      <c r="BU1102" t="s">
        <v>0</v>
      </c>
      <c r="BV1102" t="s">
        <v>0</v>
      </c>
      <c r="BW1102" t="s">
        <v>0</v>
      </c>
      <c r="BX1102" t="s">
        <v>0</v>
      </c>
      <c r="BY1102" t="s">
        <v>0</v>
      </c>
      <c r="BZ1102" t="s">
        <v>0</v>
      </c>
      <c r="CA1102" t="s">
        <v>0</v>
      </c>
      <c r="CB1102" t="s">
        <v>0</v>
      </c>
    </row>
    <row r="1103" spans="1:80" x14ac:dyDescent="0.25">
      <c r="A1103" t="s">
        <v>504</v>
      </c>
      <c r="B1103" s="2">
        <v>46180</v>
      </c>
      <c r="C1103" s="2"/>
      <c r="D1103" s="2"/>
      <c r="E1103" t="s">
        <v>2</v>
      </c>
      <c r="F1103" t="s">
        <v>89</v>
      </c>
      <c r="G1103" t="s">
        <v>0</v>
      </c>
      <c r="H1103" t="s">
        <v>4</v>
      </c>
      <c r="I1103" t="s">
        <v>505</v>
      </c>
      <c r="J1103" t="s">
        <v>6</v>
      </c>
      <c r="K1103" t="s">
        <v>554</v>
      </c>
      <c r="L1103" t="s">
        <v>536</v>
      </c>
      <c r="M1103" t="s">
        <v>537</v>
      </c>
      <c r="N1103" t="s">
        <v>10</v>
      </c>
      <c r="O1103" t="s">
        <v>0</v>
      </c>
      <c r="P1103" t="s">
        <v>147</v>
      </c>
      <c r="Q1103" s="5">
        <v>2</v>
      </c>
      <c r="R1103" s="4">
        <v>124</v>
      </c>
      <c r="S1103" s="5">
        <v>1</v>
      </c>
      <c r="T1103" s="4">
        <v>248</v>
      </c>
      <c r="U1103" s="5">
        <v>2</v>
      </c>
      <c r="V1103" s="4">
        <v>248</v>
      </c>
      <c r="W1103" s="5">
        <v>2</v>
      </c>
      <c r="X1103" s="4">
        <v>248</v>
      </c>
      <c r="Y1103" s="4">
        <f t="shared" si="34"/>
        <v>0</v>
      </c>
      <c r="Z1103" t="s">
        <v>0</v>
      </c>
      <c r="AA1103" t="s">
        <v>2</v>
      </c>
      <c r="AB1103" t="s">
        <v>12</v>
      </c>
      <c r="AC1103">
        <f>_xlfn.XLOOKUP(AB1103,'[1]GST Codes'!$A:$A,'[1]GST Codes'!$C:$C,0,0)</f>
        <v>18</v>
      </c>
      <c r="AD1103">
        <f t="shared" si="35"/>
        <v>0</v>
      </c>
      <c r="AE1103" t="s">
        <v>13</v>
      </c>
      <c r="AF1103" t="s">
        <v>0</v>
      </c>
      <c r="AG1103" t="s">
        <v>14</v>
      </c>
      <c r="AH1103" t="s">
        <v>15</v>
      </c>
      <c r="AI1103" t="s">
        <v>96</v>
      </c>
      <c r="AJ1103" t="s">
        <v>17</v>
      </c>
      <c r="AK1103" t="s">
        <v>18</v>
      </c>
      <c r="AL1103" t="s">
        <v>148</v>
      </c>
      <c r="AM1103" t="s">
        <v>508</v>
      </c>
      <c r="AN1103" t="s">
        <v>0</v>
      </c>
      <c r="AO1103" t="s">
        <v>0</v>
      </c>
      <c r="AP1103" t="s">
        <v>0</v>
      </c>
      <c r="AQ1103" s="5">
        <v>2</v>
      </c>
      <c r="AR1103" t="s">
        <v>147</v>
      </c>
      <c r="AS1103" t="s">
        <v>0</v>
      </c>
      <c r="AT1103" t="s">
        <v>17</v>
      </c>
      <c r="AU1103" s="4">
        <v>0</v>
      </c>
      <c r="AV1103" s="4">
        <v>0</v>
      </c>
      <c r="AW1103" s="4">
        <v>0</v>
      </c>
      <c r="AX1103" s="4">
        <v>0</v>
      </c>
      <c r="AY1103" s="5">
        <v>0</v>
      </c>
      <c r="AZ1103" s="5">
        <v>0</v>
      </c>
      <c r="BA1103" s="5">
        <v>0</v>
      </c>
      <c r="BB1103" s="2"/>
      <c r="BC1103" t="s">
        <v>0</v>
      </c>
      <c r="BD1103" s="5">
        <v>1</v>
      </c>
      <c r="BE1103" t="s">
        <v>0</v>
      </c>
      <c r="BF1103" t="s">
        <v>538</v>
      </c>
      <c r="BG1103" t="s">
        <v>17</v>
      </c>
      <c r="BH1103" t="s">
        <v>0</v>
      </c>
      <c r="BI1103" t="s">
        <v>147</v>
      </c>
      <c r="BJ1103" t="s">
        <v>0</v>
      </c>
      <c r="BK1103" t="s">
        <v>0</v>
      </c>
      <c r="BL1103" s="5">
        <v>0</v>
      </c>
      <c r="BM1103" t="s">
        <v>0</v>
      </c>
      <c r="BN1103" t="s">
        <v>0</v>
      </c>
      <c r="BO1103" t="s">
        <v>0</v>
      </c>
      <c r="BP1103" t="s">
        <v>17</v>
      </c>
      <c r="BQ1103" t="s">
        <v>0</v>
      </c>
      <c r="BR1103" t="s">
        <v>17</v>
      </c>
      <c r="BS1103" t="s">
        <v>17</v>
      </c>
      <c r="BT1103" t="s">
        <v>0</v>
      </c>
      <c r="BU1103" t="s">
        <v>0</v>
      </c>
      <c r="BV1103" t="s">
        <v>0</v>
      </c>
      <c r="BW1103" t="s">
        <v>0</v>
      </c>
      <c r="BX1103" t="s">
        <v>0</v>
      </c>
      <c r="BY1103" t="s">
        <v>0</v>
      </c>
      <c r="BZ1103" t="s">
        <v>0</v>
      </c>
      <c r="CA1103" t="s">
        <v>0</v>
      </c>
      <c r="CB1103" t="s">
        <v>0</v>
      </c>
    </row>
    <row r="1104" spans="1:80" x14ac:dyDescent="0.25">
      <c r="A1104" t="s">
        <v>504</v>
      </c>
      <c r="B1104" s="2">
        <v>46180</v>
      </c>
      <c r="C1104" s="2"/>
      <c r="D1104" s="2"/>
      <c r="E1104" t="s">
        <v>2</v>
      </c>
      <c r="F1104" t="s">
        <v>89</v>
      </c>
      <c r="G1104" t="s">
        <v>0</v>
      </c>
      <c r="H1104" t="s">
        <v>4</v>
      </c>
      <c r="I1104" t="s">
        <v>505</v>
      </c>
      <c r="J1104" t="s">
        <v>6</v>
      </c>
      <c r="K1104" t="s">
        <v>555</v>
      </c>
      <c r="L1104" t="s">
        <v>536</v>
      </c>
      <c r="M1104" t="s">
        <v>537</v>
      </c>
      <c r="N1104" t="s">
        <v>10</v>
      </c>
      <c r="O1104" t="s">
        <v>0</v>
      </c>
      <c r="P1104" t="s">
        <v>147</v>
      </c>
      <c r="Q1104" s="5">
        <v>2</v>
      </c>
      <c r="R1104" s="4">
        <v>222</v>
      </c>
      <c r="S1104" s="5">
        <v>1</v>
      </c>
      <c r="T1104" s="4">
        <v>444</v>
      </c>
      <c r="U1104" s="5">
        <v>2</v>
      </c>
      <c r="V1104" s="4">
        <v>444</v>
      </c>
      <c r="W1104" s="5">
        <v>2</v>
      </c>
      <c r="X1104" s="4">
        <v>444</v>
      </c>
      <c r="Y1104" s="4">
        <f t="shared" si="34"/>
        <v>0</v>
      </c>
      <c r="Z1104" t="s">
        <v>0</v>
      </c>
      <c r="AA1104" t="s">
        <v>2</v>
      </c>
      <c r="AB1104" t="s">
        <v>12</v>
      </c>
      <c r="AC1104">
        <f>_xlfn.XLOOKUP(AB1104,'[1]GST Codes'!$A:$A,'[1]GST Codes'!$C:$C,0,0)</f>
        <v>18</v>
      </c>
      <c r="AD1104">
        <f t="shared" si="35"/>
        <v>0</v>
      </c>
      <c r="AE1104" t="s">
        <v>13</v>
      </c>
      <c r="AF1104" t="s">
        <v>0</v>
      </c>
      <c r="AG1104" t="s">
        <v>14</v>
      </c>
      <c r="AH1104" t="s">
        <v>15</v>
      </c>
      <c r="AI1104" t="s">
        <v>96</v>
      </c>
      <c r="AJ1104" t="s">
        <v>17</v>
      </c>
      <c r="AK1104" t="s">
        <v>18</v>
      </c>
      <c r="AL1104" t="s">
        <v>148</v>
      </c>
      <c r="AM1104" t="s">
        <v>508</v>
      </c>
      <c r="AN1104" t="s">
        <v>0</v>
      </c>
      <c r="AO1104" t="s">
        <v>0</v>
      </c>
      <c r="AP1104" t="s">
        <v>0</v>
      </c>
      <c r="AQ1104" s="5">
        <v>2</v>
      </c>
      <c r="AR1104" t="s">
        <v>147</v>
      </c>
      <c r="AS1104" t="s">
        <v>0</v>
      </c>
      <c r="AT1104" t="s">
        <v>17</v>
      </c>
      <c r="AU1104" s="4">
        <v>0</v>
      </c>
      <c r="AV1104" s="4">
        <v>0</v>
      </c>
      <c r="AW1104" s="4">
        <v>0</v>
      </c>
      <c r="AX1104" s="4">
        <v>0</v>
      </c>
      <c r="AY1104" s="5">
        <v>0</v>
      </c>
      <c r="AZ1104" s="5">
        <v>0</v>
      </c>
      <c r="BA1104" s="5">
        <v>0</v>
      </c>
      <c r="BB1104" s="2"/>
      <c r="BC1104" t="s">
        <v>0</v>
      </c>
      <c r="BD1104" s="5">
        <v>1</v>
      </c>
      <c r="BE1104" t="s">
        <v>0</v>
      </c>
      <c r="BF1104" t="s">
        <v>538</v>
      </c>
      <c r="BG1104" t="s">
        <v>17</v>
      </c>
      <c r="BH1104" t="s">
        <v>0</v>
      </c>
      <c r="BI1104" t="s">
        <v>147</v>
      </c>
      <c r="BJ1104" t="s">
        <v>0</v>
      </c>
      <c r="BK1104" t="s">
        <v>0</v>
      </c>
      <c r="BL1104" s="5">
        <v>0</v>
      </c>
      <c r="BM1104" t="s">
        <v>0</v>
      </c>
      <c r="BN1104" t="s">
        <v>0</v>
      </c>
      <c r="BO1104" t="s">
        <v>0</v>
      </c>
      <c r="BP1104" t="s">
        <v>17</v>
      </c>
      <c r="BQ1104" t="s">
        <v>0</v>
      </c>
      <c r="BR1104" t="s">
        <v>17</v>
      </c>
      <c r="BS1104" t="s">
        <v>17</v>
      </c>
      <c r="BT1104" t="s">
        <v>0</v>
      </c>
      <c r="BU1104" t="s">
        <v>0</v>
      </c>
      <c r="BV1104" t="s">
        <v>0</v>
      </c>
      <c r="BW1104" t="s">
        <v>0</v>
      </c>
      <c r="BX1104" t="s">
        <v>0</v>
      </c>
      <c r="BY1104" t="s">
        <v>0</v>
      </c>
      <c r="BZ1104" t="s">
        <v>0</v>
      </c>
      <c r="CA1104" t="s">
        <v>0</v>
      </c>
      <c r="CB1104" t="s">
        <v>0</v>
      </c>
    </row>
    <row r="1105" spans="1:80" x14ac:dyDescent="0.25">
      <c r="A1105" t="s">
        <v>504</v>
      </c>
      <c r="B1105" s="2">
        <v>46180</v>
      </c>
      <c r="C1105" s="2"/>
      <c r="D1105" s="2"/>
      <c r="E1105" t="s">
        <v>2</v>
      </c>
      <c r="F1105" t="s">
        <v>89</v>
      </c>
      <c r="G1105" t="s">
        <v>0</v>
      </c>
      <c r="H1105" t="s">
        <v>4</v>
      </c>
      <c r="I1105" t="s">
        <v>505</v>
      </c>
      <c r="J1105" t="s">
        <v>6</v>
      </c>
      <c r="K1105" t="s">
        <v>556</v>
      </c>
      <c r="L1105" t="s">
        <v>220</v>
      </c>
      <c r="M1105" t="s">
        <v>520</v>
      </c>
      <c r="N1105" t="s">
        <v>10</v>
      </c>
      <c r="O1105" t="s">
        <v>0</v>
      </c>
      <c r="P1105" t="s">
        <v>147</v>
      </c>
      <c r="Q1105" s="5">
        <v>6</v>
      </c>
      <c r="R1105" s="4">
        <v>96</v>
      </c>
      <c r="S1105" s="5">
        <v>1</v>
      </c>
      <c r="T1105" s="4">
        <v>576</v>
      </c>
      <c r="U1105" s="5">
        <v>6</v>
      </c>
      <c r="V1105" s="4">
        <v>576</v>
      </c>
      <c r="W1105" s="5">
        <v>6</v>
      </c>
      <c r="X1105" s="4">
        <v>576</v>
      </c>
      <c r="Y1105" s="4">
        <f t="shared" si="34"/>
        <v>0</v>
      </c>
      <c r="Z1105" t="s">
        <v>0</v>
      </c>
      <c r="AA1105" t="s">
        <v>2</v>
      </c>
      <c r="AB1105" t="s">
        <v>12</v>
      </c>
      <c r="AC1105">
        <f>_xlfn.XLOOKUP(AB1105,'[1]GST Codes'!$A:$A,'[1]GST Codes'!$C:$C,0,0)</f>
        <v>18</v>
      </c>
      <c r="AD1105">
        <f t="shared" si="35"/>
        <v>0</v>
      </c>
      <c r="AE1105" t="s">
        <v>13</v>
      </c>
      <c r="AF1105" t="s">
        <v>0</v>
      </c>
      <c r="AG1105" t="s">
        <v>14</v>
      </c>
      <c r="AH1105" t="s">
        <v>15</v>
      </c>
      <c r="AI1105" t="s">
        <v>96</v>
      </c>
      <c r="AJ1105" t="s">
        <v>17</v>
      </c>
      <c r="AK1105" t="s">
        <v>18</v>
      </c>
      <c r="AL1105" t="s">
        <v>148</v>
      </c>
      <c r="AM1105" t="s">
        <v>508</v>
      </c>
      <c r="AN1105" t="s">
        <v>0</v>
      </c>
      <c r="AO1105" t="s">
        <v>0</v>
      </c>
      <c r="AP1105" t="s">
        <v>0</v>
      </c>
      <c r="AQ1105" s="5">
        <v>6</v>
      </c>
      <c r="AR1105" t="s">
        <v>147</v>
      </c>
      <c r="AS1105" t="s">
        <v>0</v>
      </c>
      <c r="AT1105" t="s">
        <v>17</v>
      </c>
      <c r="AU1105" s="4">
        <v>0</v>
      </c>
      <c r="AV1105" s="4">
        <v>0</v>
      </c>
      <c r="AW1105" s="4">
        <v>0</v>
      </c>
      <c r="AX1105" s="4">
        <v>0</v>
      </c>
      <c r="AY1105" s="5">
        <v>0</v>
      </c>
      <c r="AZ1105" s="5">
        <v>0</v>
      </c>
      <c r="BA1105" s="5">
        <v>0</v>
      </c>
      <c r="BB1105" s="2"/>
      <c r="BC1105" t="s">
        <v>0</v>
      </c>
      <c r="BD1105" s="5">
        <v>1</v>
      </c>
      <c r="BE1105" t="s">
        <v>0</v>
      </c>
      <c r="BF1105" t="s">
        <v>521</v>
      </c>
      <c r="BG1105" t="s">
        <v>17</v>
      </c>
      <c r="BH1105" t="s">
        <v>0</v>
      </c>
      <c r="BI1105" t="s">
        <v>147</v>
      </c>
      <c r="BJ1105" t="s">
        <v>0</v>
      </c>
      <c r="BK1105" t="s">
        <v>0</v>
      </c>
      <c r="BL1105" s="5">
        <v>0</v>
      </c>
      <c r="BM1105" t="s">
        <v>0</v>
      </c>
      <c r="BN1105" t="s">
        <v>0</v>
      </c>
      <c r="BO1105" t="s">
        <v>0</v>
      </c>
      <c r="BP1105" t="s">
        <v>17</v>
      </c>
      <c r="BQ1105" t="s">
        <v>0</v>
      </c>
      <c r="BR1105" t="s">
        <v>17</v>
      </c>
      <c r="BS1105" t="s">
        <v>17</v>
      </c>
      <c r="BT1105" t="s">
        <v>0</v>
      </c>
      <c r="BU1105" t="s">
        <v>0</v>
      </c>
      <c r="BV1105" t="s">
        <v>0</v>
      </c>
      <c r="BW1105" t="s">
        <v>0</v>
      </c>
      <c r="BX1105" t="s">
        <v>0</v>
      </c>
      <c r="BY1105" t="s">
        <v>0</v>
      </c>
      <c r="BZ1105" t="s">
        <v>0</v>
      </c>
      <c r="CA1105" t="s">
        <v>0</v>
      </c>
      <c r="CB1105" t="s">
        <v>0</v>
      </c>
    </row>
    <row r="1106" spans="1:80" x14ac:dyDescent="0.25">
      <c r="A1106" t="s">
        <v>504</v>
      </c>
      <c r="B1106" s="2">
        <v>46180</v>
      </c>
      <c r="C1106" s="2"/>
      <c r="D1106" s="2"/>
      <c r="E1106" t="s">
        <v>2</v>
      </c>
      <c r="F1106" t="s">
        <v>89</v>
      </c>
      <c r="G1106" t="s">
        <v>0</v>
      </c>
      <c r="H1106" t="s">
        <v>4</v>
      </c>
      <c r="I1106" t="s">
        <v>505</v>
      </c>
      <c r="J1106" t="s">
        <v>6</v>
      </c>
      <c r="K1106" t="s">
        <v>557</v>
      </c>
      <c r="L1106" t="s">
        <v>178</v>
      </c>
      <c r="M1106" t="s">
        <v>522</v>
      </c>
      <c r="N1106" t="s">
        <v>10</v>
      </c>
      <c r="O1106" t="s">
        <v>0</v>
      </c>
      <c r="P1106" t="s">
        <v>147</v>
      </c>
      <c r="Q1106" s="5">
        <v>2</v>
      </c>
      <c r="R1106" s="4">
        <v>137</v>
      </c>
      <c r="S1106" s="5">
        <v>1</v>
      </c>
      <c r="T1106" s="4">
        <v>274</v>
      </c>
      <c r="U1106" s="5">
        <v>2</v>
      </c>
      <c r="V1106" s="4">
        <v>274</v>
      </c>
      <c r="W1106" s="5">
        <v>2</v>
      </c>
      <c r="X1106" s="4">
        <v>274</v>
      </c>
      <c r="Y1106" s="4">
        <f t="shared" si="34"/>
        <v>0</v>
      </c>
      <c r="Z1106" t="s">
        <v>0</v>
      </c>
      <c r="AA1106" t="s">
        <v>2</v>
      </c>
      <c r="AB1106" t="s">
        <v>12</v>
      </c>
      <c r="AC1106">
        <f>_xlfn.XLOOKUP(AB1106,'[1]GST Codes'!$A:$A,'[1]GST Codes'!$C:$C,0,0)</f>
        <v>18</v>
      </c>
      <c r="AD1106">
        <f t="shared" si="35"/>
        <v>0</v>
      </c>
      <c r="AE1106" t="s">
        <v>13</v>
      </c>
      <c r="AF1106" t="s">
        <v>0</v>
      </c>
      <c r="AG1106" t="s">
        <v>14</v>
      </c>
      <c r="AH1106" t="s">
        <v>15</v>
      </c>
      <c r="AI1106" t="s">
        <v>96</v>
      </c>
      <c r="AJ1106" t="s">
        <v>17</v>
      </c>
      <c r="AK1106" t="s">
        <v>18</v>
      </c>
      <c r="AL1106" t="s">
        <v>148</v>
      </c>
      <c r="AM1106" t="s">
        <v>508</v>
      </c>
      <c r="AN1106" t="s">
        <v>0</v>
      </c>
      <c r="AO1106" t="s">
        <v>0</v>
      </c>
      <c r="AP1106" t="s">
        <v>0</v>
      </c>
      <c r="AQ1106" s="5">
        <v>2</v>
      </c>
      <c r="AR1106" t="s">
        <v>147</v>
      </c>
      <c r="AS1106" t="s">
        <v>0</v>
      </c>
      <c r="AT1106" t="s">
        <v>17</v>
      </c>
      <c r="AU1106" s="4">
        <v>0</v>
      </c>
      <c r="AV1106" s="4">
        <v>0</v>
      </c>
      <c r="AW1106" s="4">
        <v>0</v>
      </c>
      <c r="AX1106" s="4">
        <v>0</v>
      </c>
      <c r="AY1106" s="5">
        <v>0</v>
      </c>
      <c r="AZ1106" s="5">
        <v>0</v>
      </c>
      <c r="BA1106" s="5">
        <v>0</v>
      </c>
      <c r="BB1106" s="2"/>
      <c r="BC1106" t="s">
        <v>0</v>
      </c>
      <c r="BD1106" s="5">
        <v>1</v>
      </c>
      <c r="BE1106" t="s">
        <v>0</v>
      </c>
      <c r="BF1106" t="s">
        <v>523</v>
      </c>
      <c r="BG1106" t="s">
        <v>17</v>
      </c>
      <c r="BH1106" t="s">
        <v>0</v>
      </c>
      <c r="BI1106" t="s">
        <v>147</v>
      </c>
      <c r="BJ1106" t="s">
        <v>0</v>
      </c>
      <c r="BK1106" t="s">
        <v>0</v>
      </c>
      <c r="BL1106" s="5">
        <v>0</v>
      </c>
      <c r="BM1106" t="s">
        <v>0</v>
      </c>
      <c r="BN1106" t="s">
        <v>0</v>
      </c>
      <c r="BO1106" t="s">
        <v>0</v>
      </c>
      <c r="BP1106" t="s">
        <v>17</v>
      </c>
      <c r="BQ1106" t="s">
        <v>0</v>
      </c>
      <c r="BR1106" t="s">
        <v>17</v>
      </c>
      <c r="BS1106" t="s">
        <v>17</v>
      </c>
      <c r="BT1106" t="s">
        <v>0</v>
      </c>
      <c r="BU1106" t="s">
        <v>0</v>
      </c>
      <c r="BV1106" t="s">
        <v>0</v>
      </c>
      <c r="BW1106" t="s">
        <v>0</v>
      </c>
      <c r="BX1106" t="s">
        <v>0</v>
      </c>
      <c r="BY1106" t="s">
        <v>0</v>
      </c>
      <c r="BZ1106" t="s">
        <v>0</v>
      </c>
      <c r="CA1106" t="s">
        <v>0</v>
      </c>
      <c r="CB1106" t="s">
        <v>0</v>
      </c>
    </row>
    <row r="1107" spans="1:80" x14ac:dyDescent="0.25">
      <c r="A1107" t="s">
        <v>504</v>
      </c>
      <c r="B1107" s="2">
        <v>46180</v>
      </c>
      <c r="C1107" s="2"/>
      <c r="D1107" s="2"/>
      <c r="E1107" t="s">
        <v>2</v>
      </c>
      <c r="F1107" t="s">
        <v>89</v>
      </c>
      <c r="G1107" t="s">
        <v>0</v>
      </c>
      <c r="H1107" t="s">
        <v>4</v>
      </c>
      <c r="I1107" t="s">
        <v>505</v>
      </c>
      <c r="J1107" t="s">
        <v>6</v>
      </c>
      <c r="K1107" t="s">
        <v>558</v>
      </c>
      <c r="L1107" t="s">
        <v>559</v>
      </c>
      <c r="M1107" t="s">
        <v>560</v>
      </c>
      <c r="N1107" t="s">
        <v>10</v>
      </c>
      <c r="O1107" t="s">
        <v>0</v>
      </c>
      <c r="P1107" t="s">
        <v>147</v>
      </c>
      <c r="Q1107" s="5">
        <v>5</v>
      </c>
      <c r="R1107" s="4">
        <v>199</v>
      </c>
      <c r="S1107" s="5">
        <v>1</v>
      </c>
      <c r="T1107" s="4">
        <v>995</v>
      </c>
      <c r="U1107" s="5">
        <v>5</v>
      </c>
      <c r="V1107" s="4">
        <v>995</v>
      </c>
      <c r="W1107" s="5">
        <v>5</v>
      </c>
      <c r="X1107" s="4">
        <v>995</v>
      </c>
      <c r="Y1107" s="4">
        <f t="shared" si="34"/>
        <v>0</v>
      </c>
      <c r="Z1107" t="s">
        <v>0</v>
      </c>
      <c r="AA1107" t="s">
        <v>2</v>
      </c>
      <c r="AB1107" t="s">
        <v>12</v>
      </c>
      <c r="AC1107">
        <f>_xlfn.XLOOKUP(AB1107,'[1]GST Codes'!$A:$A,'[1]GST Codes'!$C:$C,0,0)</f>
        <v>18</v>
      </c>
      <c r="AD1107">
        <f t="shared" si="35"/>
        <v>0</v>
      </c>
      <c r="AE1107" t="s">
        <v>13</v>
      </c>
      <c r="AF1107" t="s">
        <v>0</v>
      </c>
      <c r="AG1107" t="s">
        <v>14</v>
      </c>
      <c r="AH1107" t="s">
        <v>15</v>
      </c>
      <c r="AI1107" t="s">
        <v>96</v>
      </c>
      <c r="AJ1107" t="s">
        <v>17</v>
      </c>
      <c r="AK1107" t="s">
        <v>18</v>
      </c>
      <c r="AL1107" t="s">
        <v>148</v>
      </c>
      <c r="AM1107" t="s">
        <v>508</v>
      </c>
      <c r="AN1107" t="s">
        <v>0</v>
      </c>
      <c r="AO1107" t="s">
        <v>0</v>
      </c>
      <c r="AP1107" t="s">
        <v>0</v>
      </c>
      <c r="AQ1107" s="5">
        <v>5</v>
      </c>
      <c r="AR1107" t="s">
        <v>147</v>
      </c>
      <c r="AS1107" t="s">
        <v>0</v>
      </c>
      <c r="AT1107" t="s">
        <v>17</v>
      </c>
      <c r="AU1107" s="4">
        <v>0</v>
      </c>
      <c r="AV1107" s="4">
        <v>0</v>
      </c>
      <c r="AW1107" s="4">
        <v>0</v>
      </c>
      <c r="AX1107" s="4">
        <v>0</v>
      </c>
      <c r="AY1107" s="5">
        <v>0</v>
      </c>
      <c r="AZ1107" s="5">
        <v>0</v>
      </c>
      <c r="BA1107" s="5">
        <v>0</v>
      </c>
      <c r="BB1107" s="2"/>
      <c r="BC1107" t="s">
        <v>0</v>
      </c>
      <c r="BD1107" s="5">
        <v>1</v>
      </c>
      <c r="BE1107" t="s">
        <v>0</v>
      </c>
      <c r="BF1107" t="s">
        <v>561</v>
      </c>
      <c r="BG1107" t="s">
        <v>17</v>
      </c>
      <c r="BH1107" t="s">
        <v>0</v>
      </c>
      <c r="BI1107" t="s">
        <v>147</v>
      </c>
      <c r="BJ1107" t="s">
        <v>0</v>
      </c>
      <c r="BK1107" t="s">
        <v>0</v>
      </c>
      <c r="BL1107" s="5">
        <v>0</v>
      </c>
      <c r="BM1107" t="s">
        <v>0</v>
      </c>
      <c r="BN1107" t="s">
        <v>0</v>
      </c>
      <c r="BO1107" t="s">
        <v>0</v>
      </c>
      <c r="BP1107" t="s">
        <v>17</v>
      </c>
      <c r="BQ1107" t="s">
        <v>0</v>
      </c>
      <c r="BR1107" t="s">
        <v>17</v>
      </c>
      <c r="BS1107" t="s">
        <v>17</v>
      </c>
      <c r="BT1107" t="s">
        <v>0</v>
      </c>
      <c r="BU1107" t="s">
        <v>0</v>
      </c>
      <c r="BV1107" t="s">
        <v>0</v>
      </c>
      <c r="BW1107" t="s">
        <v>0</v>
      </c>
      <c r="BX1107" t="s">
        <v>0</v>
      </c>
      <c r="BY1107" t="s">
        <v>0</v>
      </c>
      <c r="BZ1107" t="s">
        <v>0</v>
      </c>
      <c r="CA1107" t="s">
        <v>0</v>
      </c>
      <c r="CB1107" t="s">
        <v>0</v>
      </c>
    </row>
    <row r="1108" spans="1:80" x14ac:dyDescent="0.25">
      <c r="A1108" t="s">
        <v>504</v>
      </c>
      <c r="B1108" s="2">
        <v>46180</v>
      </c>
      <c r="C1108" s="2"/>
      <c r="D1108" s="2"/>
      <c r="E1108" t="s">
        <v>2</v>
      </c>
      <c r="F1108" t="s">
        <v>89</v>
      </c>
      <c r="G1108" t="s">
        <v>0</v>
      </c>
      <c r="H1108" t="s">
        <v>4</v>
      </c>
      <c r="I1108" t="s">
        <v>505</v>
      </c>
      <c r="J1108" t="s">
        <v>6</v>
      </c>
      <c r="K1108" t="s">
        <v>562</v>
      </c>
      <c r="L1108" t="s">
        <v>525</v>
      </c>
      <c r="M1108" t="s">
        <v>526</v>
      </c>
      <c r="N1108" t="s">
        <v>10</v>
      </c>
      <c r="O1108" t="s">
        <v>0</v>
      </c>
      <c r="P1108" t="s">
        <v>147</v>
      </c>
      <c r="Q1108" s="5">
        <v>5</v>
      </c>
      <c r="R1108" s="4">
        <v>270</v>
      </c>
      <c r="S1108" s="5">
        <v>1</v>
      </c>
      <c r="T1108" s="4">
        <v>1350</v>
      </c>
      <c r="U1108" s="5">
        <v>5</v>
      </c>
      <c r="V1108" s="4">
        <v>1350</v>
      </c>
      <c r="W1108" s="5">
        <v>5</v>
      </c>
      <c r="X1108" s="4">
        <v>1350</v>
      </c>
      <c r="Y1108" s="4">
        <f t="shared" si="34"/>
        <v>0</v>
      </c>
      <c r="Z1108" t="s">
        <v>0</v>
      </c>
      <c r="AA1108" t="s">
        <v>2</v>
      </c>
      <c r="AB1108" t="s">
        <v>12</v>
      </c>
      <c r="AC1108">
        <f>_xlfn.XLOOKUP(AB1108,'[1]GST Codes'!$A:$A,'[1]GST Codes'!$C:$C,0,0)</f>
        <v>18</v>
      </c>
      <c r="AD1108">
        <f t="shared" si="35"/>
        <v>0</v>
      </c>
      <c r="AE1108" t="s">
        <v>13</v>
      </c>
      <c r="AF1108" t="s">
        <v>0</v>
      </c>
      <c r="AG1108" t="s">
        <v>14</v>
      </c>
      <c r="AH1108" t="s">
        <v>15</v>
      </c>
      <c r="AI1108" t="s">
        <v>96</v>
      </c>
      <c r="AJ1108" t="s">
        <v>17</v>
      </c>
      <c r="AK1108" t="s">
        <v>18</v>
      </c>
      <c r="AL1108" t="s">
        <v>148</v>
      </c>
      <c r="AM1108" t="s">
        <v>508</v>
      </c>
      <c r="AN1108" t="s">
        <v>0</v>
      </c>
      <c r="AO1108" t="s">
        <v>0</v>
      </c>
      <c r="AP1108" t="s">
        <v>0</v>
      </c>
      <c r="AQ1108" s="5">
        <v>5</v>
      </c>
      <c r="AR1108" t="s">
        <v>147</v>
      </c>
      <c r="AS1108" t="s">
        <v>0</v>
      </c>
      <c r="AT1108" t="s">
        <v>17</v>
      </c>
      <c r="AU1108" s="4">
        <v>0</v>
      </c>
      <c r="AV1108" s="4">
        <v>0</v>
      </c>
      <c r="AW1108" s="4">
        <v>0</v>
      </c>
      <c r="AX1108" s="4">
        <v>0</v>
      </c>
      <c r="AY1108" s="5">
        <v>0</v>
      </c>
      <c r="AZ1108" s="5">
        <v>0</v>
      </c>
      <c r="BA1108" s="5">
        <v>0</v>
      </c>
      <c r="BB1108" s="2"/>
      <c r="BC1108" t="s">
        <v>0</v>
      </c>
      <c r="BD1108" s="5">
        <v>1</v>
      </c>
      <c r="BE1108" t="s">
        <v>0</v>
      </c>
      <c r="BF1108" t="s">
        <v>527</v>
      </c>
      <c r="BG1108" t="s">
        <v>17</v>
      </c>
      <c r="BH1108" t="s">
        <v>0</v>
      </c>
      <c r="BI1108" t="s">
        <v>147</v>
      </c>
      <c r="BJ1108" t="s">
        <v>0</v>
      </c>
      <c r="BK1108" t="s">
        <v>0</v>
      </c>
      <c r="BL1108" s="5">
        <v>0</v>
      </c>
      <c r="BM1108" t="s">
        <v>0</v>
      </c>
      <c r="BN1108" t="s">
        <v>0</v>
      </c>
      <c r="BO1108" t="s">
        <v>0</v>
      </c>
      <c r="BP1108" t="s">
        <v>17</v>
      </c>
      <c r="BQ1108" t="s">
        <v>0</v>
      </c>
      <c r="BR1108" t="s">
        <v>17</v>
      </c>
      <c r="BS1108" t="s">
        <v>17</v>
      </c>
      <c r="BT1108" t="s">
        <v>0</v>
      </c>
      <c r="BU1108" t="s">
        <v>0</v>
      </c>
      <c r="BV1108" t="s">
        <v>0</v>
      </c>
      <c r="BW1108" t="s">
        <v>0</v>
      </c>
      <c r="BX1108" t="s">
        <v>0</v>
      </c>
      <c r="BY1108" t="s">
        <v>0</v>
      </c>
      <c r="BZ1108" t="s">
        <v>0</v>
      </c>
      <c r="CA1108" t="s">
        <v>0</v>
      </c>
      <c r="CB1108" t="s">
        <v>0</v>
      </c>
    </row>
    <row r="1109" spans="1:80" x14ac:dyDescent="0.25">
      <c r="A1109" t="s">
        <v>504</v>
      </c>
      <c r="B1109" s="2">
        <v>46180</v>
      </c>
      <c r="C1109" s="2"/>
      <c r="D1109" s="2"/>
      <c r="E1109" t="s">
        <v>2</v>
      </c>
      <c r="F1109" t="s">
        <v>89</v>
      </c>
      <c r="G1109" t="s">
        <v>0</v>
      </c>
      <c r="H1109" t="s">
        <v>4</v>
      </c>
      <c r="I1109" t="s">
        <v>505</v>
      </c>
      <c r="J1109" t="s">
        <v>6</v>
      </c>
      <c r="K1109" t="s">
        <v>563</v>
      </c>
      <c r="L1109" t="s">
        <v>210</v>
      </c>
      <c r="M1109" t="s">
        <v>564</v>
      </c>
      <c r="N1109" t="s">
        <v>10</v>
      </c>
      <c r="O1109" t="s">
        <v>0</v>
      </c>
      <c r="P1109" t="s">
        <v>147</v>
      </c>
      <c r="Q1109" s="5">
        <v>1</v>
      </c>
      <c r="R1109" s="4">
        <v>246</v>
      </c>
      <c r="S1109" s="5">
        <v>1</v>
      </c>
      <c r="T1109" s="4">
        <v>246</v>
      </c>
      <c r="U1109" s="5">
        <v>1</v>
      </c>
      <c r="V1109" s="4">
        <v>246</v>
      </c>
      <c r="W1109" s="5">
        <v>1</v>
      </c>
      <c r="X1109" s="4">
        <v>246</v>
      </c>
      <c r="Y1109" s="4">
        <f t="shared" si="34"/>
        <v>0</v>
      </c>
      <c r="Z1109" t="s">
        <v>0</v>
      </c>
      <c r="AA1109" t="s">
        <v>2</v>
      </c>
      <c r="AB1109" t="s">
        <v>12</v>
      </c>
      <c r="AC1109">
        <f>_xlfn.XLOOKUP(AB1109,'[1]GST Codes'!$A:$A,'[1]GST Codes'!$C:$C,0,0)</f>
        <v>18</v>
      </c>
      <c r="AD1109">
        <f t="shared" si="35"/>
        <v>0</v>
      </c>
      <c r="AE1109" t="s">
        <v>13</v>
      </c>
      <c r="AF1109" t="s">
        <v>0</v>
      </c>
      <c r="AG1109" t="s">
        <v>14</v>
      </c>
      <c r="AH1109" t="s">
        <v>15</v>
      </c>
      <c r="AI1109" t="s">
        <v>96</v>
      </c>
      <c r="AJ1109" t="s">
        <v>17</v>
      </c>
      <c r="AK1109" t="s">
        <v>18</v>
      </c>
      <c r="AL1109" t="s">
        <v>148</v>
      </c>
      <c r="AM1109" t="s">
        <v>508</v>
      </c>
      <c r="AN1109" t="s">
        <v>0</v>
      </c>
      <c r="AO1109" t="s">
        <v>0</v>
      </c>
      <c r="AP1109" t="s">
        <v>0</v>
      </c>
      <c r="AQ1109" s="5">
        <v>1</v>
      </c>
      <c r="AR1109" t="s">
        <v>147</v>
      </c>
      <c r="AS1109" t="s">
        <v>0</v>
      </c>
      <c r="AT1109" t="s">
        <v>17</v>
      </c>
      <c r="AU1109" s="4">
        <v>0</v>
      </c>
      <c r="AV1109" s="4">
        <v>0</v>
      </c>
      <c r="AW1109" s="4">
        <v>0</v>
      </c>
      <c r="AX1109" s="4">
        <v>0</v>
      </c>
      <c r="AY1109" s="5">
        <v>0</v>
      </c>
      <c r="AZ1109" s="5">
        <v>0</v>
      </c>
      <c r="BA1109" s="5">
        <v>0</v>
      </c>
      <c r="BB1109" s="2"/>
      <c r="BC1109" t="s">
        <v>0</v>
      </c>
      <c r="BD1109" s="5">
        <v>1</v>
      </c>
      <c r="BE1109" t="s">
        <v>0</v>
      </c>
      <c r="BF1109" t="s">
        <v>565</v>
      </c>
      <c r="BG1109" t="s">
        <v>17</v>
      </c>
      <c r="BH1109" t="s">
        <v>0</v>
      </c>
      <c r="BI1109" t="s">
        <v>147</v>
      </c>
      <c r="BJ1109" t="s">
        <v>0</v>
      </c>
      <c r="BK1109" t="s">
        <v>0</v>
      </c>
      <c r="BL1109" s="5">
        <v>0</v>
      </c>
      <c r="BM1109" t="s">
        <v>0</v>
      </c>
      <c r="BN1109" t="s">
        <v>0</v>
      </c>
      <c r="BO1109" t="s">
        <v>0</v>
      </c>
      <c r="BP1109" t="s">
        <v>17</v>
      </c>
      <c r="BQ1109" t="s">
        <v>0</v>
      </c>
      <c r="BR1109" t="s">
        <v>17</v>
      </c>
      <c r="BS1109" t="s">
        <v>17</v>
      </c>
      <c r="BT1109" t="s">
        <v>0</v>
      </c>
      <c r="BU1109" t="s">
        <v>0</v>
      </c>
      <c r="BV1109" t="s">
        <v>0</v>
      </c>
      <c r="BW1109" t="s">
        <v>0</v>
      </c>
      <c r="BX1109" t="s">
        <v>0</v>
      </c>
      <c r="BY1109" t="s">
        <v>0</v>
      </c>
      <c r="BZ1109" t="s">
        <v>0</v>
      </c>
      <c r="CA1109" t="s">
        <v>0</v>
      </c>
      <c r="CB1109" t="s">
        <v>0</v>
      </c>
    </row>
    <row r="1110" spans="1:80" x14ac:dyDescent="0.25">
      <c r="A1110" t="s">
        <v>504</v>
      </c>
      <c r="B1110" s="2">
        <v>46180</v>
      </c>
      <c r="C1110" s="2"/>
      <c r="D1110" s="2"/>
      <c r="E1110" t="s">
        <v>2</v>
      </c>
      <c r="F1110" t="s">
        <v>89</v>
      </c>
      <c r="G1110" t="s">
        <v>0</v>
      </c>
      <c r="H1110" t="s">
        <v>4</v>
      </c>
      <c r="I1110" t="s">
        <v>505</v>
      </c>
      <c r="J1110" t="s">
        <v>6</v>
      </c>
      <c r="K1110" t="s">
        <v>566</v>
      </c>
      <c r="L1110" t="s">
        <v>194</v>
      </c>
      <c r="M1110" t="s">
        <v>195</v>
      </c>
      <c r="N1110" t="s">
        <v>10</v>
      </c>
      <c r="O1110" t="s">
        <v>0</v>
      </c>
      <c r="P1110" t="s">
        <v>147</v>
      </c>
      <c r="Q1110" s="5">
        <v>1</v>
      </c>
      <c r="R1110" s="4">
        <v>23</v>
      </c>
      <c r="S1110" s="5">
        <v>1</v>
      </c>
      <c r="T1110" s="4">
        <v>23</v>
      </c>
      <c r="U1110" s="5">
        <v>1</v>
      </c>
      <c r="V1110" s="4">
        <v>23</v>
      </c>
      <c r="W1110" s="5">
        <v>1</v>
      </c>
      <c r="X1110" s="4">
        <v>23</v>
      </c>
      <c r="Y1110" s="4">
        <f t="shared" si="34"/>
        <v>0</v>
      </c>
      <c r="Z1110" t="s">
        <v>0</v>
      </c>
      <c r="AA1110" t="s">
        <v>2</v>
      </c>
      <c r="AB1110" t="s">
        <v>12</v>
      </c>
      <c r="AC1110">
        <f>_xlfn.XLOOKUP(AB1110,'[1]GST Codes'!$A:$A,'[1]GST Codes'!$C:$C,0,0)</f>
        <v>18</v>
      </c>
      <c r="AD1110">
        <f t="shared" si="35"/>
        <v>0</v>
      </c>
      <c r="AE1110" t="s">
        <v>13</v>
      </c>
      <c r="AF1110" t="s">
        <v>0</v>
      </c>
      <c r="AG1110" t="s">
        <v>14</v>
      </c>
      <c r="AH1110" t="s">
        <v>15</v>
      </c>
      <c r="AI1110" t="s">
        <v>96</v>
      </c>
      <c r="AJ1110" t="s">
        <v>17</v>
      </c>
      <c r="AK1110" t="s">
        <v>18</v>
      </c>
      <c r="AL1110" t="s">
        <v>148</v>
      </c>
      <c r="AM1110" t="s">
        <v>508</v>
      </c>
      <c r="AN1110" t="s">
        <v>0</v>
      </c>
      <c r="AO1110" t="s">
        <v>0</v>
      </c>
      <c r="AP1110" t="s">
        <v>0</v>
      </c>
      <c r="AQ1110" s="5">
        <v>1</v>
      </c>
      <c r="AR1110" t="s">
        <v>147</v>
      </c>
      <c r="AS1110" t="s">
        <v>0</v>
      </c>
      <c r="AT1110" t="s">
        <v>17</v>
      </c>
      <c r="AU1110" s="4">
        <v>0</v>
      </c>
      <c r="AV1110" s="4">
        <v>0</v>
      </c>
      <c r="AW1110" s="4">
        <v>0</v>
      </c>
      <c r="AX1110" s="4">
        <v>0</v>
      </c>
      <c r="AY1110" s="5">
        <v>0</v>
      </c>
      <c r="AZ1110" s="5">
        <v>0</v>
      </c>
      <c r="BA1110" s="5">
        <v>0</v>
      </c>
      <c r="BB1110" s="2"/>
      <c r="BC1110" t="s">
        <v>0</v>
      </c>
      <c r="BD1110" s="5">
        <v>1</v>
      </c>
      <c r="BE1110" t="s">
        <v>0</v>
      </c>
      <c r="BF1110" t="s">
        <v>550</v>
      </c>
      <c r="BG1110" t="s">
        <v>17</v>
      </c>
      <c r="BH1110" t="s">
        <v>0</v>
      </c>
      <c r="BI1110" t="s">
        <v>147</v>
      </c>
      <c r="BJ1110" t="s">
        <v>0</v>
      </c>
      <c r="BK1110" t="s">
        <v>0</v>
      </c>
      <c r="BL1110" s="5">
        <v>0</v>
      </c>
      <c r="BM1110" t="s">
        <v>0</v>
      </c>
      <c r="BN1110" t="s">
        <v>0</v>
      </c>
      <c r="BO1110" t="s">
        <v>0</v>
      </c>
      <c r="BP1110" t="s">
        <v>17</v>
      </c>
      <c r="BQ1110" t="s">
        <v>0</v>
      </c>
      <c r="BR1110" t="s">
        <v>17</v>
      </c>
      <c r="BS1110" t="s">
        <v>17</v>
      </c>
      <c r="BT1110" t="s">
        <v>0</v>
      </c>
      <c r="BU1110" t="s">
        <v>0</v>
      </c>
      <c r="BV1110" t="s">
        <v>0</v>
      </c>
      <c r="BW1110" t="s">
        <v>0</v>
      </c>
      <c r="BX1110" t="s">
        <v>0</v>
      </c>
      <c r="BY1110" t="s">
        <v>0</v>
      </c>
      <c r="BZ1110" t="s">
        <v>0</v>
      </c>
      <c r="CA1110" t="s">
        <v>0</v>
      </c>
      <c r="CB1110" t="s">
        <v>0</v>
      </c>
    </row>
    <row r="1111" spans="1:80" x14ac:dyDescent="0.25">
      <c r="A1111" t="s">
        <v>504</v>
      </c>
      <c r="B1111" s="2">
        <v>46180</v>
      </c>
      <c r="C1111" s="2"/>
      <c r="D1111" s="2"/>
      <c r="E1111" t="s">
        <v>2</v>
      </c>
      <c r="F1111" t="s">
        <v>89</v>
      </c>
      <c r="G1111" t="s">
        <v>0</v>
      </c>
      <c r="H1111" t="s">
        <v>4</v>
      </c>
      <c r="I1111" t="s">
        <v>505</v>
      </c>
      <c r="J1111" t="s">
        <v>6</v>
      </c>
      <c r="K1111" t="s">
        <v>567</v>
      </c>
      <c r="L1111" t="s">
        <v>536</v>
      </c>
      <c r="M1111" t="s">
        <v>537</v>
      </c>
      <c r="N1111" t="s">
        <v>10</v>
      </c>
      <c r="O1111" t="s">
        <v>0</v>
      </c>
      <c r="P1111" t="s">
        <v>147</v>
      </c>
      <c r="Q1111" s="5">
        <v>6</v>
      </c>
      <c r="R1111" s="4">
        <v>183</v>
      </c>
      <c r="S1111" s="5">
        <v>1</v>
      </c>
      <c r="T1111" s="4">
        <v>1098</v>
      </c>
      <c r="U1111" s="5">
        <v>6</v>
      </c>
      <c r="V1111" s="4">
        <v>1098</v>
      </c>
      <c r="W1111" s="5">
        <v>6</v>
      </c>
      <c r="X1111" s="4">
        <v>1098</v>
      </c>
      <c r="Y1111" s="4">
        <f t="shared" si="34"/>
        <v>0</v>
      </c>
      <c r="Z1111" t="s">
        <v>0</v>
      </c>
      <c r="AA1111" t="s">
        <v>2</v>
      </c>
      <c r="AB1111" t="s">
        <v>12</v>
      </c>
      <c r="AC1111">
        <f>_xlfn.XLOOKUP(AB1111,'[1]GST Codes'!$A:$A,'[1]GST Codes'!$C:$C,0,0)</f>
        <v>18</v>
      </c>
      <c r="AD1111">
        <f t="shared" si="35"/>
        <v>0</v>
      </c>
      <c r="AE1111" t="s">
        <v>13</v>
      </c>
      <c r="AF1111" t="s">
        <v>0</v>
      </c>
      <c r="AG1111" t="s">
        <v>14</v>
      </c>
      <c r="AH1111" t="s">
        <v>15</v>
      </c>
      <c r="AI1111" t="s">
        <v>96</v>
      </c>
      <c r="AJ1111" t="s">
        <v>17</v>
      </c>
      <c r="AK1111" t="s">
        <v>18</v>
      </c>
      <c r="AL1111" t="s">
        <v>148</v>
      </c>
      <c r="AM1111" t="s">
        <v>508</v>
      </c>
      <c r="AN1111" t="s">
        <v>0</v>
      </c>
      <c r="AO1111" t="s">
        <v>0</v>
      </c>
      <c r="AP1111" t="s">
        <v>0</v>
      </c>
      <c r="AQ1111" s="5">
        <v>6</v>
      </c>
      <c r="AR1111" t="s">
        <v>147</v>
      </c>
      <c r="AS1111" t="s">
        <v>0</v>
      </c>
      <c r="AT1111" t="s">
        <v>17</v>
      </c>
      <c r="AU1111" s="4">
        <v>0</v>
      </c>
      <c r="AV1111" s="4">
        <v>0</v>
      </c>
      <c r="AW1111" s="4">
        <v>0</v>
      </c>
      <c r="AX1111" s="4">
        <v>0</v>
      </c>
      <c r="AY1111" s="5">
        <v>0</v>
      </c>
      <c r="AZ1111" s="5">
        <v>0</v>
      </c>
      <c r="BA1111" s="5">
        <v>0</v>
      </c>
      <c r="BB1111" s="2"/>
      <c r="BC1111" t="s">
        <v>0</v>
      </c>
      <c r="BD1111" s="5">
        <v>1</v>
      </c>
      <c r="BE1111" t="s">
        <v>0</v>
      </c>
      <c r="BF1111" t="s">
        <v>538</v>
      </c>
      <c r="BG1111" t="s">
        <v>17</v>
      </c>
      <c r="BH1111" t="s">
        <v>0</v>
      </c>
      <c r="BI1111" t="s">
        <v>147</v>
      </c>
      <c r="BJ1111" t="s">
        <v>0</v>
      </c>
      <c r="BK1111" t="s">
        <v>0</v>
      </c>
      <c r="BL1111" s="5">
        <v>0</v>
      </c>
      <c r="BM1111" t="s">
        <v>0</v>
      </c>
      <c r="BN1111" t="s">
        <v>0</v>
      </c>
      <c r="BO1111" t="s">
        <v>0</v>
      </c>
      <c r="BP1111" t="s">
        <v>17</v>
      </c>
      <c r="BQ1111" t="s">
        <v>0</v>
      </c>
      <c r="BR1111" t="s">
        <v>17</v>
      </c>
      <c r="BS1111" t="s">
        <v>17</v>
      </c>
      <c r="BT1111" t="s">
        <v>0</v>
      </c>
      <c r="BU1111" t="s">
        <v>0</v>
      </c>
      <c r="BV1111" t="s">
        <v>0</v>
      </c>
      <c r="BW1111" t="s">
        <v>0</v>
      </c>
      <c r="BX1111" t="s">
        <v>0</v>
      </c>
      <c r="BY1111" t="s">
        <v>0</v>
      </c>
      <c r="BZ1111" t="s">
        <v>0</v>
      </c>
      <c r="CA1111" t="s">
        <v>0</v>
      </c>
      <c r="CB1111" t="s">
        <v>0</v>
      </c>
    </row>
    <row r="1112" spans="1:80" x14ac:dyDescent="0.25">
      <c r="A1112" t="s">
        <v>504</v>
      </c>
      <c r="B1112" s="2">
        <v>46180</v>
      </c>
      <c r="C1112" s="2"/>
      <c r="D1112" s="2"/>
      <c r="E1112" t="s">
        <v>2</v>
      </c>
      <c r="F1112" t="s">
        <v>89</v>
      </c>
      <c r="G1112" t="s">
        <v>0</v>
      </c>
      <c r="H1112" t="s">
        <v>4</v>
      </c>
      <c r="I1112" t="s">
        <v>505</v>
      </c>
      <c r="J1112" t="s">
        <v>6</v>
      </c>
      <c r="K1112" t="s">
        <v>568</v>
      </c>
      <c r="L1112" t="s">
        <v>536</v>
      </c>
      <c r="M1112" t="s">
        <v>537</v>
      </c>
      <c r="N1112" t="s">
        <v>10</v>
      </c>
      <c r="O1112" t="s">
        <v>0</v>
      </c>
      <c r="P1112" t="s">
        <v>147</v>
      </c>
      <c r="Q1112" s="5">
        <v>2</v>
      </c>
      <c r="R1112" s="4">
        <v>197</v>
      </c>
      <c r="S1112" s="5">
        <v>1</v>
      </c>
      <c r="T1112" s="4">
        <v>394</v>
      </c>
      <c r="U1112" s="5">
        <v>2</v>
      </c>
      <c r="V1112" s="4">
        <v>394</v>
      </c>
      <c r="W1112" s="5">
        <v>2</v>
      </c>
      <c r="X1112" s="4">
        <v>394</v>
      </c>
      <c r="Y1112" s="4">
        <f t="shared" si="34"/>
        <v>0</v>
      </c>
      <c r="Z1112" t="s">
        <v>0</v>
      </c>
      <c r="AA1112" t="s">
        <v>2</v>
      </c>
      <c r="AB1112" t="s">
        <v>12</v>
      </c>
      <c r="AC1112">
        <f>_xlfn.XLOOKUP(AB1112,'[1]GST Codes'!$A:$A,'[1]GST Codes'!$C:$C,0,0)</f>
        <v>18</v>
      </c>
      <c r="AD1112">
        <f t="shared" si="35"/>
        <v>0</v>
      </c>
      <c r="AE1112" t="s">
        <v>13</v>
      </c>
      <c r="AF1112" t="s">
        <v>0</v>
      </c>
      <c r="AG1112" t="s">
        <v>14</v>
      </c>
      <c r="AH1112" t="s">
        <v>15</v>
      </c>
      <c r="AI1112" t="s">
        <v>96</v>
      </c>
      <c r="AJ1112" t="s">
        <v>17</v>
      </c>
      <c r="AK1112" t="s">
        <v>18</v>
      </c>
      <c r="AL1112" t="s">
        <v>148</v>
      </c>
      <c r="AM1112" t="s">
        <v>508</v>
      </c>
      <c r="AN1112" t="s">
        <v>0</v>
      </c>
      <c r="AO1112" t="s">
        <v>0</v>
      </c>
      <c r="AP1112" t="s">
        <v>0</v>
      </c>
      <c r="AQ1112" s="5">
        <v>2</v>
      </c>
      <c r="AR1112" t="s">
        <v>147</v>
      </c>
      <c r="AS1112" t="s">
        <v>0</v>
      </c>
      <c r="AT1112" t="s">
        <v>17</v>
      </c>
      <c r="AU1112" s="4">
        <v>0</v>
      </c>
      <c r="AV1112" s="4">
        <v>0</v>
      </c>
      <c r="AW1112" s="4">
        <v>0</v>
      </c>
      <c r="AX1112" s="4">
        <v>0</v>
      </c>
      <c r="AY1112" s="5">
        <v>0</v>
      </c>
      <c r="AZ1112" s="5">
        <v>0</v>
      </c>
      <c r="BA1112" s="5">
        <v>0</v>
      </c>
      <c r="BB1112" s="2"/>
      <c r="BC1112" t="s">
        <v>0</v>
      </c>
      <c r="BD1112" s="5">
        <v>1</v>
      </c>
      <c r="BE1112" t="s">
        <v>0</v>
      </c>
      <c r="BF1112" t="s">
        <v>538</v>
      </c>
      <c r="BG1112" t="s">
        <v>17</v>
      </c>
      <c r="BH1112" t="s">
        <v>0</v>
      </c>
      <c r="BI1112" t="s">
        <v>147</v>
      </c>
      <c r="BJ1112" t="s">
        <v>0</v>
      </c>
      <c r="BK1112" t="s">
        <v>0</v>
      </c>
      <c r="BL1112" s="5">
        <v>0</v>
      </c>
      <c r="BM1112" t="s">
        <v>0</v>
      </c>
      <c r="BN1112" t="s">
        <v>0</v>
      </c>
      <c r="BO1112" t="s">
        <v>0</v>
      </c>
      <c r="BP1112" t="s">
        <v>17</v>
      </c>
      <c r="BQ1112" t="s">
        <v>0</v>
      </c>
      <c r="BR1112" t="s">
        <v>17</v>
      </c>
      <c r="BS1112" t="s">
        <v>17</v>
      </c>
      <c r="BT1112" t="s">
        <v>0</v>
      </c>
      <c r="BU1112" t="s">
        <v>0</v>
      </c>
      <c r="BV1112" t="s">
        <v>0</v>
      </c>
      <c r="BW1112" t="s">
        <v>0</v>
      </c>
      <c r="BX1112" t="s">
        <v>0</v>
      </c>
      <c r="BY1112" t="s">
        <v>0</v>
      </c>
      <c r="BZ1112" t="s">
        <v>0</v>
      </c>
      <c r="CA1112" t="s">
        <v>0</v>
      </c>
      <c r="CB1112" t="s">
        <v>0</v>
      </c>
    </row>
    <row r="1113" spans="1:80" x14ac:dyDescent="0.25">
      <c r="A1113" t="s">
        <v>504</v>
      </c>
      <c r="B1113" s="2">
        <v>46180</v>
      </c>
      <c r="C1113" s="2"/>
      <c r="D1113" s="2"/>
      <c r="E1113" t="s">
        <v>2</v>
      </c>
      <c r="F1113" t="s">
        <v>89</v>
      </c>
      <c r="G1113" t="s">
        <v>0</v>
      </c>
      <c r="H1113" t="s">
        <v>4</v>
      </c>
      <c r="I1113" t="s">
        <v>505</v>
      </c>
      <c r="J1113" t="s">
        <v>6</v>
      </c>
      <c r="K1113" t="s">
        <v>569</v>
      </c>
      <c r="L1113" t="s">
        <v>536</v>
      </c>
      <c r="M1113" t="s">
        <v>537</v>
      </c>
      <c r="N1113" t="s">
        <v>10</v>
      </c>
      <c r="O1113" t="s">
        <v>0</v>
      </c>
      <c r="P1113" t="s">
        <v>147</v>
      </c>
      <c r="Q1113" s="5">
        <v>3</v>
      </c>
      <c r="R1113" s="4">
        <v>212</v>
      </c>
      <c r="S1113" s="5">
        <v>1</v>
      </c>
      <c r="T1113" s="4">
        <v>636</v>
      </c>
      <c r="U1113" s="5">
        <v>3</v>
      </c>
      <c r="V1113" s="4">
        <v>636</v>
      </c>
      <c r="W1113" s="5">
        <v>3</v>
      </c>
      <c r="X1113" s="4">
        <v>636</v>
      </c>
      <c r="Y1113" s="4">
        <f t="shared" si="34"/>
        <v>0</v>
      </c>
      <c r="Z1113" t="s">
        <v>0</v>
      </c>
      <c r="AA1113" t="s">
        <v>2</v>
      </c>
      <c r="AB1113" t="s">
        <v>12</v>
      </c>
      <c r="AC1113">
        <f>_xlfn.XLOOKUP(AB1113,'[1]GST Codes'!$A:$A,'[1]GST Codes'!$C:$C,0,0)</f>
        <v>18</v>
      </c>
      <c r="AD1113">
        <f t="shared" si="35"/>
        <v>0</v>
      </c>
      <c r="AE1113" t="s">
        <v>13</v>
      </c>
      <c r="AF1113" t="s">
        <v>0</v>
      </c>
      <c r="AG1113" t="s">
        <v>14</v>
      </c>
      <c r="AH1113" t="s">
        <v>15</v>
      </c>
      <c r="AI1113" t="s">
        <v>96</v>
      </c>
      <c r="AJ1113" t="s">
        <v>17</v>
      </c>
      <c r="AK1113" t="s">
        <v>18</v>
      </c>
      <c r="AL1113" t="s">
        <v>148</v>
      </c>
      <c r="AM1113" t="s">
        <v>508</v>
      </c>
      <c r="AN1113" t="s">
        <v>0</v>
      </c>
      <c r="AO1113" t="s">
        <v>0</v>
      </c>
      <c r="AP1113" t="s">
        <v>0</v>
      </c>
      <c r="AQ1113" s="5">
        <v>3</v>
      </c>
      <c r="AR1113" t="s">
        <v>147</v>
      </c>
      <c r="AS1113" t="s">
        <v>0</v>
      </c>
      <c r="AT1113" t="s">
        <v>17</v>
      </c>
      <c r="AU1113" s="4">
        <v>0</v>
      </c>
      <c r="AV1113" s="4">
        <v>0</v>
      </c>
      <c r="AW1113" s="4">
        <v>0</v>
      </c>
      <c r="AX1113" s="4">
        <v>0</v>
      </c>
      <c r="AY1113" s="5">
        <v>0</v>
      </c>
      <c r="AZ1113" s="5">
        <v>0</v>
      </c>
      <c r="BA1113" s="5">
        <v>0</v>
      </c>
      <c r="BB1113" s="2"/>
      <c r="BC1113" t="s">
        <v>0</v>
      </c>
      <c r="BD1113" s="5">
        <v>1</v>
      </c>
      <c r="BE1113" t="s">
        <v>0</v>
      </c>
      <c r="BF1113" t="s">
        <v>538</v>
      </c>
      <c r="BG1113" t="s">
        <v>17</v>
      </c>
      <c r="BH1113" t="s">
        <v>0</v>
      </c>
      <c r="BI1113" t="s">
        <v>147</v>
      </c>
      <c r="BJ1113" t="s">
        <v>0</v>
      </c>
      <c r="BK1113" t="s">
        <v>0</v>
      </c>
      <c r="BL1113" s="5">
        <v>0</v>
      </c>
      <c r="BM1113" t="s">
        <v>0</v>
      </c>
      <c r="BN1113" t="s">
        <v>0</v>
      </c>
      <c r="BO1113" t="s">
        <v>0</v>
      </c>
      <c r="BP1113" t="s">
        <v>17</v>
      </c>
      <c r="BQ1113" t="s">
        <v>0</v>
      </c>
      <c r="BR1113" t="s">
        <v>17</v>
      </c>
      <c r="BS1113" t="s">
        <v>17</v>
      </c>
      <c r="BT1113" t="s">
        <v>0</v>
      </c>
      <c r="BU1113" t="s">
        <v>0</v>
      </c>
      <c r="BV1113" t="s">
        <v>0</v>
      </c>
      <c r="BW1113" t="s">
        <v>0</v>
      </c>
      <c r="BX1113" t="s">
        <v>0</v>
      </c>
      <c r="BY1113" t="s">
        <v>0</v>
      </c>
      <c r="BZ1113" t="s">
        <v>0</v>
      </c>
      <c r="CA1113" t="s">
        <v>0</v>
      </c>
      <c r="CB1113" t="s">
        <v>0</v>
      </c>
    </row>
    <row r="1114" spans="1:80" x14ac:dyDescent="0.25">
      <c r="A1114" t="s">
        <v>504</v>
      </c>
      <c r="B1114" s="2">
        <v>46180</v>
      </c>
      <c r="C1114" s="2"/>
      <c r="D1114" s="2"/>
      <c r="E1114" t="s">
        <v>2</v>
      </c>
      <c r="F1114" t="s">
        <v>89</v>
      </c>
      <c r="G1114" t="s">
        <v>0</v>
      </c>
      <c r="H1114" t="s">
        <v>4</v>
      </c>
      <c r="I1114" t="s">
        <v>505</v>
      </c>
      <c r="J1114" t="s">
        <v>6</v>
      </c>
      <c r="K1114" t="s">
        <v>570</v>
      </c>
      <c r="L1114" t="s">
        <v>571</v>
      </c>
      <c r="M1114" t="s">
        <v>572</v>
      </c>
      <c r="N1114" t="s">
        <v>10</v>
      </c>
      <c r="O1114" t="s">
        <v>0</v>
      </c>
      <c r="P1114" t="s">
        <v>147</v>
      </c>
      <c r="Q1114" s="5">
        <v>9</v>
      </c>
      <c r="R1114" s="4">
        <v>96</v>
      </c>
      <c r="S1114" s="5">
        <v>1</v>
      </c>
      <c r="T1114" s="4">
        <v>864</v>
      </c>
      <c r="U1114" s="5">
        <v>9</v>
      </c>
      <c r="V1114" s="4">
        <v>864</v>
      </c>
      <c r="W1114" s="5">
        <v>9</v>
      </c>
      <c r="X1114" s="4">
        <v>864</v>
      </c>
      <c r="Y1114" s="4">
        <f t="shared" si="34"/>
        <v>0</v>
      </c>
      <c r="Z1114" t="s">
        <v>0</v>
      </c>
      <c r="AA1114" t="s">
        <v>2</v>
      </c>
      <c r="AB1114" t="s">
        <v>12</v>
      </c>
      <c r="AC1114">
        <f>_xlfn.XLOOKUP(AB1114,'[1]GST Codes'!$A:$A,'[1]GST Codes'!$C:$C,0,0)</f>
        <v>18</v>
      </c>
      <c r="AD1114">
        <f t="shared" si="35"/>
        <v>0</v>
      </c>
      <c r="AE1114" t="s">
        <v>13</v>
      </c>
      <c r="AF1114" t="s">
        <v>0</v>
      </c>
      <c r="AG1114" t="s">
        <v>14</v>
      </c>
      <c r="AH1114" t="s">
        <v>15</v>
      </c>
      <c r="AI1114" t="s">
        <v>96</v>
      </c>
      <c r="AJ1114" t="s">
        <v>17</v>
      </c>
      <c r="AK1114" t="s">
        <v>18</v>
      </c>
      <c r="AL1114" t="s">
        <v>148</v>
      </c>
      <c r="AM1114" t="s">
        <v>508</v>
      </c>
      <c r="AN1114" t="s">
        <v>0</v>
      </c>
      <c r="AO1114" t="s">
        <v>0</v>
      </c>
      <c r="AP1114" t="s">
        <v>0</v>
      </c>
      <c r="AQ1114" s="5">
        <v>9</v>
      </c>
      <c r="AR1114" t="s">
        <v>147</v>
      </c>
      <c r="AS1114" t="s">
        <v>0</v>
      </c>
      <c r="AT1114" t="s">
        <v>17</v>
      </c>
      <c r="AU1114" s="4">
        <v>0</v>
      </c>
      <c r="AV1114" s="4">
        <v>0</v>
      </c>
      <c r="AW1114" s="4">
        <v>0</v>
      </c>
      <c r="AX1114" s="4">
        <v>0</v>
      </c>
      <c r="AY1114" s="5">
        <v>0</v>
      </c>
      <c r="AZ1114" s="5">
        <v>0</v>
      </c>
      <c r="BA1114" s="5">
        <v>0</v>
      </c>
      <c r="BB1114" s="2"/>
      <c r="BC1114" t="s">
        <v>0</v>
      </c>
      <c r="BD1114" s="5">
        <v>1</v>
      </c>
      <c r="BE1114" t="s">
        <v>0</v>
      </c>
      <c r="BF1114" t="s">
        <v>573</v>
      </c>
      <c r="BG1114" t="s">
        <v>17</v>
      </c>
      <c r="BH1114" t="s">
        <v>0</v>
      </c>
      <c r="BI1114" t="s">
        <v>147</v>
      </c>
      <c r="BJ1114" t="s">
        <v>0</v>
      </c>
      <c r="BK1114" t="s">
        <v>0</v>
      </c>
      <c r="BL1114" s="5">
        <v>0</v>
      </c>
      <c r="BM1114" t="s">
        <v>0</v>
      </c>
      <c r="BN1114" t="s">
        <v>0</v>
      </c>
      <c r="BO1114" t="s">
        <v>0</v>
      </c>
      <c r="BP1114" t="s">
        <v>17</v>
      </c>
      <c r="BQ1114" t="s">
        <v>0</v>
      </c>
      <c r="BR1114" t="s">
        <v>17</v>
      </c>
      <c r="BS1114" t="s">
        <v>17</v>
      </c>
      <c r="BT1114" t="s">
        <v>0</v>
      </c>
      <c r="BU1114" t="s">
        <v>0</v>
      </c>
      <c r="BV1114" t="s">
        <v>0</v>
      </c>
      <c r="BW1114" t="s">
        <v>0</v>
      </c>
      <c r="BX1114" t="s">
        <v>0</v>
      </c>
      <c r="BY1114" t="s">
        <v>0</v>
      </c>
      <c r="BZ1114" t="s">
        <v>0</v>
      </c>
      <c r="CA1114" t="s">
        <v>0</v>
      </c>
      <c r="CB1114" t="s">
        <v>0</v>
      </c>
    </row>
    <row r="1115" spans="1:80" x14ac:dyDescent="0.25">
      <c r="A1115" t="s">
        <v>504</v>
      </c>
      <c r="B1115" s="2">
        <v>46180</v>
      </c>
      <c r="C1115" s="2"/>
      <c r="D1115" s="2"/>
      <c r="E1115" t="s">
        <v>2</v>
      </c>
      <c r="F1115" t="s">
        <v>89</v>
      </c>
      <c r="G1115" t="s">
        <v>0</v>
      </c>
      <c r="H1115" t="s">
        <v>4</v>
      </c>
      <c r="I1115" t="s">
        <v>505</v>
      </c>
      <c r="J1115" t="s">
        <v>6</v>
      </c>
      <c r="K1115" t="s">
        <v>574</v>
      </c>
      <c r="L1115" t="s">
        <v>542</v>
      </c>
      <c r="M1115" t="s">
        <v>543</v>
      </c>
      <c r="N1115" t="s">
        <v>10</v>
      </c>
      <c r="O1115" t="s">
        <v>0</v>
      </c>
      <c r="P1115" t="s">
        <v>147</v>
      </c>
      <c r="Q1115" s="5">
        <v>6</v>
      </c>
      <c r="R1115" s="4">
        <v>137</v>
      </c>
      <c r="S1115" s="5">
        <v>1</v>
      </c>
      <c r="T1115" s="4">
        <v>822</v>
      </c>
      <c r="U1115" s="5">
        <v>6</v>
      </c>
      <c r="V1115" s="4">
        <v>822</v>
      </c>
      <c r="W1115" s="5">
        <v>6</v>
      </c>
      <c r="X1115" s="4">
        <v>822</v>
      </c>
      <c r="Y1115" s="4">
        <f t="shared" si="34"/>
        <v>0</v>
      </c>
      <c r="Z1115" t="s">
        <v>0</v>
      </c>
      <c r="AA1115" t="s">
        <v>2</v>
      </c>
      <c r="AB1115" t="s">
        <v>12</v>
      </c>
      <c r="AC1115">
        <f>_xlfn.XLOOKUP(AB1115,'[1]GST Codes'!$A:$A,'[1]GST Codes'!$C:$C,0,0)</f>
        <v>18</v>
      </c>
      <c r="AD1115">
        <f t="shared" si="35"/>
        <v>0</v>
      </c>
      <c r="AE1115" t="s">
        <v>13</v>
      </c>
      <c r="AF1115" t="s">
        <v>0</v>
      </c>
      <c r="AG1115" t="s">
        <v>14</v>
      </c>
      <c r="AH1115" t="s">
        <v>15</v>
      </c>
      <c r="AI1115" t="s">
        <v>96</v>
      </c>
      <c r="AJ1115" t="s">
        <v>17</v>
      </c>
      <c r="AK1115" t="s">
        <v>18</v>
      </c>
      <c r="AL1115" t="s">
        <v>148</v>
      </c>
      <c r="AM1115" t="s">
        <v>508</v>
      </c>
      <c r="AN1115" t="s">
        <v>0</v>
      </c>
      <c r="AO1115" t="s">
        <v>0</v>
      </c>
      <c r="AP1115" t="s">
        <v>0</v>
      </c>
      <c r="AQ1115" s="5">
        <v>6</v>
      </c>
      <c r="AR1115" t="s">
        <v>147</v>
      </c>
      <c r="AS1115" t="s">
        <v>0</v>
      </c>
      <c r="AT1115" t="s">
        <v>17</v>
      </c>
      <c r="AU1115" s="4">
        <v>0</v>
      </c>
      <c r="AV1115" s="4">
        <v>0</v>
      </c>
      <c r="AW1115" s="4">
        <v>0</v>
      </c>
      <c r="AX1115" s="4">
        <v>0</v>
      </c>
      <c r="AY1115" s="5">
        <v>0</v>
      </c>
      <c r="AZ1115" s="5">
        <v>0</v>
      </c>
      <c r="BA1115" s="5">
        <v>0</v>
      </c>
      <c r="BB1115" s="2"/>
      <c r="BC1115" t="s">
        <v>0</v>
      </c>
      <c r="BD1115" s="5">
        <v>1</v>
      </c>
      <c r="BE1115" t="s">
        <v>0</v>
      </c>
      <c r="BF1115" t="s">
        <v>544</v>
      </c>
      <c r="BG1115" t="s">
        <v>17</v>
      </c>
      <c r="BH1115" t="s">
        <v>0</v>
      </c>
      <c r="BI1115" t="s">
        <v>147</v>
      </c>
      <c r="BJ1115" t="s">
        <v>0</v>
      </c>
      <c r="BK1115" t="s">
        <v>0</v>
      </c>
      <c r="BL1115" s="5">
        <v>0</v>
      </c>
      <c r="BM1115" t="s">
        <v>0</v>
      </c>
      <c r="BN1115" t="s">
        <v>0</v>
      </c>
      <c r="BO1115" t="s">
        <v>0</v>
      </c>
      <c r="BP1115" t="s">
        <v>17</v>
      </c>
      <c r="BQ1115" t="s">
        <v>0</v>
      </c>
      <c r="BR1115" t="s">
        <v>17</v>
      </c>
      <c r="BS1115" t="s">
        <v>17</v>
      </c>
      <c r="BT1115" t="s">
        <v>0</v>
      </c>
      <c r="BU1115" t="s">
        <v>0</v>
      </c>
      <c r="BV1115" t="s">
        <v>0</v>
      </c>
      <c r="BW1115" t="s">
        <v>0</v>
      </c>
      <c r="BX1115" t="s">
        <v>0</v>
      </c>
      <c r="BY1115" t="s">
        <v>0</v>
      </c>
      <c r="BZ1115" t="s">
        <v>0</v>
      </c>
      <c r="CA1115" t="s">
        <v>0</v>
      </c>
      <c r="CB1115" t="s">
        <v>0</v>
      </c>
    </row>
    <row r="1116" spans="1:80" x14ac:dyDescent="0.25">
      <c r="A1116" t="s">
        <v>504</v>
      </c>
      <c r="B1116" s="2">
        <v>46180</v>
      </c>
      <c r="C1116" s="2"/>
      <c r="D1116" s="2"/>
      <c r="E1116" t="s">
        <v>2</v>
      </c>
      <c r="F1116" t="s">
        <v>89</v>
      </c>
      <c r="G1116" t="s">
        <v>0</v>
      </c>
      <c r="H1116" t="s">
        <v>4</v>
      </c>
      <c r="I1116" t="s">
        <v>505</v>
      </c>
      <c r="J1116" t="s">
        <v>6</v>
      </c>
      <c r="K1116" t="s">
        <v>575</v>
      </c>
      <c r="L1116" t="s">
        <v>559</v>
      </c>
      <c r="M1116" t="s">
        <v>560</v>
      </c>
      <c r="N1116" t="s">
        <v>10</v>
      </c>
      <c r="O1116" t="s">
        <v>0</v>
      </c>
      <c r="P1116" t="s">
        <v>147</v>
      </c>
      <c r="Q1116" s="5">
        <v>2</v>
      </c>
      <c r="R1116" s="4">
        <v>199</v>
      </c>
      <c r="S1116" s="5">
        <v>1</v>
      </c>
      <c r="T1116" s="4">
        <v>398</v>
      </c>
      <c r="U1116" s="5">
        <v>2</v>
      </c>
      <c r="V1116" s="4">
        <v>398</v>
      </c>
      <c r="W1116" s="5">
        <v>2</v>
      </c>
      <c r="X1116" s="4">
        <v>398</v>
      </c>
      <c r="Y1116" s="4">
        <f t="shared" si="34"/>
        <v>0</v>
      </c>
      <c r="Z1116" t="s">
        <v>0</v>
      </c>
      <c r="AA1116" t="s">
        <v>2</v>
      </c>
      <c r="AB1116" t="s">
        <v>12</v>
      </c>
      <c r="AC1116">
        <f>_xlfn.XLOOKUP(AB1116,'[1]GST Codes'!$A:$A,'[1]GST Codes'!$C:$C,0,0)</f>
        <v>18</v>
      </c>
      <c r="AD1116">
        <f t="shared" si="35"/>
        <v>0</v>
      </c>
      <c r="AE1116" t="s">
        <v>13</v>
      </c>
      <c r="AF1116" t="s">
        <v>0</v>
      </c>
      <c r="AG1116" t="s">
        <v>14</v>
      </c>
      <c r="AH1116" t="s">
        <v>15</v>
      </c>
      <c r="AI1116" t="s">
        <v>96</v>
      </c>
      <c r="AJ1116" t="s">
        <v>17</v>
      </c>
      <c r="AK1116" t="s">
        <v>18</v>
      </c>
      <c r="AL1116" t="s">
        <v>148</v>
      </c>
      <c r="AM1116" t="s">
        <v>508</v>
      </c>
      <c r="AN1116" t="s">
        <v>0</v>
      </c>
      <c r="AO1116" t="s">
        <v>0</v>
      </c>
      <c r="AP1116" t="s">
        <v>0</v>
      </c>
      <c r="AQ1116" s="5">
        <v>2</v>
      </c>
      <c r="AR1116" t="s">
        <v>147</v>
      </c>
      <c r="AS1116" t="s">
        <v>0</v>
      </c>
      <c r="AT1116" t="s">
        <v>17</v>
      </c>
      <c r="AU1116" s="4">
        <v>0</v>
      </c>
      <c r="AV1116" s="4">
        <v>0</v>
      </c>
      <c r="AW1116" s="4">
        <v>0</v>
      </c>
      <c r="AX1116" s="4">
        <v>0</v>
      </c>
      <c r="AY1116" s="5">
        <v>0</v>
      </c>
      <c r="AZ1116" s="5">
        <v>0</v>
      </c>
      <c r="BA1116" s="5">
        <v>0</v>
      </c>
      <c r="BB1116" s="2"/>
      <c r="BC1116" t="s">
        <v>0</v>
      </c>
      <c r="BD1116" s="5">
        <v>1</v>
      </c>
      <c r="BE1116" t="s">
        <v>0</v>
      </c>
      <c r="BF1116" t="s">
        <v>561</v>
      </c>
      <c r="BG1116" t="s">
        <v>17</v>
      </c>
      <c r="BH1116" t="s">
        <v>0</v>
      </c>
      <c r="BI1116" t="s">
        <v>147</v>
      </c>
      <c r="BJ1116" t="s">
        <v>0</v>
      </c>
      <c r="BK1116" t="s">
        <v>0</v>
      </c>
      <c r="BL1116" s="5">
        <v>0</v>
      </c>
      <c r="BM1116" t="s">
        <v>0</v>
      </c>
      <c r="BN1116" t="s">
        <v>0</v>
      </c>
      <c r="BO1116" t="s">
        <v>0</v>
      </c>
      <c r="BP1116" t="s">
        <v>17</v>
      </c>
      <c r="BQ1116" t="s">
        <v>0</v>
      </c>
      <c r="BR1116" t="s">
        <v>17</v>
      </c>
      <c r="BS1116" t="s">
        <v>17</v>
      </c>
      <c r="BT1116" t="s">
        <v>0</v>
      </c>
      <c r="BU1116" t="s">
        <v>0</v>
      </c>
      <c r="BV1116" t="s">
        <v>0</v>
      </c>
      <c r="BW1116" t="s">
        <v>0</v>
      </c>
      <c r="BX1116" t="s">
        <v>0</v>
      </c>
      <c r="BY1116" t="s">
        <v>0</v>
      </c>
      <c r="BZ1116" t="s">
        <v>0</v>
      </c>
      <c r="CA1116" t="s">
        <v>0</v>
      </c>
      <c r="CB1116" t="s">
        <v>0</v>
      </c>
    </row>
    <row r="1117" spans="1:80" x14ac:dyDescent="0.25">
      <c r="A1117" t="s">
        <v>504</v>
      </c>
      <c r="B1117" s="2">
        <v>46180</v>
      </c>
      <c r="C1117" s="2"/>
      <c r="D1117" s="2"/>
      <c r="E1117" t="s">
        <v>2</v>
      </c>
      <c r="F1117" t="s">
        <v>89</v>
      </c>
      <c r="G1117" t="s">
        <v>0</v>
      </c>
      <c r="H1117" t="s">
        <v>4</v>
      </c>
      <c r="I1117" t="s">
        <v>505</v>
      </c>
      <c r="J1117" t="s">
        <v>6</v>
      </c>
      <c r="K1117" t="s">
        <v>576</v>
      </c>
      <c r="L1117" t="s">
        <v>525</v>
      </c>
      <c r="M1117" t="s">
        <v>526</v>
      </c>
      <c r="N1117" t="s">
        <v>10</v>
      </c>
      <c r="O1117" t="s">
        <v>0</v>
      </c>
      <c r="P1117" t="s">
        <v>147</v>
      </c>
      <c r="Q1117" s="5">
        <v>2</v>
      </c>
      <c r="R1117" s="4">
        <v>270</v>
      </c>
      <c r="S1117" s="5">
        <v>1</v>
      </c>
      <c r="T1117" s="4">
        <v>540</v>
      </c>
      <c r="U1117" s="5">
        <v>2</v>
      </c>
      <c r="V1117" s="4">
        <v>540</v>
      </c>
      <c r="W1117" s="5">
        <v>2</v>
      </c>
      <c r="X1117" s="4">
        <v>540</v>
      </c>
      <c r="Y1117" s="4">
        <f t="shared" si="34"/>
        <v>0</v>
      </c>
      <c r="Z1117" t="s">
        <v>0</v>
      </c>
      <c r="AA1117" t="s">
        <v>2</v>
      </c>
      <c r="AB1117" t="s">
        <v>12</v>
      </c>
      <c r="AC1117">
        <f>_xlfn.XLOOKUP(AB1117,'[1]GST Codes'!$A:$A,'[1]GST Codes'!$C:$C,0,0)</f>
        <v>18</v>
      </c>
      <c r="AD1117">
        <f t="shared" si="35"/>
        <v>0</v>
      </c>
      <c r="AE1117" t="s">
        <v>13</v>
      </c>
      <c r="AF1117" t="s">
        <v>0</v>
      </c>
      <c r="AG1117" t="s">
        <v>14</v>
      </c>
      <c r="AH1117" t="s">
        <v>15</v>
      </c>
      <c r="AI1117" t="s">
        <v>96</v>
      </c>
      <c r="AJ1117" t="s">
        <v>17</v>
      </c>
      <c r="AK1117" t="s">
        <v>18</v>
      </c>
      <c r="AL1117" t="s">
        <v>148</v>
      </c>
      <c r="AM1117" t="s">
        <v>508</v>
      </c>
      <c r="AN1117" t="s">
        <v>0</v>
      </c>
      <c r="AO1117" t="s">
        <v>0</v>
      </c>
      <c r="AP1117" t="s">
        <v>0</v>
      </c>
      <c r="AQ1117" s="5">
        <v>2</v>
      </c>
      <c r="AR1117" t="s">
        <v>147</v>
      </c>
      <c r="AS1117" t="s">
        <v>0</v>
      </c>
      <c r="AT1117" t="s">
        <v>17</v>
      </c>
      <c r="AU1117" s="4">
        <v>0</v>
      </c>
      <c r="AV1117" s="4">
        <v>0</v>
      </c>
      <c r="AW1117" s="4">
        <v>0</v>
      </c>
      <c r="AX1117" s="4">
        <v>0</v>
      </c>
      <c r="AY1117" s="5">
        <v>0</v>
      </c>
      <c r="AZ1117" s="5">
        <v>0</v>
      </c>
      <c r="BA1117" s="5">
        <v>0</v>
      </c>
      <c r="BB1117" s="2"/>
      <c r="BC1117" t="s">
        <v>0</v>
      </c>
      <c r="BD1117" s="5">
        <v>1</v>
      </c>
      <c r="BE1117" t="s">
        <v>0</v>
      </c>
      <c r="BF1117" t="s">
        <v>527</v>
      </c>
      <c r="BG1117" t="s">
        <v>17</v>
      </c>
      <c r="BH1117" t="s">
        <v>0</v>
      </c>
      <c r="BI1117" t="s">
        <v>147</v>
      </c>
      <c r="BJ1117" t="s">
        <v>0</v>
      </c>
      <c r="BK1117" t="s">
        <v>0</v>
      </c>
      <c r="BL1117" s="5">
        <v>0</v>
      </c>
      <c r="BM1117" t="s">
        <v>0</v>
      </c>
      <c r="BN1117" t="s">
        <v>0</v>
      </c>
      <c r="BO1117" t="s">
        <v>0</v>
      </c>
      <c r="BP1117" t="s">
        <v>17</v>
      </c>
      <c r="BQ1117" t="s">
        <v>0</v>
      </c>
      <c r="BR1117" t="s">
        <v>17</v>
      </c>
      <c r="BS1117" t="s">
        <v>17</v>
      </c>
      <c r="BT1117" t="s">
        <v>0</v>
      </c>
      <c r="BU1117" t="s">
        <v>0</v>
      </c>
      <c r="BV1117" t="s">
        <v>0</v>
      </c>
      <c r="BW1117" t="s">
        <v>0</v>
      </c>
      <c r="BX1117" t="s">
        <v>0</v>
      </c>
      <c r="BY1117" t="s">
        <v>0</v>
      </c>
      <c r="BZ1117" t="s">
        <v>0</v>
      </c>
      <c r="CA1117" t="s">
        <v>0</v>
      </c>
      <c r="CB1117" t="s">
        <v>0</v>
      </c>
    </row>
    <row r="1118" spans="1:80" x14ac:dyDescent="0.25">
      <c r="A1118" t="s">
        <v>504</v>
      </c>
      <c r="B1118" s="2">
        <v>46180</v>
      </c>
      <c r="C1118" s="2"/>
      <c r="D1118" s="2"/>
      <c r="E1118" t="s">
        <v>2</v>
      </c>
      <c r="F1118" t="s">
        <v>89</v>
      </c>
      <c r="G1118" t="s">
        <v>0</v>
      </c>
      <c r="H1118" t="s">
        <v>4</v>
      </c>
      <c r="I1118" t="s">
        <v>505</v>
      </c>
      <c r="J1118" t="s">
        <v>6</v>
      </c>
      <c r="K1118" t="s">
        <v>577</v>
      </c>
      <c r="L1118" t="s">
        <v>194</v>
      </c>
      <c r="M1118" t="s">
        <v>195</v>
      </c>
      <c r="N1118" t="s">
        <v>10</v>
      </c>
      <c r="O1118" t="s">
        <v>0</v>
      </c>
      <c r="P1118" t="s">
        <v>147</v>
      </c>
      <c r="Q1118" s="5">
        <v>3</v>
      </c>
      <c r="R1118" s="4">
        <v>23</v>
      </c>
      <c r="S1118" s="5">
        <v>1</v>
      </c>
      <c r="T1118" s="4">
        <v>69</v>
      </c>
      <c r="U1118" s="5">
        <v>3</v>
      </c>
      <c r="V1118" s="4">
        <v>69</v>
      </c>
      <c r="W1118" s="5">
        <v>3</v>
      </c>
      <c r="X1118" s="4">
        <v>69</v>
      </c>
      <c r="Y1118" s="4">
        <f t="shared" si="34"/>
        <v>0</v>
      </c>
      <c r="Z1118" t="s">
        <v>0</v>
      </c>
      <c r="AA1118" t="s">
        <v>2</v>
      </c>
      <c r="AB1118" t="s">
        <v>12</v>
      </c>
      <c r="AC1118">
        <f>_xlfn.XLOOKUP(AB1118,'[1]GST Codes'!$A:$A,'[1]GST Codes'!$C:$C,0,0)</f>
        <v>18</v>
      </c>
      <c r="AD1118">
        <f t="shared" si="35"/>
        <v>0</v>
      </c>
      <c r="AE1118" t="s">
        <v>13</v>
      </c>
      <c r="AF1118" t="s">
        <v>0</v>
      </c>
      <c r="AG1118" t="s">
        <v>14</v>
      </c>
      <c r="AH1118" t="s">
        <v>15</v>
      </c>
      <c r="AI1118" t="s">
        <v>96</v>
      </c>
      <c r="AJ1118" t="s">
        <v>17</v>
      </c>
      <c r="AK1118" t="s">
        <v>18</v>
      </c>
      <c r="AL1118" t="s">
        <v>148</v>
      </c>
      <c r="AM1118" t="s">
        <v>508</v>
      </c>
      <c r="AN1118" t="s">
        <v>0</v>
      </c>
      <c r="AO1118" t="s">
        <v>0</v>
      </c>
      <c r="AP1118" t="s">
        <v>0</v>
      </c>
      <c r="AQ1118" s="5">
        <v>3</v>
      </c>
      <c r="AR1118" t="s">
        <v>147</v>
      </c>
      <c r="AS1118" t="s">
        <v>0</v>
      </c>
      <c r="AT1118" t="s">
        <v>17</v>
      </c>
      <c r="AU1118" s="4">
        <v>0</v>
      </c>
      <c r="AV1118" s="4">
        <v>0</v>
      </c>
      <c r="AW1118" s="4">
        <v>0</v>
      </c>
      <c r="AX1118" s="4">
        <v>0</v>
      </c>
      <c r="AY1118" s="5">
        <v>0</v>
      </c>
      <c r="AZ1118" s="5">
        <v>0</v>
      </c>
      <c r="BA1118" s="5">
        <v>0</v>
      </c>
      <c r="BB1118" s="2"/>
      <c r="BC1118" t="s">
        <v>0</v>
      </c>
      <c r="BD1118" s="5">
        <v>1</v>
      </c>
      <c r="BE1118" t="s">
        <v>0</v>
      </c>
      <c r="BF1118" t="s">
        <v>550</v>
      </c>
      <c r="BG1118" t="s">
        <v>17</v>
      </c>
      <c r="BH1118" t="s">
        <v>0</v>
      </c>
      <c r="BI1118" t="s">
        <v>147</v>
      </c>
      <c r="BJ1118" t="s">
        <v>0</v>
      </c>
      <c r="BK1118" t="s">
        <v>0</v>
      </c>
      <c r="BL1118" s="5">
        <v>0</v>
      </c>
      <c r="BM1118" t="s">
        <v>0</v>
      </c>
      <c r="BN1118" t="s">
        <v>0</v>
      </c>
      <c r="BO1118" t="s">
        <v>0</v>
      </c>
      <c r="BP1118" t="s">
        <v>17</v>
      </c>
      <c r="BQ1118" t="s">
        <v>0</v>
      </c>
      <c r="BR1118" t="s">
        <v>17</v>
      </c>
      <c r="BS1118" t="s">
        <v>17</v>
      </c>
      <c r="BT1118" t="s">
        <v>0</v>
      </c>
      <c r="BU1118" t="s">
        <v>0</v>
      </c>
      <c r="BV1118" t="s">
        <v>0</v>
      </c>
      <c r="BW1118" t="s">
        <v>0</v>
      </c>
      <c r="BX1118" t="s">
        <v>0</v>
      </c>
      <c r="BY1118" t="s">
        <v>0</v>
      </c>
      <c r="BZ1118" t="s">
        <v>0</v>
      </c>
      <c r="CA1118" t="s">
        <v>0</v>
      </c>
      <c r="CB1118" t="s">
        <v>0</v>
      </c>
    </row>
    <row r="1119" spans="1:80" x14ac:dyDescent="0.25">
      <c r="A1119" t="s">
        <v>504</v>
      </c>
      <c r="B1119" s="2">
        <v>46180</v>
      </c>
      <c r="C1119" s="2"/>
      <c r="D1119" s="2"/>
      <c r="E1119" t="s">
        <v>2</v>
      </c>
      <c r="F1119" t="s">
        <v>89</v>
      </c>
      <c r="G1119" t="s">
        <v>0</v>
      </c>
      <c r="H1119" t="s">
        <v>4</v>
      </c>
      <c r="I1119" t="s">
        <v>505</v>
      </c>
      <c r="J1119" t="s">
        <v>6</v>
      </c>
      <c r="K1119" t="s">
        <v>578</v>
      </c>
      <c r="L1119" t="s">
        <v>210</v>
      </c>
      <c r="M1119" t="s">
        <v>564</v>
      </c>
      <c r="N1119" t="s">
        <v>10</v>
      </c>
      <c r="O1119" t="s">
        <v>0</v>
      </c>
      <c r="P1119" t="s">
        <v>147</v>
      </c>
      <c r="Q1119" s="5">
        <v>1</v>
      </c>
      <c r="R1119" s="4">
        <v>246</v>
      </c>
      <c r="S1119" s="5">
        <v>1</v>
      </c>
      <c r="T1119" s="4">
        <v>246</v>
      </c>
      <c r="U1119" s="5">
        <v>1</v>
      </c>
      <c r="V1119" s="4">
        <v>246</v>
      </c>
      <c r="W1119" s="5">
        <v>1</v>
      </c>
      <c r="X1119" s="4">
        <v>246</v>
      </c>
      <c r="Y1119" s="4">
        <f t="shared" si="34"/>
        <v>0</v>
      </c>
      <c r="Z1119" t="s">
        <v>0</v>
      </c>
      <c r="AA1119" t="s">
        <v>2</v>
      </c>
      <c r="AB1119" t="s">
        <v>12</v>
      </c>
      <c r="AC1119">
        <f>_xlfn.XLOOKUP(AB1119,'[1]GST Codes'!$A:$A,'[1]GST Codes'!$C:$C,0,0)</f>
        <v>18</v>
      </c>
      <c r="AD1119">
        <f t="shared" si="35"/>
        <v>0</v>
      </c>
      <c r="AE1119" t="s">
        <v>13</v>
      </c>
      <c r="AF1119" t="s">
        <v>0</v>
      </c>
      <c r="AG1119" t="s">
        <v>14</v>
      </c>
      <c r="AH1119" t="s">
        <v>15</v>
      </c>
      <c r="AI1119" t="s">
        <v>96</v>
      </c>
      <c r="AJ1119" t="s">
        <v>17</v>
      </c>
      <c r="AK1119" t="s">
        <v>18</v>
      </c>
      <c r="AL1119" t="s">
        <v>148</v>
      </c>
      <c r="AM1119" t="s">
        <v>508</v>
      </c>
      <c r="AN1119" t="s">
        <v>0</v>
      </c>
      <c r="AO1119" t="s">
        <v>0</v>
      </c>
      <c r="AP1119" t="s">
        <v>0</v>
      </c>
      <c r="AQ1119" s="5">
        <v>1</v>
      </c>
      <c r="AR1119" t="s">
        <v>147</v>
      </c>
      <c r="AS1119" t="s">
        <v>0</v>
      </c>
      <c r="AT1119" t="s">
        <v>17</v>
      </c>
      <c r="AU1119" s="4">
        <v>0</v>
      </c>
      <c r="AV1119" s="4">
        <v>0</v>
      </c>
      <c r="AW1119" s="4">
        <v>0</v>
      </c>
      <c r="AX1119" s="4">
        <v>0</v>
      </c>
      <c r="AY1119" s="5">
        <v>0</v>
      </c>
      <c r="AZ1119" s="5">
        <v>0</v>
      </c>
      <c r="BA1119" s="5">
        <v>0</v>
      </c>
      <c r="BB1119" s="2"/>
      <c r="BC1119" t="s">
        <v>0</v>
      </c>
      <c r="BD1119" s="5">
        <v>1</v>
      </c>
      <c r="BE1119" t="s">
        <v>0</v>
      </c>
      <c r="BF1119" t="s">
        <v>565</v>
      </c>
      <c r="BG1119" t="s">
        <v>17</v>
      </c>
      <c r="BH1119" t="s">
        <v>0</v>
      </c>
      <c r="BI1119" t="s">
        <v>147</v>
      </c>
      <c r="BJ1119" t="s">
        <v>0</v>
      </c>
      <c r="BK1119" t="s">
        <v>0</v>
      </c>
      <c r="BL1119" s="5">
        <v>0</v>
      </c>
      <c r="BM1119" t="s">
        <v>0</v>
      </c>
      <c r="BN1119" t="s">
        <v>0</v>
      </c>
      <c r="BO1119" t="s">
        <v>0</v>
      </c>
      <c r="BP1119" t="s">
        <v>17</v>
      </c>
      <c r="BQ1119" t="s">
        <v>0</v>
      </c>
      <c r="BR1119" t="s">
        <v>17</v>
      </c>
      <c r="BS1119" t="s">
        <v>17</v>
      </c>
      <c r="BT1119" t="s">
        <v>0</v>
      </c>
      <c r="BU1119" t="s">
        <v>0</v>
      </c>
      <c r="BV1119" t="s">
        <v>0</v>
      </c>
      <c r="BW1119" t="s">
        <v>0</v>
      </c>
      <c r="BX1119" t="s">
        <v>0</v>
      </c>
      <c r="BY1119" t="s">
        <v>0</v>
      </c>
      <c r="BZ1119" t="s">
        <v>0</v>
      </c>
      <c r="CA1119" t="s">
        <v>0</v>
      </c>
      <c r="CB1119" t="s">
        <v>0</v>
      </c>
    </row>
    <row r="1120" spans="1:80" x14ac:dyDescent="0.25">
      <c r="A1120" t="s">
        <v>504</v>
      </c>
      <c r="B1120" s="2">
        <v>46180</v>
      </c>
      <c r="C1120" s="2"/>
      <c r="D1120" s="2"/>
      <c r="E1120" t="s">
        <v>2</v>
      </c>
      <c r="F1120" t="s">
        <v>89</v>
      </c>
      <c r="G1120" t="s">
        <v>0</v>
      </c>
      <c r="H1120" t="s">
        <v>4</v>
      </c>
      <c r="I1120" t="s">
        <v>505</v>
      </c>
      <c r="J1120" t="s">
        <v>6</v>
      </c>
      <c r="K1120" t="s">
        <v>579</v>
      </c>
      <c r="L1120" t="s">
        <v>210</v>
      </c>
      <c r="M1120" t="s">
        <v>564</v>
      </c>
      <c r="N1120" t="s">
        <v>10</v>
      </c>
      <c r="O1120" t="s">
        <v>0</v>
      </c>
      <c r="P1120" t="s">
        <v>147</v>
      </c>
      <c r="Q1120" s="5">
        <v>1</v>
      </c>
      <c r="R1120" s="4">
        <v>242</v>
      </c>
      <c r="S1120" s="5">
        <v>1</v>
      </c>
      <c r="T1120" s="4">
        <v>242</v>
      </c>
      <c r="U1120" s="5">
        <v>1</v>
      </c>
      <c r="V1120" s="4">
        <v>242</v>
      </c>
      <c r="W1120" s="5">
        <v>1</v>
      </c>
      <c r="X1120" s="4">
        <v>242</v>
      </c>
      <c r="Y1120" s="4">
        <f t="shared" si="34"/>
        <v>0</v>
      </c>
      <c r="Z1120" t="s">
        <v>0</v>
      </c>
      <c r="AA1120" t="s">
        <v>2</v>
      </c>
      <c r="AB1120" t="s">
        <v>12</v>
      </c>
      <c r="AC1120">
        <f>_xlfn.XLOOKUP(AB1120,'[1]GST Codes'!$A:$A,'[1]GST Codes'!$C:$C,0,0)</f>
        <v>18</v>
      </c>
      <c r="AD1120">
        <f t="shared" si="35"/>
        <v>0</v>
      </c>
      <c r="AE1120" t="s">
        <v>13</v>
      </c>
      <c r="AF1120" t="s">
        <v>0</v>
      </c>
      <c r="AG1120" t="s">
        <v>14</v>
      </c>
      <c r="AH1120" t="s">
        <v>15</v>
      </c>
      <c r="AI1120" t="s">
        <v>96</v>
      </c>
      <c r="AJ1120" t="s">
        <v>17</v>
      </c>
      <c r="AK1120" t="s">
        <v>18</v>
      </c>
      <c r="AL1120" t="s">
        <v>148</v>
      </c>
      <c r="AM1120" t="s">
        <v>508</v>
      </c>
      <c r="AN1120" t="s">
        <v>0</v>
      </c>
      <c r="AO1120" t="s">
        <v>0</v>
      </c>
      <c r="AP1120" t="s">
        <v>0</v>
      </c>
      <c r="AQ1120" s="5">
        <v>1</v>
      </c>
      <c r="AR1120" t="s">
        <v>147</v>
      </c>
      <c r="AS1120" t="s">
        <v>0</v>
      </c>
      <c r="AT1120" t="s">
        <v>17</v>
      </c>
      <c r="AU1120" s="4">
        <v>0</v>
      </c>
      <c r="AV1120" s="4">
        <v>0</v>
      </c>
      <c r="AW1120" s="4">
        <v>0</v>
      </c>
      <c r="AX1120" s="4">
        <v>0</v>
      </c>
      <c r="AY1120" s="5">
        <v>0</v>
      </c>
      <c r="AZ1120" s="5">
        <v>0</v>
      </c>
      <c r="BA1120" s="5">
        <v>0</v>
      </c>
      <c r="BB1120" s="2"/>
      <c r="BC1120" t="s">
        <v>0</v>
      </c>
      <c r="BD1120" s="5">
        <v>1</v>
      </c>
      <c r="BE1120" t="s">
        <v>0</v>
      </c>
      <c r="BF1120" t="s">
        <v>565</v>
      </c>
      <c r="BG1120" t="s">
        <v>17</v>
      </c>
      <c r="BH1120" t="s">
        <v>0</v>
      </c>
      <c r="BI1120" t="s">
        <v>147</v>
      </c>
      <c r="BJ1120" t="s">
        <v>0</v>
      </c>
      <c r="BK1120" t="s">
        <v>0</v>
      </c>
      <c r="BL1120" s="5">
        <v>0</v>
      </c>
      <c r="BM1120" t="s">
        <v>0</v>
      </c>
      <c r="BN1120" t="s">
        <v>0</v>
      </c>
      <c r="BO1120" t="s">
        <v>0</v>
      </c>
      <c r="BP1120" t="s">
        <v>17</v>
      </c>
      <c r="BQ1120" t="s">
        <v>0</v>
      </c>
      <c r="BR1120" t="s">
        <v>17</v>
      </c>
      <c r="BS1120" t="s">
        <v>17</v>
      </c>
      <c r="BT1120" t="s">
        <v>0</v>
      </c>
      <c r="BU1120" t="s">
        <v>0</v>
      </c>
      <c r="BV1120" t="s">
        <v>0</v>
      </c>
      <c r="BW1120" t="s">
        <v>0</v>
      </c>
      <c r="BX1120" t="s">
        <v>0</v>
      </c>
      <c r="BY1120" t="s">
        <v>0</v>
      </c>
      <c r="BZ1120" t="s">
        <v>0</v>
      </c>
      <c r="CA1120" t="s">
        <v>0</v>
      </c>
      <c r="CB1120" t="s">
        <v>0</v>
      </c>
    </row>
    <row r="1121" spans="1:80" x14ac:dyDescent="0.25">
      <c r="A1121" t="s">
        <v>504</v>
      </c>
      <c r="B1121" s="2">
        <v>46180</v>
      </c>
      <c r="C1121" s="2"/>
      <c r="D1121" s="2"/>
      <c r="E1121" t="s">
        <v>2</v>
      </c>
      <c r="F1121" t="s">
        <v>89</v>
      </c>
      <c r="G1121" t="s">
        <v>0</v>
      </c>
      <c r="H1121" t="s">
        <v>4</v>
      </c>
      <c r="I1121" t="s">
        <v>505</v>
      </c>
      <c r="J1121" t="s">
        <v>6</v>
      </c>
      <c r="K1121" t="s">
        <v>580</v>
      </c>
      <c r="L1121" t="s">
        <v>536</v>
      </c>
      <c r="M1121" t="s">
        <v>537</v>
      </c>
      <c r="N1121" t="s">
        <v>10</v>
      </c>
      <c r="O1121" t="s">
        <v>0</v>
      </c>
      <c r="P1121" t="s">
        <v>147</v>
      </c>
      <c r="Q1121" s="5">
        <v>2</v>
      </c>
      <c r="R1121" s="4">
        <v>174</v>
      </c>
      <c r="S1121" s="5">
        <v>1</v>
      </c>
      <c r="T1121" s="4">
        <v>348</v>
      </c>
      <c r="U1121" s="5">
        <v>2</v>
      </c>
      <c r="V1121" s="4">
        <v>348</v>
      </c>
      <c r="W1121" s="5">
        <v>2</v>
      </c>
      <c r="X1121" s="4">
        <v>348</v>
      </c>
      <c r="Y1121" s="4">
        <f t="shared" si="34"/>
        <v>0</v>
      </c>
      <c r="Z1121" t="s">
        <v>0</v>
      </c>
      <c r="AA1121" t="s">
        <v>2</v>
      </c>
      <c r="AB1121" t="s">
        <v>12</v>
      </c>
      <c r="AC1121">
        <f>_xlfn.XLOOKUP(AB1121,'[1]GST Codes'!$A:$A,'[1]GST Codes'!$C:$C,0,0)</f>
        <v>18</v>
      </c>
      <c r="AD1121">
        <f t="shared" si="35"/>
        <v>0</v>
      </c>
      <c r="AE1121" t="s">
        <v>13</v>
      </c>
      <c r="AF1121" t="s">
        <v>0</v>
      </c>
      <c r="AG1121" t="s">
        <v>14</v>
      </c>
      <c r="AH1121" t="s">
        <v>15</v>
      </c>
      <c r="AI1121" t="s">
        <v>96</v>
      </c>
      <c r="AJ1121" t="s">
        <v>17</v>
      </c>
      <c r="AK1121" t="s">
        <v>18</v>
      </c>
      <c r="AL1121" t="s">
        <v>148</v>
      </c>
      <c r="AM1121" t="s">
        <v>508</v>
      </c>
      <c r="AN1121" t="s">
        <v>0</v>
      </c>
      <c r="AO1121" t="s">
        <v>0</v>
      </c>
      <c r="AP1121" t="s">
        <v>0</v>
      </c>
      <c r="AQ1121" s="5">
        <v>2</v>
      </c>
      <c r="AR1121" t="s">
        <v>147</v>
      </c>
      <c r="AS1121" t="s">
        <v>0</v>
      </c>
      <c r="AT1121" t="s">
        <v>17</v>
      </c>
      <c r="AU1121" s="4">
        <v>0</v>
      </c>
      <c r="AV1121" s="4">
        <v>0</v>
      </c>
      <c r="AW1121" s="4">
        <v>0</v>
      </c>
      <c r="AX1121" s="4">
        <v>0</v>
      </c>
      <c r="AY1121" s="5">
        <v>0</v>
      </c>
      <c r="AZ1121" s="5">
        <v>0</v>
      </c>
      <c r="BA1121" s="5">
        <v>0</v>
      </c>
      <c r="BB1121" s="2"/>
      <c r="BC1121" t="s">
        <v>0</v>
      </c>
      <c r="BD1121" s="5">
        <v>1</v>
      </c>
      <c r="BE1121" t="s">
        <v>0</v>
      </c>
      <c r="BF1121" t="s">
        <v>538</v>
      </c>
      <c r="BG1121" t="s">
        <v>17</v>
      </c>
      <c r="BH1121" t="s">
        <v>0</v>
      </c>
      <c r="BI1121" t="s">
        <v>147</v>
      </c>
      <c r="BJ1121" t="s">
        <v>0</v>
      </c>
      <c r="BK1121" t="s">
        <v>0</v>
      </c>
      <c r="BL1121" s="5">
        <v>0</v>
      </c>
      <c r="BM1121" t="s">
        <v>0</v>
      </c>
      <c r="BN1121" t="s">
        <v>0</v>
      </c>
      <c r="BO1121" t="s">
        <v>0</v>
      </c>
      <c r="BP1121" t="s">
        <v>17</v>
      </c>
      <c r="BQ1121" t="s">
        <v>0</v>
      </c>
      <c r="BR1121" t="s">
        <v>17</v>
      </c>
      <c r="BS1121" t="s">
        <v>17</v>
      </c>
      <c r="BT1121" t="s">
        <v>0</v>
      </c>
      <c r="BU1121" t="s">
        <v>0</v>
      </c>
      <c r="BV1121" t="s">
        <v>0</v>
      </c>
      <c r="BW1121" t="s">
        <v>0</v>
      </c>
      <c r="BX1121" t="s">
        <v>0</v>
      </c>
      <c r="BY1121" t="s">
        <v>0</v>
      </c>
      <c r="BZ1121" t="s">
        <v>0</v>
      </c>
      <c r="CA1121" t="s">
        <v>0</v>
      </c>
      <c r="CB1121" t="s">
        <v>0</v>
      </c>
    </row>
    <row r="1122" spans="1:80" x14ac:dyDescent="0.25">
      <c r="A1122" t="s">
        <v>504</v>
      </c>
      <c r="B1122" s="2">
        <v>46180</v>
      </c>
      <c r="C1122" s="2"/>
      <c r="D1122" s="2"/>
      <c r="E1122" t="s">
        <v>2</v>
      </c>
      <c r="F1122" t="s">
        <v>89</v>
      </c>
      <c r="G1122" t="s">
        <v>0</v>
      </c>
      <c r="H1122" t="s">
        <v>4</v>
      </c>
      <c r="I1122" t="s">
        <v>505</v>
      </c>
      <c r="J1122" t="s">
        <v>6</v>
      </c>
      <c r="K1122" t="s">
        <v>581</v>
      </c>
      <c r="L1122" t="s">
        <v>536</v>
      </c>
      <c r="M1122" t="s">
        <v>537</v>
      </c>
      <c r="N1122" t="s">
        <v>10</v>
      </c>
      <c r="O1122" t="s">
        <v>0</v>
      </c>
      <c r="P1122" t="s">
        <v>147</v>
      </c>
      <c r="Q1122" s="5">
        <v>5</v>
      </c>
      <c r="R1122" s="4">
        <v>183</v>
      </c>
      <c r="S1122" s="5">
        <v>1</v>
      </c>
      <c r="T1122" s="4">
        <v>915</v>
      </c>
      <c r="U1122" s="5">
        <v>5</v>
      </c>
      <c r="V1122" s="4">
        <v>915</v>
      </c>
      <c r="W1122" s="5">
        <v>5</v>
      </c>
      <c r="X1122" s="4">
        <v>915</v>
      </c>
      <c r="Y1122" s="4">
        <f t="shared" si="34"/>
        <v>0</v>
      </c>
      <c r="Z1122" t="s">
        <v>0</v>
      </c>
      <c r="AA1122" t="s">
        <v>2</v>
      </c>
      <c r="AB1122" t="s">
        <v>12</v>
      </c>
      <c r="AC1122">
        <f>_xlfn.XLOOKUP(AB1122,'[1]GST Codes'!$A:$A,'[1]GST Codes'!$C:$C,0,0)</f>
        <v>18</v>
      </c>
      <c r="AD1122">
        <f t="shared" si="35"/>
        <v>0</v>
      </c>
      <c r="AE1122" t="s">
        <v>13</v>
      </c>
      <c r="AF1122" t="s">
        <v>0</v>
      </c>
      <c r="AG1122" t="s">
        <v>14</v>
      </c>
      <c r="AH1122" t="s">
        <v>15</v>
      </c>
      <c r="AI1122" t="s">
        <v>96</v>
      </c>
      <c r="AJ1122" t="s">
        <v>17</v>
      </c>
      <c r="AK1122" t="s">
        <v>18</v>
      </c>
      <c r="AL1122" t="s">
        <v>148</v>
      </c>
      <c r="AM1122" t="s">
        <v>508</v>
      </c>
      <c r="AN1122" t="s">
        <v>0</v>
      </c>
      <c r="AO1122" t="s">
        <v>0</v>
      </c>
      <c r="AP1122" t="s">
        <v>0</v>
      </c>
      <c r="AQ1122" s="5">
        <v>5</v>
      </c>
      <c r="AR1122" t="s">
        <v>147</v>
      </c>
      <c r="AS1122" t="s">
        <v>0</v>
      </c>
      <c r="AT1122" t="s">
        <v>17</v>
      </c>
      <c r="AU1122" s="4">
        <v>0</v>
      </c>
      <c r="AV1122" s="4">
        <v>0</v>
      </c>
      <c r="AW1122" s="4">
        <v>0</v>
      </c>
      <c r="AX1122" s="4">
        <v>0</v>
      </c>
      <c r="AY1122" s="5">
        <v>0</v>
      </c>
      <c r="AZ1122" s="5">
        <v>0</v>
      </c>
      <c r="BA1122" s="5">
        <v>0</v>
      </c>
      <c r="BB1122" s="2"/>
      <c r="BC1122" t="s">
        <v>0</v>
      </c>
      <c r="BD1122" s="5">
        <v>1</v>
      </c>
      <c r="BE1122" t="s">
        <v>0</v>
      </c>
      <c r="BF1122" t="s">
        <v>538</v>
      </c>
      <c r="BG1122" t="s">
        <v>17</v>
      </c>
      <c r="BH1122" t="s">
        <v>0</v>
      </c>
      <c r="BI1122" t="s">
        <v>147</v>
      </c>
      <c r="BJ1122" t="s">
        <v>0</v>
      </c>
      <c r="BK1122" t="s">
        <v>0</v>
      </c>
      <c r="BL1122" s="5">
        <v>0</v>
      </c>
      <c r="BM1122" t="s">
        <v>0</v>
      </c>
      <c r="BN1122" t="s">
        <v>0</v>
      </c>
      <c r="BO1122" t="s">
        <v>0</v>
      </c>
      <c r="BP1122" t="s">
        <v>17</v>
      </c>
      <c r="BQ1122" t="s">
        <v>0</v>
      </c>
      <c r="BR1122" t="s">
        <v>17</v>
      </c>
      <c r="BS1122" t="s">
        <v>17</v>
      </c>
      <c r="BT1122" t="s">
        <v>0</v>
      </c>
      <c r="BU1122" t="s">
        <v>0</v>
      </c>
      <c r="BV1122" t="s">
        <v>0</v>
      </c>
      <c r="BW1122" t="s">
        <v>0</v>
      </c>
      <c r="BX1122" t="s">
        <v>0</v>
      </c>
      <c r="BY1122" t="s">
        <v>0</v>
      </c>
      <c r="BZ1122" t="s">
        <v>0</v>
      </c>
      <c r="CA1122" t="s">
        <v>0</v>
      </c>
      <c r="CB1122" t="s">
        <v>0</v>
      </c>
    </row>
    <row r="1123" spans="1:80" x14ac:dyDescent="0.25">
      <c r="A1123" t="s">
        <v>504</v>
      </c>
      <c r="B1123" s="2">
        <v>46180</v>
      </c>
      <c r="C1123" s="2"/>
      <c r="D1123" s="2"/>
      <c r="E1123" t="s">
        <v>2</v>
      </c>
      <c r="F1123" t="s">
        <v>89</v>
      </c>
      <c r="G1123" t="s">
        <v>0</v>
      </c>
      <c r="H1123" t="s">
        <v>4</v>
      </c>
      <c r="I1123" t="s">
        <v>505</v>
      </c>
      <c r="J1123" t="s">
        <v>6</v>
      </c>
      <c r="K1123" t="s">
        <v>582</v>
      </c>
      <c r="L1123" t="s">
        <v>536</v>
      </c>
      <c r="M1123" t="s">
        <v>537</v>
      </c>
      <c r="N1123" t="s">
        <v>10</v>
      </c>
      <c r="O1123" t="s">
        <v>0</v>
      </c>
      <c r="P1123" t="s">
        <v>147</v>
      </c>
      <c r="Q1123" s="5">
        <v>2</v>
      </c>
      <c r="R1123" s="4">
        <v>196</v>
      </c>
      <c r="S1123" s="5">
        <v>1</v>
      </c>
      <c r="T1123" s="4">
        <v>392</v>
      </c>
      <c r="U1123" s="5">
        <v>2</v>
      </c>
      <c r="V1123" s="4">
        <v>392</v>
      </c>
      <c r="W1123" s="5">
        <v>2</v>
      </c>
      <c r="X1123" s="4">
        <v>392</v>
      </c>
      <c r="Y1123" s="4">
        <f t="shared" si="34"/>
        <v>0</v>
      </c>
      <c r="Z1123" t="s">
        <v>0</v>
      </c>
      <c r="AA1123" t="s">
        <v>2</v>
      </c>
      <c r="AB1123" t="s">
        <v>12</v>
      </c>
      <c r="AC1123">
        <f>_xlfn.XLOOKUP(AB1123,'[1]GST Codes'!$A:$A,'[1]GST Codes'!$C:$C,0,0)</f>
        <v>18</v>
      </c>
      <c r="AD1123">
        <f t="shared" si="35"/>
        <v>0</v>
      </c>
      <c r="AE1123" t="s">
        <v>13</v>
      </c>
      <c r="AF1123" t="s">
        <v>0</v>
      </c>
      <c r="AG1123" t="s">
        <v>14</v>
      </c>
      <c r="AH1123" t="s">
        <v>15</v>
      </c>
      <c r="AI1123" t="s">
        <v>96</v>
      </c>
      <c r="AJ1123" t="s">
        <v>17</v>
      </c>
      <c r="AK1123" t="s">
        <v>18</v>
      </c>
      <c r="AL1123" t="s">
        <v>148</v>
      </c>
      <c r="AM1123" t="s">
        <v>508</v>
      </c>
      <c r="AN1123" t="s">
        <v>0</v>
      </c>
      <c r="AO1123" t="s">
        <v>0</v>
      </c>
      <c r="AP1123" t="s">
        <v>0</v>
      </c>
      <c r="AQ1123" s="5">
        <v>2</v>
      </c>
      <c r="AR1123" t="s">
        <v>147</v>
      </c>
      <c r="AS1123" t="s">
        <v>0</v>
      </c>
      <c r="AT1123" t="s">
        <v>17</v>
      </c>
      <c r="AU1123" s="4">
        <v>0</v>
      </c>
      <c r="AV1123" s="4">
        <v>0</v>
      </c>
      <c r="AW1123" s="4">
        <v>0</v>
      </c>
      <c r="AX1123" s="4">
        <v>0</v>
      </c>
      <c r="AY1123" s="5">
        <v>0</v>
      </c>
      <c r="AZ1123" s="5">
        <v>0</v>
      </c>
      <c r="BA1123" s="5">
        <v>0</v>
      </c>
      <c r="BB1123" s="2"/>
      <c r="BC1123" t="s">
        <v>0</v>
      </c>
      <c r="BD1123" s="5">
        <v>1</v>
      </c>
      <c r="BE1123" t="s">
        <v>0</v>
      </c>
      <c r="BF1123" t="s">
        <v>538</v>
      </c>
      <c r="BG1123" t="s">
        <v>17</v>
      </c>
      <c r="BH1123" t="s">
        <v>0</v>
      </c>
      <c r="BI1123" t="s">
        <v>147</v>
      </c>
      <c r="BJ1123" t="s">
        <v>0</v>
      </c>
      <c r="BK1123" t="s">
        <v>0</v>
      </c>
      <c r="BL1123" s="5">
        <v>0</v>
      </c>
      <c r="BM1123" t="s">
        <v>0</v>
      </c>
      <c r="BN1123" t="s">
        <v>0</v>
      </c>
      <c r="BO1123" t="s">
        <v>0</v>
      </c>
      <c r="BP1123" t="s">
        <v>17</v>
      </c>
      <c r="BQ1123" t="s">
        <v>0</v>
      </c>
      <c r="BR1123" t="s">
        <v>17</v>
      </c>
      <c r="BS1123" t="s">
        <v>17</v>
      </c>
      <c r="BT1123" t="s">
        <v>0</v>
      </c>
      <c r="BU1123" t="s">
        <v>0</v>
      </c>
      <c r="BV1123" t="s">
        <v>0</v>
      </c>
      <c r="BW1123" t="s">
        <v>0</v>
      </c>
      <c r="BX1123" t="s">
        <v>0</v>
      </c>
      <c r="BY1123" t="s">
        <v>0</v>
      </c>
      <c r="BZ1123" t="s">
        <v>0</v>
      </c>
      <c r="CA1123" t="s">
        <v>0</v>
      </c>
      <c r="CB1123" t="s">
        <v>0</v>
      </c>
    </row>
    <row r="1124" spans="1:80" x14ac:dyDescent="0.25">
      <c r="A1124" t="s">
        <v>504</v>
      </c>
      <c r="B1124" s="2">
        <v>46180</v>
      </c>
      <c r="C1124" s="2"/>
      <c r="D1124" s="2"/>
      <c r="E1124" t="s">
        <v>2</v>
      </c>
      <c r="F1124" t="s">
        <v>89</v>
      </c>
      <c r="G1124" t="s">
        <v>0</v>
      </c>
      <c r="H1124" t="s">
        <v>4</v>
      </c>
      <c r="I1124" t="s">
        <v>505</v>
      </c>
      <c r="J1124" t="s">
        <v>6</v>
      </c>
      <c r="K1124" t="s">
        <v>583</v>
      </c>
      <c r="L1124" t="s">
        <v>536</v>
      </c>
      <c r="M1124" t="s">
        <v>537</v>
      </c>
      <c r="N1124" t="s">
        <v>10</v>
      </c>
      <c r="O1124" t="s">
        <v>0</v>
      </c>
      <c r="P1124" t="s">
        <v>147</v>
      </c>
      <c r="Q1124" s="5">
        <v>2</v>
      </c>
      <c r="R1124" s="4">
        <v>221</v>
      </c>
      <c r="S1124" s="5">
        <v>1</v>
      </c>
      <c r="T1124" s="4">
        <v>442</v>
      </c>
      <c r="U1124" s="5">
        <v>2</v>
      </c>
      <c r="V1124" s="4">
        <v>442</v>
      </c>
      <c r="W1124" s="5">
        <v>2</v>
      </c>
      <c r="X1124" s="4">
        <v>442</v>
      </c>
      <c r="Y1124" s="4">
        <f t="shared" si="34"/>
        <v>0</v>
      </c>
      <c r="Z1124" t="s">
        <v>0</v>
      </c>
      <c r="AA1124" t="s">
        <v>2</v>
      </c>
      <c r="AB1124" t="s">
        <v>12</v>
      </c>
      <c r="AC1124">
        <f>_xlfn.XLOOKUP(AB1124,'[1]GST Codes'!$A:$A,'[1]GST Codes'!$C:$C,0,0)</f>
        <v>18</v>
      </c>
      <c r="AD1124">
        <f t="shared" si="35"/>
        <v>0</v>
      </c>
      <c r="AE1124" t="s">
        <v>13</v>
      </c>
      <c r="AF1124" t="s">
        <v>0</v>
      </c>
      <c r="AG1124" t="s">
        <v>14</v>
      </c>
      <c r="AH1124" t="s">
        <v>15</v>
      </c>
      <c r="AI1124" t="s">
        <v>96</v>
      </c>
      <c r="AJ1124" t="s">
        <v>17</v>
      </c>
      <c r="AK1124" t="s">
        <v>18</v>
      </c>
      <c r="AL1124" t="s">
        <v>148</v>
      </c>
      <c r="AM1124" t="s">
        <v>508</v>
      </c>
      <c r="AN1124" t="s">
        <v>0</v>
      </c>
      <c r="AO1124" t="s">
        <v>0</v>
      </c>
      <c r="AP1124" t="s">
        <v>0</v>
      </c>
      <c r="AQ1124" s="5">
        <v>2</v>
      </c>
      <c r="AR1124" t="s">
        <v>147</v>
      </c>
      <c r="AS1124" t="s">
        <v>0</v>
      </c>
      <c r="AT1124" t="s">
        <v>17</v>
      </c>
      <c r="AU1124" s="4">
        <v>0</v>
      </c>
      <c r="AV1124" s="4">
        <v>0</v>
      </c>
      <c r="AW1124" s="4">
        <v>0</v>
      </c>
      <c r="AX1124" s="4">
        <v>0</v>
      </c>
      <c r="AY1124" s="5">
        <v>0</v>
      </c>
      <c r="AZ1124" s="5">
        <v>0</v>
      </c>
      <c r="BA1124" s="5">
        <v>0</v>
      </c>
      <c r="BB1124" s="2"/>
      <c r="BC1124" t="s">
        <v>0</v>
      </c>
      <c r="BD1124" s="5">
        <v>1</v>
      </c>
      <c r="BE1124" t="s">
        <v>0</v>
      </c>
      <c r="BF1124" t="s">
        <v>538</v>
      </c>
      <c r="BG1124" t="s">
        <v>17</v>
      </c>
      <c r="BH1124" t="s">
        <v>0</v>
      </c>
      <c r="BI1124" t="s">
        <v>147</v>
      </c>
      <c r="BJ1124" t="s">
        <v>0</v>
      </c>
      <c r="BK1124" t="s">
        <v>0</v>
      </c>
      <c r="BL1124" s="5">
        <v>0</v>
      </c>
      <c r="BM1124" t="s">
        <v>0</v>
      </c>
      <c r="BN1124" t="s">
        <v>0</v>
      </c>
      <c r="BO1124" t="s">
        <v>0</v>
      </c>
      <c r="BP1124" t="s">
        <v>17</v>
      </c>
      <c r="BQ1124" t="s">
        <v>0</v>
      </c>
      <c r="BR1124" t="s">
        <v>17</v>
      </c>
      <c r="BS1124" t="s">
        <v>17</v>
      </c>
      <c r="BT1124" t="s">
        <v>0</v>
      </c>
      <c r="BU1124" t="s">
        <v>0</v>
      </c>
      <c r="BV1124" t="s">
        <v>0</v>
      </c>
      <c r="BW1124" t="s">
        <v>0</v>
      </c>
      <c r="BX1124" t="s">
        <v>0</v>
      </c>
      <c r="BY1124" t="s">
        <v>0</v>
      </c>
      <c r="BZ1124" t="s">
        <v>0</v>
      </c>
      <c r="CA1124" t="s">
        <v>0</v>
      </c>
      <c r="CB1124" t="s">
        <v>0</v>
      </c>
    </row>
    <row r="1125" spans="1:80" x14ac:dyDescent="0.25">
      <c r="A1125" t="s">
        <v>504</v>
      </c>
      <c r="B1125" s="2">
        <v>46180</v>
      </c>
      <c r="C1125" s="2"/>
      <c r="D1125" s="2"/>
      <c r="E1125" t="s">
        <v>2</v>
      </c>
      <c r="F1125" t="s">
        <v>89</v>
      </c>
      <c r="G1125" t="s">
        <v>0</v>
      </c>
      <c r="H1125" t="s">
        <v>4</v>
      </c>
      <c r="I1125" t="s">
        <v>505</v>
      </c>
      <c r="J1125" t="s">
        <v>6</v>
      </c>
      <c r="K1125" t="s">
        <v>584</v>
      </c>
      <c r="L1125" t="s">
        <v>536</v>
      </c>
      <c r="M1125" t="s">
        <v>537</v>
      </c>
      <c r="N1125" t="s">
        <v>10</v>
      </c>
      <c r="O1125" t="s">
        <v>0</v>
      </c>
      <c r="P1125" t="s">
        <v>147</v>
      </c>
      <c r="Q1125" s="5">
        <v>2</v>
      </c>
      <c r="R1125" s="4">
        <v>377</v>
      </c>
      <c r="S1125" s="5">
        <v>1</v>
      </c>
      <c r="T1125" s="4">
        <v>754</v>
      </c>
      <c r="U1125" s="5">
        <v>2</v>
      </c>
      <c r="V1125" s="4">
        <v>754</v>
      </c>
      <c r="W1125" s="5">
        <v>2</v>
      </c>
      <c r="X1125" s="4">
        <v>754</v>
      </c>
      <c r="Y1125" s="4">
        <f t="shared" si="34"/>
        <v>0</v>
      </c>
      <c r="Z1125" t="s">
        <v>0</v>
      </c>
      <c r="AA1125" t="s">
        <v>2</v>
      </c>
      <c r="AB1125" t="s">
        <v>12</v>
      </c>
      <c r="AC1125">
        <f>_xlfn.XLOOKUP(AB1125,'[1]GST Codes'!$A:$A,'[1]GST Codes'!$C:$C,0,0)</f>
        <v>18</v>
      </c>
      <c r="AD1125">
        <f t="shared" si="35"/>
        <v>0</v>
      </c>
      <c r="AE1125" t="s">
        <v>13</v>
      </c>
      <c r="AF1125" t="s">
        <v>0</v>
      </c>
      <c r="AG1125" t="s">
        <v>14</v>
      </c>
      <c r="AH1125" t="s">
        <v>15</v>
      </c>
      <c r="AI1125" t="s">
        <v>96</v>
      </c>
      <c r="AJ1125" t="s">
        <v>17</v>
      </c>
      <c r="AK1125" t="s">
        <v>18</v>
      </c>
      <c r="AL1125" t="s">
        <v>148</v>
      </c>
      <c r="AM1125" t="s">
        <v>508</v>
      </c>
      <c r="AN1125" t="s">
        <v>0</v>
      </c>
      <c r="AO1125" t="s">
        <v>0</v>
      </c>
      <c r="AP1125" t="s">
        <v>0</v>
      </c>
      <c r="AQ1125" s="5">
        <v>2</v>
      </c>
      <c r="AR1125" t="s">
        <v>147</v>
      </c>
      <c r="AS1125" t="s">
        <v>0</v>
      </c>
      <c r="AT1125" t="s">
        <v>17</v>
      </c>
      <c r="AU1125" s="4">
        <v>0</v>
      </c>
      <c r="AV1125" s="4">
        <v>0</v>
      </c>
      <c r="AW1125" s="4">
        <v>0</v>
      </c>
      <c r="AX1125" s="4">
        <v>0</v>
      </c>
      <c r="AY1125" s="5">
        <v>0</v>
      </c>
      <c r="AZ1125" s="5">
        <v>0</v>
      </c>
      <c r="BA1125" s="5">
        <v>0</v>
      </c>
      <c r="BB1125" s="2"/>
      <c r="BC1125" t="s">
        <v>0</v>
      </c>
      <c r="BD1125" s="5">
        <v>1</v>
      </c>
      <c r="BE1125" t="s">
        <v>0</v>
      </c>
      <c r="BF1125" t="s">
        <v>538</v>
      </c>
      <c r="BG1125" t="s">
        <v>17</v>
      </c>
      <c r="BH1125" t="s">
        <v>0</v>
      </c>
      <c r="BI1125" t="s">
        <v>147</v>
      </c>
      <c r="BJ1125" t="s">
        <v>0</v>
      </c>
      <c r="BK1125" t="s">
        <v>0</v>
      </c>
      <c r="BL1125" s="5">
        <v>0</v>
      </c>
      <c r="BM1125" t="s">
        <v>0</v>
      </c>
      <c r="BN1125" t="s">
        <v>0</v>
      </c>
      <c r="BO1125" t="s">
        <v>0</v>
      </c>
      <c r="BP1125" t="s">
        <v>17</v>
      </c>
      <c r="BQ1125" t="s">
        <v>0</v>
      </c>
      <c r="BR1125" t="s">
        <v>17</v>
      </c>
      <c r="BS1125" t="s">
        <v>17</v>
      </c>
      <c r="BT1125" t="s">
        <v>0</v>
      </c>
      <c r="BU1125" t="s">
        <v>0</v>
      </c>
      <c r="BV1125" t="s">
        <v>0</v>
      </c>
      <c r="BW1125" t="s">
        <v>0</v>
      </c>
      <c r="BX1125" t="s">
        <v>0</v>
      </c>
      <c r="BY1125" t="s">
        <v>0</v>
      </c>
      <c r="BZ1125" t="s">
        <v>0</v>
      </c>
      <c r="CA1125" t="s">
        <v>0</v>
      </c>
      <c r="CB1125" t="s">
        <v>0</v>
      </c>
    </row>
    <row r="1126" spans="1:80" x14ac:dyDescent="0.25">
      <c r="A1126" t="s">
        <v>504</v>
      </c>
      <c r="B1126" s="2">
        <v>46180</v>
      </c>
      <c r="C1126" s="2"/>
      <c r="D1126" s="2"/>
      <c r="E1126" t="s">
        <v>2</v>
      </c>
      <c r="F1126" t="s">
        <v>89</v>
      </c>
      <c r="G1126" t="s">
        <v>0</v>
      </c>
      <c r="H1126" t="s">
        <v>4</v>
      </c>
      <c r="I1126" t="s">
        <v>505</v>
      </c>
      <c r="J1126" t="s">
        <v>6</v>
      </c>
      <c r="K1126" t="s">
        <v>585</v>
      </c>
      <c r="L1126" t="s">
        <v>571</v>
      </c>
      <c r="M1126" t="s">
        <v>572</v>
      </c>
      <c r="N1126" t="s">
        <v>10</v>
      </c>
      <c r="O1126" t="s">
        <v>0</v>
      </c>
      <c r="P1126" t="s">
        <v>147</v>
      </c>
      <c r="Q1126" s="5">
        <v>8</v>
      </c>
      <c r="R1126" s="4">
        <v>96</v>
      </c>
      <c r="S1126" s="5">
        <v>1</v>
      </c>
      <c r="T1126" s="4">
        <v>768</v>
      </c>
      <c r="U1126" s="5">
        <v>8</v>
      </c>
      <c r="V1126" s="4">
        <v>768</v>
      </c>
      <c r="W1126" s="5">
        <v>8</v>
      </c>
      <c r="X1126" s="4">
        <v>768</v>
      </c>
      <c r="Y1126" s="4">
        <f t="shared" si="34"/>
        <v>0</v>
      </c>
      <c r="Z1126" t="s">
        <v>0</v>
      </c>
      <c r="AA1126" t="s">
        <v>2</v>
      </c>
      <c r="AB1126" t="s">
        <v>12</v>
      </c>
      <c r="AC1126">
        <f>_xlfn.XLOOKUP(AB1126,'[1]GST Codes'!$A:$A,'[1]GST Codes'!$C:$C,0,0)</f>
        <v>18</v>
      </c>
      <c r="AD1126">
        <f t="shared" si="35"/>
        <v>0</v>
      </c>
      <c r="AE1126" t="s">
        <v>13</v>
      </c>
      <c r="AF1126" t="s">
        <v>0</v>
      </c>
      <c r="AG1126" t="s">
        <v>14</v>
      </c>
      <c r="AH1126" t="s">
        <v>15</v>
      </c>
      <c r="AI1126" t="s">
        <v>96</v>
      </c>
      <c r="AJ1126" t="s">
        <v>17</v>
      </c>
      <c r="AK1126" t="s">
        <v>18</v>
      </c>
      <c r="AL1126" t="s">
        <v>148</v>
      </c>
      <c r="AM1126" t="s">
        <v>508</v>
      </c>
      <c r="AN1126" t="s">
        <v>0</v>
      </c>
      <c r="AO1126" t="s">
        <v>0</v>
      </c>
      <c r="AP1126" t="s">
        <v>0</v>
      </c>
      <c r="AQ1126" s="5">
        <v>8</v>
      </c>
      <c r="AR1126" t="s">
        <v>147</v>
      </c>
      <c r="AS1126" t="s">
        <v>0</v>
      </c>
      <c r="AT1126" t="s">
        <v>17</v>
      </c>
      <c r="AU1126" s="4">
        <v>0</v>
      </c>
      <c r="AV1126" s="4">
        <v>0</v>
      </c>
      <c r="AW1126" s="4">
        <v>0</v>
      </c>
      <c r="AX1126" s="4">
        <v>0</v>
      </c>
      <c r="AY1126" s="5">
        <v>0</v>
      </c>
      <c r="AZ1126" s="5">
        <v>0</v>
      </c>
      <c r="BA1126" s="5">
        <v>0</v>
      </c>
      <c r="BB1126" s="2"/>
      <c r="BC1126" t="s">
        <v>0</v>
      </c>
      <c r="BD1126" s="5">
        <v>1</v>
      </c>
      <c r="BE1126" t="s">
        <v>0</v>
      </c>
      <c r="BF1126" t="s">
        <v>573</v>
      </c>
      <c r="BG1126" t="s">
        <v>17</v>
      </c>
      <c r="BH1126" t="s">
        <v>0</v>
      </c>
      <c r="BI1126" t="s">
        <v>147</v>
      </c>
      <c r="BJ1126" t="s">
        <v>0</v>
      </c>
      <c r="BK1126" t="s">
        <v>0</v>
      </c>
      <c r="BL1126" s="5">
        <v>0</v>
      </c>
      <c r="BM1126" t="s">
        <v>0</v>
      </c>
      <c r="BN1126" t="s">
        <v>0</v>
      </c>
      <c r="BO1126" t="s">
        <v>0</v>
      </c>
      <c r="BP1126" t="s">
        <v>17</v>
      </c>
      <c r="BQ1126" t="s">
        <v>0</v>
      </c>
      <c r="BR1126" t="s">
        <v>17</v>
      </c>
      <c r="BS1126" t="s">
        <v>17</v>
      </c>
      <c r="BT1126" t="s">
        <v>0</v>
      </c>
      <c r="BU1126" t="s">
        <v>0</v>
      </c>
      <c r="BV1126" t="s">
        <v>0</v>
      </c>
      <c r="BW1126" t="s">
        <v>0</v>
      </c>
      <c r="BX1126" t="s">
        <v>0</v>
      </c>
      <c r="BY1126" t="s">
        <v>0</v>
      </c>
      <c r="BZ1126" t="s">
        <v>0</v>
      </c>
      <c r="CA1126" t="s">
        <v>0</v>
      </c>
      <c r="CB1126" t="s">
        <v>0</v>
      </c>
    </row>
    <row r="1127" spans="1:80" x14ac:dyDescent="0.25">
      <c r="A1127" t="s">
        <v>504</v>
      </c>
      <c r="B1127" s="2">
        <v>46180</v>
      </c>
      <c r="C1127" s="2"/>
      <c r="D1127" s="2"/>
      <c r="E1127" t="s">
        <v>2</v>
      </c>
      <c r="F1127" t="s">
        <v>89</v>
      </c>
      <c r="G1127" t="s">
        <v>0</v>
      </c>
      <c r="H1127" t="s">
        <v>4</v>
      </c>
      <c r="I1127" t="s">
        <v>505</v>
      </c>
      <c r="J1127" t="s">
        <v>6</v>
      </c>
      <c r="K1127" t="s">
        <v>586</v>
      </c>
      <c r="L1127" t="s">
        <v>542</v>
      </c>
      <c r="M1127" t="s">
        <v>543</v>
      </c>
      <c r="N1127" t="s">
        <v>10</v>
      </c>
      <c r="O1127" t="s">
        <v>0</v>
      </c>
      <c r="P1127" t="s">
        <v>147</v>
      </c>
      <c r="Q1127" s="5">
        <v>6</v>
      </c>
      <c r="R1127" s="4">
        <v>138</v>
      </c>
      <c r="S1127" s="5">
        <v>1</v>
      </c>
      <c r="T1127" s="4">
        <v>828</v>
      </c>
      <c r="U1127" s="5">
        <v>6</v>
      </c>
      <c r="V1127" s="4">
        <v>828</v>
      </c>
      <c r="W1127" s="5">
        <v>6</v>
      </c>
      <c r="X1127" s="4">
        <v>828</v>
      </c>
      <c r="Y1127" s="4">
        <f t="shared" si="34"/>
        <v>0</v>
      </c>
      <c r="Z1127" t="s">
        <v>0</v>
      </c>
      <c r="AA1127" t="s">
        <v>2</v>
      </c>
      <c r="AB1127" t="s">
        <v>12</v>
      </c>
      <c r="AC1127">
        <f>_xlfn.XLOOKUP(AB1127,'[1]GST Codes'!$A:$A,'[1]GST Codes'!$C:$C,0,0)</f>
        <v>18</v>
      </c>
      <c r="AD1127">
        <f t="shared" si="35"/>
        <v>0</v>
      </c>
      <c r="AE1127" t="s">
        <v>13</v>
      </c>
      <c r="AF1127" t="s">
        <v>0</v>
      </c>
      <c r="AG1127" t="s">
        <v>14</v>
      </c>
      <c r="AH1127" t="s">
        <v>15</v>
      </c>
      <c r="AI1127" t="s">
        <v>96</v>
      </c>
      <c r="AJ1127" t="s">
        <v>17</v>
      </c>
      <c r="AK1127" t="s">
        <v>18</v>
      </c>
      <c r="AL1127" t="s">
        <v>148</v>
      </c>
      <c r="AM1127" t="s">
        <v>508</v>
      </c>
      <c r="AN1127" t="s">
        <v>0</v>
      </c>
      <c r="AO1127" t="s">
        <v>0</v>
      </c>
      <c r="AP1127" t="s">
        <v>0</v>
      </c>
      <c r="AQ1127" s="5">
        <v>6</v>
      </c>
      <c r="AR1127" t="s">
        <v>147</v>
      </c>
      <c r="AS1127" t="s">
        <v>0</v>
      </c>
      <c r="AT1127" t="s">
        <v>17</v>
      </c>
      <c r="AU1127" s="4">
        <v>0</v>
      </c>
      <c r="AV1127" s="4">
        <v>0</v>
      </c>
      <c r="AW1127" s="4">
        <v>0</v>
      </c>
      <c r="AX1127" s="4">
        <v>0</v>
      </c>
      <c r="AY1127" s="5">
        <v>0</v>
      </c>
      <c r="AZ1127" s="5">
        <v>0</v>
      </c>
      <c r="BA1127" s="5">
        <v>0</v>
      </c>
      <c r="BB1127" s="2"/>
      <c r="BC1127" t="s">
        <v>0</v>
      </c>
      <c r="BD1127" s="5">
        <v>1</v>
      </c>
      <c r="BE1127" t="s">
        <v>0</v>
      </c>
      <c r="BF1127" t="s">
        <v>544</v>
      </c>
      <c r="BG1127" t="s">
        <v>17</v>
      </c>
      <c r="BH1127" t="s">
        <v>0</v>
      </c>
      <c r="BI1127" t="s">
        <v>147</v>
      </c>
      <c r="BJ1127" t="s">
        <v>0</v>
      </c>
      <c r="BK1127" t="s">
        <v>0</v>
      </c>
      <c r="BL1127" s="5">
        <v>0</v>
      </c>
      <c r="BM1127" t="s">
        <v>0</v>
      </c>
      <c r="BN1127" t="s">
        <v>0</v>
      </c>
      <c r="BO1127" t="s">
        <v>0</v>
      </c>
      <c r="BP1127" t="s">
        <v>17</v>
      </c>
      <c r="BQ1127" t="s">
        <v>0</v>
      </c>
      <c r="BR1127" t="s">
        <v>17</v>
      </c>
      <c r="BS1127" t="s">
        <v>17</v>
      </c>
      <c r="BT1127" t="s">
        <v>0</v>
      </c>
      <c r="BU1127" t="s">
        <v>0</v>
      </c>
      <c r="BV1127" t="s">
        <v>0</v>
      </c>
      <c r="BW1127" t="s">
        <v>0</v>
      </c>
      <c r="BX1127" t="s">
        <v>0</v>
      </c>
      <c r="BY1127" t="s">
        <v>0</v>
      </c>
      <c r="BZ1127" t="s">
        <v>0</v>
      </c>
      <c r="CA1127" t="s">
        <v>0</v>
      </c>
      <c r="CB1127" t="s">
        <v>0</v>
      </c>
    </row>
    <row r="1128" spans="1:80" x14ac:dyDescent="0.25">
      <c r="A1128" t="s">
        <v>504</v>
      </c>
      <c r="B1128" s="2">
        <v>46180</v>
      </c>
      <c r="C1128" s="2"/>
      <c r="D1128" s="2"/>
      <c r="E1128" t="s">
        <v>2</v>
      </c>
      <c r="F1128" t="s">
        <v>89</v>
      </c>
      <c r="G1128" t="s">
        <v>0</v>
      </c>
      <c r="H1128" t="s">
        <v>4</v>
      </c>
      <c r="I1128" t="s">
        <v>505</v>
      </c>
      <c r="J1128" t="s">
        <v>6</v>
      </c>
      <c r="K1128" t="s">
        <v>587</v>
      </c>
      <c r="L1128" t="s">
        <v>542</v>
      </c>
      <c r="M1128" t="s">
        <v>543</v>
      </c>
      <c r="N1128" t="s">
        <v>10</v>
      </c>
      <c r="O1128" t="s">
        <v>0</v>
      </c>
      <c r="P1128" t="s">
        <v>147</v>
      </c>
      <c r="Q1128" s="5">
        <v>2</v>
      </c>
      <c r="R1128" s="4">
        <v>199</v>
      </c>
      <c r="S1128" s="5">
        <v>1</v>
      </c>
      <c r="T1128" s="4">
        <v>398</v>
      </c>
      <c r="U1128" s="5">
        <v>2</v>
      </c>
      <c r="V1128" s="4">
        <v>398</v>
      </c>
      <c r="W1128" s="5">
        <v>2</v>
      </c>
      <c r="X1128" s="4">
        <v>398</v>
      </c>
      <c r="Y1128" s="4">
        <f t="shared" si="34"/>
        <v>0</v>
      </c>
      <c r="Z1128" t="s">
        <v>0</v>
      </c>
      <c r="AA1128" t="s">
        <v>2</v>
      </c>
      <c r="AB1128" t="s">
        <v>12</v>
      </c>
      <c r="AC1128">
        <f>_xlfn.XLOOKUP(AB1128,'[1]GST Codes'!$A:$A,'[1]GST Codes'!$C:$C,0,0)</f>
        <v>18</v>
      </c>
      <c r="AD1128">
        <f t="shared" si="35"/>
        <v>0</v>
      </c>
      <c r="AE1128" t="s">
        <v>13</v>
      </c>
      <c r="AF1128" t="s">
        <v>0</v>
      </c>
      <c r="AG1128" t="s">
        <v>14</v>
      </c>
      <c r="AH1128" t="s">
        <v>15</v>
      </c>
      <c r="AI1128" t="s">
        <v>96</v>
      </c>
      <c r="AJ1128" t="s">
        <v>17</v>
      </c>
      <c r="AK1128" t="s">
        <v>18</v>
      </c>
      <c r="AL1128" t="s">
        <v>148</v>
      </c>
      <c r="AM1128" t="s">
        <v>508</v>
      </c>
      <c r="AN1128" t="s">
        <v>0</v>
      </c>
      <c r="AO1128" t="s">
        <v>0</v>
      </c>
      <c r="AP1128" t="s">
        <v>0</v>
      </c>
      <c r="AQ1128" s="5">
        <v>2</v>
      </c>
      <c r="AR1128" t="s">
        <v>147</v>
      </c>
      <c r="AS1128" t="s">
        <v>0</v>
      </c>
      <c r="AT1128" t="s">
        <v>17</v>
      </c>
      <c r="AU1128" s="4">
        <v>0</v>
      </c>
      <c r="AV1128" s="4">
        <v>0</v>
      </c>
      <c r="AW1128" s="4">
        <v>0</v>
      </c>
      <c r="AX1128" s="4">
        <v>0</v>
      </c>
      <c r="AY1128" s="5">
        <v>0</v>
      </c>
      <c r="AZ1128" s="5">
        <v>0</v>
      </c>
      <c r="BA1128" s="5">
        <v>0</v>
      </c>
      <c r="BB1128" s="2"/>
      <c r="BC1128" t="s">
        <v>0</v>
      </c>
      <c r="BD1128" s="5">
        <v>1</v>
      </c>
      <c r="BE1128" t="s">
        <v>0</v>
      </c>
      <c r="BF1128" t="s">
        <v>544</v>
      </c>
      <c r="BG1128" t="s">
        <v>17</v>
      </c>
      <c r="BH1128" t="s">
        <v>0</v>
      </c>
      <c r="BI1128" t="s">
        <v>147</v>
      </c>
      <c r="BJ1128" t="s">
        <v>0</v>
      </c>
      <c r="BK1128" t="s">
        <v>0</v>
      </c>
      <c r="BL1128" s="5">
        <v>0</v>
      </c>
      <c r="BM1128" t="s">
        <v>0</v>
      </c>
      <c r="BN1128" t="s">
        <v>0</v>
      </c>
      <c r="BO1128" t="s">
        <v>0</v>
      </c>
      <c r="BP1128" t="s">
        <v>17</v>
      </c>
      <c r="BQ1128" t="s">
        <v>0</v>
      </c>
      <c r="BR1128" t="s">
        <v>17</v>
      </c>
      <c r="BS1128" t="s">
        <v>17</v>
      </c>
      <c r="BT1128" t="s">
        <v>0</v>
      </c>
      <c r="BU1128" t="s">
        <v>0</v>
      </c>
      <c r="BV1128" t="s">
        <v>0</v>
      </c>
      <c r="BW1128" t="s">
        <v>0</v>
      </c>
      <c r="BX1128" t="s">
        <v>0</v>
      </c>
      <c r="BY1128" t="s">
        <v>0</v>
      </c>
      <c r="BZ1128" t="s">
        <v>0</v>
      </c>
      <c r="CA1128" t="s">
        <v>0</v>
      </c>
      <c r="CB1128" t="s">
        <v>0</v>
      </c>
    </row>
    <row r="1129" spans="1:80" x14ac:dyDescent="0.25">
      <c r="A1129" t="s">
        <v>504</v>
      </c>
      <c r="B1129" s="2">
        <v>46180</v>
      </c>
      <c r="C1129" s="2"/>
      <c r="D1129" s="2"/>
      <c r="E1129" t="s">
        <v>2</v>
      </c>
      <c r="F1129" t="s">
        <v>89</v>
      </c>
      <c r="G1129" t="s">
        <v>0</v>
      </c>
      <c r="H1129" t="s">
        <v>4</v>
      </c>
      <c r="I1129" t="s">
        <v>505</v>
      </c>
      <c r="J1129" t="s">
        <v>6</v>
      </c>
      <c r="K1129" t="s">
        <v>588</v>
      </c>
      <c r="L1129" t="s">
        <v>559</v>
      </c>
      <c r="M1129" t="s">
        <v>589</v>
      </c>
      <c r="N1129" t="s">
        <v>10</v>
      </c>
      <c r="O1129" t="s">
        <v>0</v>
      </c>
      <c r="P1129" t="s">
        <v>147</v>
      </c>
      <c r="Q1129" s="5">
        <v>2</v>
      </c>
      <c r="R1129" s="4">
        <v>270</v>
      </c>
      <c r="S1129" s="5">
        <v>1</v>
      </c>
      <c r="T1129" s="4">
        <v>540</v>
      </c>
      <c r="U1129" s="5">
        <v>2</v>
      </c>
      <c r="V1129" s="4">
        <v>540</v>
      </c>
      <c r="W1129" s="5">
        <v>2</v>
      </c>
      <c r="X1129" s="4">
        <v>540</v>
      </c>
      <c r="Y1129" s="4">
        <f t="shared" si="34"/>
        <v>0</v>
      </c>
      <c r="Z1129" t="s">
        <v>0</v>
      </c>
      <c r="AA1129" t="s">
        <v>2</v>
      </c>
      <c r="AB1129" t="s">
        <v>12</v>
      </c>
      <c r="AC1129">
        <f>_xlfn.XLOOKUP(AB1129,'[1]GST Codes'!$A:$A,'[1]GST Codes'!$C:$C,0,0)</f>
        <v>18</v>
      </c>
      <c r="AD1129">
        <f t="shared" si="35"/>
        <v>0</v>
      </c>
      <c r="AE1129" t="s">
        <v>13</v>
      </c>
      <c r="AF1129" t="s">
        <v>0</v>
      </c>
      <c r="AG1129" t="s">
        <v>14</v>
      </c>
      <c r="AH1129" t="s">
        <v>15</v>
      </c>
      <c r="AI1129" t="s">
        <v>96</v>
      </c>
      <c r="AJ1129" t="s">
        <v>17</v>
      </c>
      <c r="AK1129" t="s">
        <v>18</v>
      </c>
      <c r="AL1129" t="s">
        <v>148</v>
      </c>
      <c r="AM1129" t="s">
        <v>508</v>
      </c>
      <c r="AN1129" t="s">
        <v>0</v>
      </c>
      <c r="AO1129" t="s">
        <v>0</v>
      </c>
      <c r="AP1129" t="s">
        <v>0</v>
      </c>
      <c r="AQ1129" s="5">
        <v>2</v>
      </c>
      <c r="AR1129" t="s">
        <v>147</v>
      </c>
      <c r="AS1129" t="s">
        <v>0</v>
      </c>
      <c r="AT1129" t="s">
        <v>17</v>
      </c>
      <c r="AU1129" s="4">
        <v>0</v>
      </c>
      <c r="AV1129" s="4">
        <v>0</v>
      </c>
      <c r="AW1129" s="4">
        <v>0</v>
      </c>
      <c r="AX1129" s="4">
        <v>0</v>
      </c>
      <c r="AY1129" s="5">
        <v>0</v>
      </c>
      <c r="AZ1129" s="5">
        <v>0</v>
      </c>
      <c r="BA1129" s="5">
        <v>0</v>
      </c>
      <c r="BB1129" s="2"/>
      <c r="BC1129" t="s">
        <v>0</v>
      </c>
      <c r="BD1129" s="5">
        <v>1</v>
      </c>
      <c r="BE1129" t="s">
        <v>0</v>
      </c>
      <c r="BF1129" t="s">
        <v>561</v>
      </c>
      <c r="BG1129" t="s">
        <v>17</v>
      </c>
      <c r="BH1129" t="s">
        <v>0</v>
      </c>
      <c r="BI1129" t="s">
        <v>147</v>
      </c>
      <c r="BJ1129" t="s">
        <v>0</v>
      </c>
      <c r="BK1129" t="s">
        <v>0</v>
      </c>
      <c r="BL1129" s="5">
        <v>0</v>
      </c>
      <c r="BM1129" t="s">
        <v>0</v>
      </c>
      <c r="BN1129" t="s">
        <v>0</v>
      </c>
      <c r="BO1129" t="s">
        <v>0</v>
      </c>
      <c r="BP1129" t="s">
        <v>17</v>
      </c>
      <c r="BQ1129" t="s">
        <v>0</v>
      </c>
      <c r="BR1129" t="s">
        <v>17</v>
      </c>
      <c r="BS1129" t="s">
        <v>17</v>
      </c>
      <c r="BT1129" t="s">
        <v>0</v>
      </c>
      <c r="BU1129" t="s">
        <v>0</v>
      </c>
      <c r="BV1129" t="s">
        <v>0</v>
      </c>
      <c r="BW1129" t="s">
        <v>0</v>
      </c>
      <c r="BX1129" t="s">
        <v>0</v>
      </c>
      <c r="BY1129" t="s">
        <v>0</v>
      </c>
      <c r="BZ1129" t="s">
        <v>0</v>
      </c>
      <c r="CA1129" t="s">
        <v>0</v>
      </c>
      <c r="CB1129" t="s">
        <v>0</v>
      </c>
    </row>
    <row r="1130" spans="1:80" x14ac:dyDescent="0.25">
      <c r="A1130" t="s">
        <v>504</v>
      </c>
      <c r="B1130" s="2">
        <v>46180</v>
      </c>
      <c r="C1130" s="2"/>
      <c r="D1130" s="2"/>
      <c r="E1130" t="s">
        <v>2</v>
      </c>
      <c r="F1130" t="s">
        <v>89</v>
      </c>
      <c r="G1130" t="s">
        <v>0</v>
      </c>
      <c r="H1130" t="s">
        <v>4</v>
      </c>
      <c r="I1130" t="s">
        <v>505</v>
      </c>
      <c r="J1130" t="s">
        <v>6</v>
      </c>
      <c r="K1130" t="s">
        <v>590</v>
      </c>
      <c r="L1130" t="s">
        <v>194</v>
      </c>
      <c r="M1130" t="s">
        <v>195</v>
      </c>
      <c r="N1130" t="s">
        <v>10</v>
      </c>
      <c r="O1130" t="s">
        <v>0</v>
      </c>
      <c r="P1130" t="s">
        <v>147</v>
      </c>
      <c r="Q1130" s="5">
        <v>2</v>
      </c>
      <c r="R1130" s="4">
        <v>23</v>
      </c>
      <c r="S1130" s="5">
        <v>1</v>
      </c>
      <c r="T1130" s="4">
        <v>46</v>
      </c>
      <c r="U1130" s="5">
        <v>2</v>
      </c>
      <c r="V1130" s="4">
        <v>46</v>
      </c>
      <c r="W1130" s="5">
        <v>2</v>
      </c>
      <c r="X1130" s="4">
        <v>46</v>
      </c>
      <c r="Y1130" s="4">
        <f t="shared" si="34"/>
        <v>0</v>
      </c>
      <c r="Z1130" t="s">
        <v>0</v>
      </c>
      <c r="AA1130" t="s">
        <v>2</v>
      </c>
      <c r="AB1130" t="s">
        <v>12</v>
      </c>
      <c r="AC1130">
        <f>_xlfn.XLOOKUP(AB1130,'[1]GST Codes'!$A:$A,'[1]GST Codes'!$C:$C,0,0)</f>
        <v>18</v>
      </c>
      <c r="AD1130">
        <f t="shared" si="35"/>
        <v>0</v>
      </c>
      <c r="AE1130" t="s">
        <v>13</v>
      </c>
      <c r="AF1130" t="s">
        <v>0</v>
      </c>
      <c r="AG1130" t="s">
        <v>14</v>
      </c>
      <c r="AH1130" t="s">
        <v>15</v>
      </c>
      <c r="AI1130" t="s">
        <v>96</v>
      </c>
      <c r="AJ1130" t="s">
        <v>17</v>
      </c>
      <c r="AK1130" t="s">
        <v>18</v>
      </c>
      <c r="AL1130" t="s">
        <v>148</v>
      </c>
      <c r="AM1130" t="s">
        <v>508</v>
      </c>
      <c r="AN1130" t="s">
        <v>0</v>
      </c>
      <c r="AO1130" t="s">
        <v>0</v>
      </c>
      <c r="AP1130" t="s">
        <v>0</v>
      </c>
      <c r="AQ1130" s="5">
        <v>2</v>
      </c>
      <c r="AR1130" t="s">
        <v>147</v>
      </c>
      <c r="AS1130" t="s">
        <v>0</v>
      </c>
      <c r="AT1130" t="s">
        <v>17</v>
      </c>
      <c r="AU1130" s="4">
        <v>0</v>
      </c>
      <c r="AV1130" s="4">
        <v>0</v>
      </c>
      <c r="AW1130" s="4">
        <v>0</v>
      </c>
      <c r="AX1130" s="4">
        <v>0</v>
      </c>
      <c r="AY1130" s="5">
        <v>0</v>
      </c>
      <c r="AZ1130" s="5">
        <v>0</v>
      </c>
      <c r="BA1130" s="5">
        <v>0</v>
      </c>
      <c r="BB1130" s="2"/>
      <c r="BC1130" t="s">
        <v>0</v>
      </c>
      <c r="BD1130" s="5">
        <v>1</v>
      </c>
      <c r="BE1130" t="s">
        <v>0</v>
      </c>
      <c r="BF1130" t="s">
        <v>550</v>
      </c>
      <c r="BG1130" t="s">
        <v>17</v>
      </c>
      <c r="BH1130" t="s">
        <v>0</v>
      </c>
      <c r="BI1130" t="s">
        <v>147</v>
      </c>
      <c r="BJ1130" t="s">
        <v>0</v>
      </c>
      <c r="BK1130" t="s">
        <v>0</v>
      </c>
      <c r="BL1130" s="5">
        <v>0</v>
      </c>
      <c r="BM1130" t="s">
        <v>0</v>
      </c>
      <c r="BN1130" t="s">
        <v>0</v>
      </c>
      <c r="BO1130" t="s">
        <v>0</v>
      </c>
      <c r="BP1130" t="s">
        <v>17</v>
      </c>
      <c r="BQ1130" t="s">
        <v>0</v>
      </c>
      <c r="BR1130" t="s">
        <v>17</v>
      </c>
      <c r="BS1130" t="s">
        <v>17</v>
      </c>
      <c r="BT1130" t="s">
        <v>0</v>
      </c>
      <c r="BU1130" t="s">
        <v>0</v>
      </c>
      <c r="BV1130" t="s">
        <v>0</v>
      </c>
      <c r="BW1130" t="s">
        <v>0</v>
      </c>
      <c r="BX1130" t="s">
        <v>0</v>
      </c>
      <c r="BY1130" t="s">
        <v>0</v>
      </c>
      <c r="BZ1130" t="s">
        <v>0</v>
      </c>
      <c r="CA1130" t="s">
        <v>0</v>
      </c>
      <c r="CB1130" t="s">
        <v>0</v>
      </c>
    </row>
    <row r="1131" spans="1:80" x14ac:dyDescent="0.25">
      <c r="A1131" t="s">
        <v>504</v>
      </c>
      <c r="B1131" s="2">
        <v>46180</v>
      </c>
      <c r="C1131" s="2"/>
      <c r="D1131" s="2"/>
      <c r="E1131" t="s">
        <v>2</v>
      </c>
      <c r="F1131" t="s">
        <v>89</v>
      </c>
      <c r="G1131" t="s">
        <v>0</v>
      </c>
      <c r="H1131" t="s">
        <v>4</v>
      </c>
      <c r="I1131" t="s">
        <v>505</v>
      </c>
      <c r="J1131" t="s">
        <v>6</v>
      </c>
      <c r="K1131" t="s">
        <v>591</v>
      </c>
      <c r="L1131" t="s">
        <v>210</v>
      </c>
      <c r="M1131" t="s">
        <v>564</v>
      </c>
      <c r="N1131" t="s">
        <v>10</v>
      </c>
      <c r="O1131" t="s">
        <v>0</v>
      </c>
      <c r="P1131" t="s">
        <v>147</v>
      </c>
      <c r="Q1131" s="5">
        <v>1</v>
      </c>
      <c r="R1131" s="4">
        <v>297</v>
      </c>
      <c r="S1131" s="5">
        <v>1</v>
      </c>
      <c r="T1131" s="4">
        <v>297</v>
      </c>
      <c r="U1131" s="5">
        <v>1</v>
      </c>
      <c r="V1131" s="4">
        <v>297</v>
      </c>
      <c r="W1131" s="5">
        <v>1</v>
      </c>
      <c r="X1131" s="4">
        <v>297</v>
      </c>
      <c r="Y1131" s="4">
        <f t="shared" si="34"/>
        <v>0</v>
      </c>
      <c r="Z1131" t="s">
        <v>0</v>
      </c>
      <c r="AA1131" t="s">
        <v>2</v>
      </c>
      <c r="AB1131" t="s">
        <v>12</v>
      </c>
      <c r="AC1131">
        <f>_xlfn.XLOOKUP(AB1131,'[1]GST Codes'!$A:$A,'[1]GST Codes'!$C:$C,0,0)</f>
        <v>18</v>
      </c>
      <c r="AD1131">
        <f t="shared" si="35"/>
        <v>0</v>
      </c>
      <c r="AE1131" t="s">
        <v>13</v>
      </c>
      <c r="AF1131" t="s">
        <v>0</v>
      </c>
      <c r="AG1131" t="s">
        <v>14</v>
      </c>
      <c r="AH1131" t="s">
        <v>15</v>
      </c>
      <c r="AI1131" t="s">
        <v>96</v>
      </c>
      <c r="AJ1131" t="s">
        <v>17</v>
      </c>
      <c r="AK1131" t="s">
        <v>18</v>
      </c>
      <c r="AL1131" t="s">
        <v>148</v>
      </c>
      <c r="AM1131" t="s">
        <v>508</v>
      </c>
      <c r="AN1131" t="s">
        <v>0</v>
      </c>
      <c r="AO1131" t="s">
        <v>0</v>
      </c>
      <c r="AP1131" t="s">
        <v>0</v>
      </c>
      <c r="AQ1131" s="5">
        <v>1</v>
      </c>
      <c r="AR1131" t="s">
        <v>147</v>
      </c>
      <c r="AS1131" t="s">
        <v>0</v>
      </c>
      <c r="AT1131" t="s">
        <v>17</v>
      </c>
      <c r="AU1131" s="4">
        <v>0</v>
      </c>
      <c r="AV1131" s="4">
        <v>0</v>
      </c>
      <c r="AW1131" s="4">
        <v>0</v>
      </c>
      <c r="AX1131" s="4">
        <v>0</v>
      </c>
      <c r="AY1131" s="5">
        <v>0</v>
      </c>
      <c r="AZ1131" s="5">
        <v>0</v>
      </c>
      <c r="BA1131" s="5">
        <v>0</v>
      </c>
      <c r="BB1131" s="2"/>
      <c r="BC1131" t="s">
        <v>0</v>
      </c>
      <c r="BD1131" s="5">
        <v>1</v>
      </c>
      <c r="BE1131" t="s">
        <v>0</v>
      </c>
      <c r="BF1131" t="s">
        <v>565</v>
      </c>
      <c r="BG1131" t="s">
        <v>17</v>
      </c>
      <c r="BH1131" t="s">
        <v>0</v>
      </c>
      <c r="BI1131" t="s">
        <v>147</v>
      </c>
      <c r="BJ1131" t="s">
        <v>0</v>
      </c>
      <c r="BK1131" t="s">
        <v>0</v>
      </c>
      <c r="BL1131" s="5">
        <v>0</v>
      </c>
      <c r="BM1131" t="s">
        <v>0</v>
      </c>
      <c r="BN1131" t="s">
        <v>0</v>
      </c>
      <c r="BO1131" t="s">
        <v>0</v>
      </c>
      <c r="BP1131" t="s">
        <v>17</v>
      </c>
      <c r="BQ1131" t="s">
        <v>0</v>
      </c>
      <c r="BR1131" t="s">
        <v>17</v>
      </c>
      <c r="BS1131" t="s">
        <v>17</v>
      </c>
      <c r="BT1131" t="s">
        <v>0</v>
      </c>
      <c r="BU1131" t="s">
        <v>0</v>
      </c>
      <c r="BV1131" t="s">
        <v>0</v>
      </c>
      <c r="BW1131" t="s">
        <v>0</v>
      </c>
      <c r="BX1131" t="s">
        <v>0</v>
      </c>
      <c r="BY1131" t="s">
        <v>0</v>
      </c>
      <c r="BZ1131" t="s">
        <v>0</v>
      </c>
      <c r="CA1131" t="s">
        <v>0</v>
      </c>
      <c r="CB1131" t="s">
        <v>0</v>
      </c>
    </row>
    <row r="1132" spans="1:80" x14ac:dyDescent="0.25">
      <c r="A1132" t="s">
        <v>504</v>
      </c>
      <c r="B1132" s="2">
        <v>46180</v>
      </c>
      <c r="C1132" s="2"/>
      <c r="D1132" s="2"/>
      <c r="E1132" t="s">
        <v>2</v>
      </c>
      <c r="F1132" t="s">
        <v>89</v>
      </c>
      <c r="G1132" t="s">
        <v>0</v>
      </c>
      <c r="H1132" t="s">
        <v>4</v>
      </c>
      <c r="I1132" t="s">
        <v>505</v>
      </c>
      <c r="J1132" t="s">
        <v>6</v>
      </c>
      <c r="K1132" t="s">
        <v>592</v>
      </c>
      <c r="L1132" t="s">
        <v>210</v>
      </c>
      <c r="M1132" t="s">
        <v>564</v>
      </c>
      <c r="N1132" t="s">
        <v>10</v>
      </c>
      <c r="O1132" t="s">
        <v>0</v>
      </c>
      <c r="P1132" t="s">
        <v>147</v>
      </c>
      <c r="Q1132" s="5">
        <v>1</v>
      </c>
      <c r="R1132" s="4">
        <v>146</v>
      </c>
      <c r="S1132" s="5">
        <v>1</v>
      </c>
      <c r="T1132" s="4">
        <v>146</v>
      </c>
      <c r="U1132" s="5">
        <v>1</v>
      </c>
      <c r="V1132" s="4">
        <v>146</v>
      </c>
      <c r="W1132" s="5">
        <v>1</v>
      </c>
      <c r="X1132" s="4">
        <v>146</v>
      </c>
      <c r="Y1132" s="4">
        <f t="shared" si="34"/>
        <v>0</v>
      </c>
      <c r="Z1132" t="s">
        <v>0</v>
      </c>
      <c r="AA1132" t="s">
        <v>2</v>
      </c>
      <c r="AB1132" t="s">
        <v>12</v>
      </c>
      <c r="AC1132">
        <f>_xlfn.XLOOKUP(AB1132,'[1]GST Codes'!$A:$A,'[1]GST Codes'!$C:$C,0,0)</f>
        <v>18</v>
      </c>
      <c r="AD1132">
        <f t="shared" si="35"/>
        <v>0</v>
      </c>
      <c r="AE1132" t="s">
        <v>13</v>
      </c>
      <c r="AF1132" t="s">
        <v>0</v>
      </c>
      <c r="AG1132" t="s">
        <v>14</v>
      </c>
      <c r="AH1132" t="s">
        <v>15</v>
      </c>
      <c r="AI1132" t="s">
        <v>96</v>
      </c>
      <c r="AJ1132" t="s">
        <v>17</v>
      </c>
      <c r="AK1132" t="s">
        <v>18</v>
      </c>
      <c r="AL1132" t="s">
        <v>148</v>
      </c>
      <c r="AM1132" t="s">
        <v>508</v>
      </c>
      <c r="AN1132" t="s">
        <v>0</v>
      </c>
      <c r="AO1132" t="s">
        <v>0</v>
      </c>
      <c r="AP1132" t="s">
        <v>0</v>
      </c>
      <c r="AQ1132" s="5">
        <v>1</v>
      </c>
      <c r="AR1132" t="s">
        <v>147</v>
      </c>
      <c r="AS1132" t="s">
        <v>0</v>
      </c>
      <c r="AT1132" t="s">
        <v>17</v>
      </c>
      <c r="AU1132" s="4">
        <v>0</v>
      </c>
      <c r="AV1132" s="4">
        <v>0</v>
      </c>
      <c r="AW1132" s="4">
        <v>0</v>
      </c>
      <c r="AX1132" s="4">
        <v>0</v>
      </c>
      <c r="AY1132" s="5">
        <v>0</v>
      </c>
      <c r="AZ1132" s="5">
        <v>0</v>
      </c>
      <c r="BA1132" s="5">
        <v>0</v>
      </c>
      <c r="BB1132" s="2"/>
      <c r="BC1132" t="s">
        <v>0</v>
      </c>
      <c r="BD1132" s="5">
        <v>1</v>
      </c>
      <c r="BE1132" t="s">
        <v>0</v>
      </c>
      <c r="BF1132" t="s">
        <v>565</v>
      </c>
      <c r="BG1132" t="s">
        <v>17</v>
      </c>
      <c r="BH1132" t="s">
        <v>0</v>
      </c>
      <c r="BI1132" t="s">
        <v>147</v>
      </c>
      <c r="BJ1132" t="s">
        <v>0</v>
      </c>
      <c r="BK1132" t="s">
        <v>0</v>
      </c>
      <c r="BL1132" s="5">
        <v>0</v>
      </c>
      <c r="BM1132" t="s">
        <v>0</v>
      </c>
      <c r="BN1132" t="s">
        <v>0</v>
      </c>
      <c r="BO1132" t="s">
        <v>0</v>
      </c>
      <c r="BP1132" t="s">
        <v>17</v>
      </c>
      <c r="BQ1132" t="s">
        <v>0</v>
      </c>
      <c r="BR1132" t="s">
        <v>17</v>
      </c>
      <c r="BS1132" t="s">
        <v>17</v>
      </c>
      <c r="BT1132" t="s">
        <v>0</v>
      </c>
      <c r="BU1132" t="s">
        <v>0</v>
      </c>
      <c r="BV1132" t="s">
        <v>0</v>
      </c>
      <c r="BW1132" t="s">
        <v>0</v>
      </c>
      <c r="BX1132" t="s">
        <v>0</v>
      </c>
      <c r="BY1132" t="s">
        <v>0</v>
      </c>
      <c r="BZ1132" t="s">
        <v>0</v>
      </c>
      <c r="CA1132" t="s">
        <v>0</v>
      </c>
      <c r="CB1132" t="s">
        <v>0</v>
      </c>
    </row>
    <row r="1133" spans="1:80" x14ac:dyDescent="0.25">
      <c r="A1133" t="s">
        <v>504</v>
      </c>
      <c r="B1133" s="2">
        <v>46180</v>
      </c>
      <c r="C1133" s="2"/>
      <c r="D1133" s="2"/>
      <c r="E1133" t="s">
        <v>2</v>
      </c>
      <c r="F1133" t="s">
        <v>89</v>
      </c>
      <c r="G1133" t="s">
        <v>0</v>
      </c>
      <c r="H1133" t="s">
        <v>4</v>
      </c>
      <c r="I1133" t="s">
        <v>505</v>
      </c>
      <c r="J1133" t="s">
        <v>6</v>
      </c>
      <c r="K1133" t="s">
        <v>593</v>
      </c>
      <c r="L1133" t="s">
        <v>536</v>
      </c>
      <c r="M1133" t="s">
        <v>537</v>
      </c>
      <c r="N1133" t="s">
        <v>10</v>
      </c>
      <c r="O1133" t="s">
        <v>0</v>
      </c>
      <c r="P1133" t="s">
        <v>147</v>
      </c>
      <c r="Q1133" s="5">
        <v>1</v>
      </c>
      <c r="R1133" s="4">
        <v>157</v>
      </c>
      <c r="S1133" s="5">
        <v>1</v>
      </c>
      <c r="T1133" s="4">
        <v>157</v>
      </c>
      <c r="U1133" s="5">
        <v>1</v>
      </c>
      <c r="V1133" s="4">
        <v>157</v>
      </c>
      <c r="W1133" s="5">
        <v>1</v>
      </c>
      <c r="X1133" s="4">
        <v>157</v>
      </c>
      <c r="Y1133" s="4">
        <f t="shared" si="34"/>
        <v>0</v>
      </c>
      <c r="Z1133" t="s">
        <v>0</v>
      </c>
      <c r="AA1133" t="s">
        <v>2</v>
      </c>
      <c r="AB1133" t="s">
        <v>12</v>
      </c>
      <c r="AC1133">
        <f>_xlfn.XLOOKUP(AB1133,'[1]GST Codes'!$A:$A,'[1]GST Codes'!$C:$C,0,0)</f>
        <v>18</v>
      </c>
      <c r="AD1133">
        <f t="shared" si="35"/>
        <v>0</v>
      </c>
      <c r="AE1133" t="s">
        <v>13</v>
      </c>
      <c r="AF1133" t="s">
        <v>0</v>
      </c>
      <c r="AG1133" t="s">
        <v>14</v>
      </c>
      <c r="AH1133" t="s">
        <v>15</v>
      </c>
      <c r="AI1133" t="s">
        <v>96</v>
      </c>
      <c r="AJ1133" t="s">
        <v>17</v>
      </c>
      <c r="AK1133" t="s">
        <v>18</v>
      </c>
      <c r="AL1133" t="s">
        <v>148</v>
      </c>
      <c r="AM1133" t="s">
        <v>508</v>
      </c>
      <c r="AN1133" t="s">
        <v>0</v>
      </c>
      <c r="AO1133" t="s">
        <v>0</v>
      </c>
      <c r="AP1133" t="s">
        <v>0</v>
      </c>
      <c r="AQ1133" s="5">
        <v>1</v>
      </c>
      <c r="AR1133" t="s">
        <v>147</v>
      </c>
      <c r="AS1133" t="s">
        <v>0</v>
      </c>
      <c r="AT1133" t="s">
        <v>17</v>
      </c>
      <c r="AU1133" s="4">
        <v>0</v>
      </c>
      <c r="AV1133" s="4">
        <v>0</v>
      </c>
      <c r="AW1133" s="4">
        <v>0</v>
      </c>
      <c r="AX1133" s="4">
        <v>0</v>
      </c>
      <c r="AY1133" s="5">
        <v>0</v>
      </c>
      <c r="AZ1133" s="5">
        <v>0</v>
      </c>
      <c r="BA1133" s="5">
        <v>0</v>
      </c>
      <c r="BB1133" s="2"/>
      <c r="BC1133" t="s">
        <v>0</v>
      </c>
      <c r="BD1133" s="5">
        <v>1</v>
      </c>
      <c r="BE1133" t="s">
        <v>0</v>
      </c>
      <c r="BF1133" t="s">
        <v>538</v>
      </c>
      <c r="BG1133" t="s">
        <v>17</v>
      </c>
      <c r="BH1133" t="s">
        <v>0</v>
      </c>
      <c r="BI1133" t="s">
        <v>147</v>
      </c>
      <c r="BJ1133" t="s">
        <v>0</v>
      </c>
      <c r="BK1133" t="s">
        <v>0</v>
      </c>
      <c r="BL1133" s="5">
        <v>0</v>
      </c>
      <c r="BM1133" t="s">
        <v>0</v>
      </c>
      <c r="BN1133" t="s">
        <v>0</v>
      </c>
      <c r="BO1133" t="s">
        <v>0</v>
      </c>
      <c r="BP1133" t="s">
        <v>17</v>
      </c>
      <c r="BQ1133" t="s">
        <v>0</v>
      </c>
      <c r="BR1133" t="s">
        <v>17</v>
      </c>
      <c r="BS1133" t="s">
        <v>17</v>
      </c>
      <c r="BT1133" t="s">
        <v>0</v>
      </c>
      <c r="BU1133" t="s">
        <v>0</v>
      </c>
      <c r="BV1133" t="s">
        <v>0</v>
      </c>
      <c r="BW1133" t="s">
        <v>0</v>
      </c>
      <c r="BX1133" t="s">
        <v>0</v>
      </c>
      <c r="BY1133" t="s">
        <v>0</v>
      </c>
      <c r="BZ1133" t="s">
        <v>0</v>
      </c>
      <c r="CA1133" t="s">
        <v>0</v>
      </c>
      <c r="CB1133" t="s">
        <v>0</v>
      </c>
    </row>
    <row r="1134" spans="1:80" x14ac:dyDescent="0.25">
      <c r="A1134" t="s">
        <v>504</v>
      </c>
      <c r="B1134" s="2">
        <v>46180</v>
      </c>
      <c r="C1134" s="2"/>
      <c r="D1134" s="2"/>
      <c r="E1134" t="s">
        <v>2</v>
      </c>
      <c r="F1134" t="s">
        <v>89</v>
      </c>
      <c r="G1134" t="s">
        <v>0</v>
      </c>
      <c r="H1134" t="s">
        <v>4</v>
      </c>
      <c r="I1134" t="s">
        <v>505</v>
      </c>
      <c r="J1134" t="s">
        <v>6</v>
      </c>
      <c r="K1134" t="s">
        <v>594</v>
      </c>
      <c r="L1134" t="s">
        <v>536</v>
      </c>
      <c r="M1134" t="s">
        <v>537</v>
      </c>
      <c r="N1134" t="s">
        <v>10</v>
      </c>
      <c r="O1134" t="s">
        <v>0</v>
      </c>
      <c r="P1134" t="s">
        <v>147</v>
      </c>
      <c r="Q1134" s="5">
        <v>5</v>
      </c>
      <c r="R1134" s="4">
        <v>163</v>
      </c>
      <c r="S1134" s="5">
        <v>1</v>
      </c>
      <c r="T1134" s="4">
        <v>815</v>
      </c>
      <c r="U1134" s="5">
        <v>5</v>
      </c>
      <c r="V1134" s="4">
        <v>815</v>
      </c>
      <c r="W1134" s="5">
        <v>5</v>
      </c>
      <c r="X1134" s="4">
        <v>815</v>
      </c>
      <c r="Y1134" s="4">
        <f t="shared" si="34"/>
        <v>0</v>
      </c>
      <c r="Z1134" t="s">
        <v>0</v>
      </c>
      <c r="AA1134" t="s">
        <v>2</v>
      </c>
      <c r="AB1134" t="s">
        <v>12</v>
      </c>
      <c r="AC1134">
        <f>_xlfn.XLOOKUP(AB1134,'[1]GST Codes'!$A:$A,'[1]GST Codes'!$C:$C,0,0)</f>
        <v>18</v>
      </c>
      <c r="AD1134">
        <f t="shared" si="35"/>
        <v>0</v>
      </c>
      <c r="AE1134" t="s">
        <v>13</v>
      </c>
      <c r="AF1134" t="s">
        <v>0</v>
      </c>
      <c r="AG1134" t="s">
        <v>14</v>
      </c>
      <c r="AH1134" t="s">
        <v>15</v>
      </c>
      <c r="AI1134" t="s">
        <v>96</v>
      </c>
      <c r="AJ1134" t="s">
        <v>17</v>
      </c>
      <c r="AK1134" t="s">
        <v>18</v>
      </c>
      <c r="AL1134" t="s">
        <v>148</v>
      </c>
      <c r="AM1134" t="s">
        <v>508</v>
      </c>
      <c r="AN1134" t="s">
        <v>0</v>
      </c>
      <c r="AO1134" t="s">
        <v>0</v>
      </c>
      <c r="AP1134" t="s">
        <v>0</v>
      </c>
      <c r="AQ1134" s="5">
        <v>5</v>
      </c>
      <c r="AR1134" t="s">
        <v>147</v>
      </c>
      <c r="AS1134" t="s">
        <v>0</v>
      </c>
      <c r="AT1134" t="s">
        <v>17</v>
      </c>
      <c r="AU1134" s="4">
        <v>0</v>
      </c>
      <c r="AV1134" s="4">
        <v>0</v>
      </c>
      <c r="AW1134" s="4">
        <v>0</v>
      </c>
      <c r="AX1134" s="4">
        <v>0</v>
      </c>
      <c r="AY1134" s="5">
        <v>0</v>
      </c>
      <c r="AZ1134" s="5">
        <v>0</v>
      </c>
      <c r="BA1134" s="5">
        <v>0</v>
      </c>
      <c r="BB1134" s="2"/>
      <c r="BC1134" t="s">
        <v>0</v>
      </c>
      <c r="BD1134" s="5">
        <v>1</v>
      </c>
      <c r="BE1134" t="s">
        <v>0</v>
      </c>
      <c r="BF1134" t="s">
        <v>538</v>
      </c>
      <c r="BG1134" t="s">
        <v>17</v>
      </c>
      <c r="BH1134" t="s">
        <v>0</v>
      </c>
      <c r="BI1134" t="s">
        <v>147</v>
      </c>
      <c r="BJ1134" t="s">
        <v>0</v>
      </c>
      <c r="BK1134" t="s">
        <v>0</v>
      </c>
      <c r="BL1134" s="5">
        <v>0</v>
      </c>
      <c r="BM1134" t="s">
        <v>0</v>
      </c>
      <c r="BN1134" t="s">
        <v>0</v>
      </c>
      <c r="BO1134" t="s">
        <v>0</v>
      </c>
      <c r="BP1134" t="s">
        <v>17</v>
      </c>
      <c r="BQ1134" t="s">
        <v>0</v>
      </c>
      <c r="BR1134" t="s">
        <v>17</v>
      </c>
      <c r="BS1134" t="s">
        <v>17</v>
      </c>
      <c r="BT1134" t="s">
        <v>0</v>
      </c>
      <c r="BU1134" t="s">
        <v>0</v>
      </c>
      <c r="BV1134" t="s">
        <v>0</v>
      </c>
      <c r="BW1134" t="s">
        <v>0</v>
      </c>
      <c r="BX1134" t="s">
        <v>0</v>
      </c>
      <c r="BY1134" t="s">
        <v>0</v>
      </c>
      <c r="BZ1134" t="s">
        <v>0</v>
      </c>
      <c r="CA1134" t="s">
        <v>0</v>
      </c>
      <c r="CB1134" t="s">
        <v>0</v>
      </c>
    </row>
    <row r="1135" spans="1:80" x14ac:dyDescent="0.25">
      <c r="A1135" t="s">
        <v>504</v>
      </c>
      <c r="B1135" s="2">
        <v>46180</v>
      </c>
      <c r="C1135" s="2"/>
      <c r="D1135" s="2"/>
      <c r="E1135" t="s">
        <v>2</v>
      </c>
      <c r="F1135" t="s">
        <v>89</v>
      </c>
      <c r="G1135" t="s">
        <v>0</v>
      </c>
      <c r="H1135" t="s">
        <v>4</v>
      </c>
      <c r="I1135" t="s">
        <v>505</v>
      </c>
      <c r="J1135" t="s">
        <v>6</v>
      </c>
      <c r="K1135" t="s">
        <v>595</v>
      </c>
      <c r="L1135" t="s">
        <v>536</v>
      </c>
      <c r="M1135" t="s">
        <v>537</v>
      </c>
      <c r="N1135" t="s">
        <v>10</v>
      </c>
      <c r="O1135" t="s">
        <v>0</v>
      </c>
      <c r="P1135" t="s">
        <v>147</v>
      </c>
      <c r="Q1135" s="5">
        <v>2</v>
      </c>
      <c r="R1135" s="4">
        <v>176</v>
      </c>
      <c r="S1135" s="5">
        <v>1</v>
      </c>
      <c r="T1135" s="4">
        <v>352</v>
      </c>
      <c r="U1135" s="5">
        <v>2</v>
      </c>
      <c r="V1135" s="4">
        <v>352</v>
      </c>
      <c r="W1135" s="5">
        <v>2</v>
      </c>
      <c r="X1135" s="4">
        <v>352</v>
      </c>
      <c r="Y1135" s="4">
        <f t="shared" si="34"/>
        <v>0</v>
      </c>
      <c r="Z1135" t="s">
        <v>0</v>
      </c>
      <c r="AA1135" t="s">
        <v>2</v>
      </c>
      <c r="AB1135" t="s">
        <v>12</v>
      </c>
      <c r="AC1135">
        <f>_xlfn.XLOOKUP(AB1135,'[1]GST Codes'!$A:$A,'[1]GST Codes'!$C:$C,0,0)</f>
        <v>18</v>
      </c>
      <c r="AD1135">
        <f t="shared" si="35"/>
        <v>0</v>
      </c>
      <c r="AE1135" t="s">
        <v>13</v>
      </c>
      <c r="AF1135" t="s">
        <v>0</v>
      </c>
      <c r="AG1135" t="s">
        <v>14</v>
      </c>
      <c r="AH1135" t="s">
        <v>15</v>
      </c>
      <c r="AI1135" t="s">
        <v>96</v>
      </c>
      <c r="AJ1135" t="s">
        <v>17</v>
      </c>
      <c r="AK1135" t="s">
        <v>18</v>
      </c>
      <c r="AL1135" t="s">
        <v>148</v>
      </c>
      <c r="AM1135" t="s">
        <v>508</v>
      </c>
      <c r="AN1135" t="s">
        <v>0</v>
      </c>
      <c r="AO1135" t="s">
        <v>0</v>
      </c>
      <c r="AP1135" t="s">
        <v>0</v>
      </c>
      <c r="AQ1135" s="5">
        <v>2</v>
      </c>
      <c r="AR1135" t="s">
        <v>147</v>
      </c>
      <c r="AS1135" t="s">
        <v>0</v>
      </c>
      <c r="AT1135" t="s">
        <v>17</v>
      </c>
      <c r="AU1135" s="4">
        <v>0</v>
      </c>
      <c r="AV1135" s="4">
        <v>0</v>
      </c>
      <c r="AW1135" s="4">
        <v>0</v>
      </c>
      <c r="AX1135" s="4">
        <v>0</v>
      </c>
      <c r="AY1135" s="5">
        <v>0</v>
      </c>
      <c r="AZ1135" s="5">
        <v>0</v>
      </c>
      <c r="BA1135" s="5">
        <v>0</v>
      </c>
      <c r="BB1135" s="2"/>
      <c r="BC1135" t="s">
        <v>0</v>
      </c>
      <c r="BD1135" s="5">
        <v>1</v>
      </c>
      <c r="BE1135" t="s">
        <v>0</v>
      </c>
      <c r="BF1135" t="s">
        <v>538</v>
      </c>
      <c r="BG1135" t="s">
        <v>17</v>
      </c>
      <c r="BH1135" t="s">
        <v>0</v>
      </c>
      <c r="BI1135" t="s">
        <v>147</v>
      </c>
      <c r="BJ1135" t="s">
        <v>0</v>
      </c>
      <c r="BK1135" t="s">
        <v>0</v>
      </c>
      <c r="BL1135" s="5">
        <v>0</v>
      </c>
      <c r="BM1135" t="s">
        <v>0</v>
      </c>
      <c r="BN1135" t="s">
        <v>0</v>
      </c>
      <c r="BO1135" t="s">
        <v>0</v>
      </c>
      <c r="BP1135" t="s">
        <v>17</v>
      </c>
      <c r="BQ1135" t="s">
        <v>0</v>
      </c>
      <c r="BR1135" t="s">
        <v>17</v>
      </c>
      <c r="BS1135" t="s">
        <v>17</v>
      </c>
      <c r="BT1135" t="s">
        <v>0</v>
      </c>
      <c r="BU1135" t="s">
        <v>0</v>
      </c>
      <c r="BV1135" t="s">
        <v>0</v>
      </c>
      <c r="BW1135" t="s">
        <v>0</v>
      </c>
      <c r="BX1135" t="s">
        <v>0</v>
      </c>
      <c r="BY1135" t="s">
        <v>0</v>
      </c>
      <c r="BZ1135" t="s">
        <v>0</v>
      </c>
      <c r="CA1135" t="s">
        <v>0</v>
      </c>
      <c r="CB1135" t="s">
        <v>0</v>
      </c>
    </row>
    <row r="1136" spans="1:80" x14ac:dyDescent="0.25">
      <c r="A1136" t="s">
        <v>504</v>
      </c>
      <c r="B1136" s="2">
        <v>46180</v>
      </c>
      <c r="C1136" s="2"/>
      <c r="D1136" s="2"/>
      <c r="E1136" t="s">
        <v>2</v>
      </c>
      <c r="F1136" t="s">
        <v>89</v>
      </c>
      <c r="G1136" t="s">
        <v>0</v>
      </c>
      <c r="H1136" t="s">
        <v>4</v>
      </c>
      <c r="I1136" t="s">
        <v>505</v>
      </c>
      <c r="J1136" t="s">
        <v>6</v>
      </c>
      <c r="K1136" t="s">
        <v>596</v>
      </c>
      <c r="L1136" t="s">
        <v>536</v>
      </c>
      <c r="M1136" t="s">
        <v>537</v>
      </c>
      <c r="N1136" t="s">
        <v>10</v>
      </c>
      <c r="O1136" t="s">
        <v>0</v>
      </c>
      <c r="P1136" t="s">
        <v>147</v>
      </c>
      <c r="Q1136" s="5">
        <v>2</v>
      </c>
      <c r="R1136" s="4">
        <v>200</v>
      </c>
      <c r="S1136" s="5">
        <v>1</v>
      </c>
      <c r="T1136" s="4">
        <v>400</v>
      </c>
      <c r="U1136" s="5">
        <v>2</v>
      </c>
      <c r="V1136" s="4">
        <v>400</v>
      </c>
      <c r="W1136" s="5">
        <v>2</v>
      </c>
      <c r="X1136" s="4">
        <v>400</v>
      </c>
      <c r="Y1136" s="4">
        <f t="shared" si="34"/>
        <v>0</v>
      </c>
      <c r="Z1136" t="s">
        <v>0</v>
      </c>
      <c r="AA1136" t="s">
        <v>2</v>
      </c>
      <c r="AB1136" t="s">
        <v>12</v>
      </c>
      <c r="AC1136">
        <f>_xlfn.XLOOKUP(AB1136,'[1]GST Codes'!$A:$A,'[1]GST Codes'!$C:$C,0,0)</f>
        <v>18</v>
      </c>
      <c r="AD1136">
        <f t="shared" si="35"/>
        <v>0</v>
      </c>
      <c r="AE1136" t="s">
        <v>13</v>
      </c>
      <c r="AF1136" t="s">
        <v>0</v>
      </c>
      <c r="AG1136" t="s">
        <v>14</v>
      </c>
      <c r="AH1136" t="s">
        <v>15</v>
      </c>
      <c r="AI1136" t="s">
        <v>96</v>
      </c>
      <c r="AJ1136" t="s">
        <v>17</v>
      </c>
      <c r="AK1136" t="s">
        <v>18</v>
      </c>
      <c r="AL1136" t="s">
        <v>148</v>
      </c>
      <c r="AM1136" t="s">
        <v>508</v>
      </c>
      <c r="AN1136" t="s">
        <v>0</v>
      </c>
      <c r="AO1136" t="s">
        <v>0</v>
      </c>
      <c r="AP1136" t="s">
        <v>0</v>
      </c>
      <c r="AQ1136" s="5">
        <v>2</v>
      </c>
      <c r="AR1136" t="s">
        <v>147</v>
      </c>
      <c r="AS1136" t="s">
        <v>0</v>
      </c>
      <c r="AT1136" t="s">
        <v>17</v>
      </c>
      <c r="AU1136" s="4">
        <v>0</v>
      </c>
      <c r="AV1136" s="4">
        <v>0</v>
      </c>
      <c r="AW1136" s="4">
        <v>0</v>
      </c>
      <c r="AX1136" s="4">
        <v>0</v>
      </c>
      <c r="AY1136" s="5">
        <v>0</v>
      </c>
      <c r="AZ1136" s="5">
        <v>0</v>
      </c>
      <c r="BA1136" s="5">
        <v>0</v>
      </c>
      <c r="BB1136" s="2"/>
      <c r="BC1136" t="s">
        <v>0</v>
      </c>
      <c r="BD1136" s="5">
        <v>1</v>
      </c>
      <c r="BE1136" t="s">
        <v>0</v>
      </c>
      <c r="BF1136" t="s">
        <v>538</v>
      </c>
      <c r="BG1136" t="s">
        <v>17</v>
      </c>
      <c r="BH1136" t="s">
        <v>0</v>
      </c>
      <c r="BI1136" t="s">
        <v>147</v>
      </c>
      <c r="BJ1136" t="s">
        <v>0</v>
      </c>
      <c r="BK1136" t="s">
        <v>0</v>
      </c>
      <c r="BL1136" s="5">
        <v>0</v>
      </c>
      <c r="BM1136" t="s">
        <v>0</v>
      </c>
      <c r="BN1136" t="s">
        <v>0</v>
      </c>
      <c r="BO1136" t="s">
        <v>0</v>
      </c>
      <c r="BP1136" t="s">
        <v>17</v>
      </c>
      <c r="BQ1136" t="s">
        <v>0</v>
      </c>
      <c r="BR1136" t="s">
        <v>17</v>
      </c>
      <c r="BS1136" t="s">
        <v>17</v>
      </c>
      <c r="BT1136" t="s">
        <v>0</v>
      </c>
      <c r="BU1136" t="s">
        <v>0</v>
      </c>
      <c r="BV1136" t="s">
        <v>0</v>
      </c>
      <c r="BW1136" t="s">
        <v>0</v>
      </c>
      <c r="BX1136" t="s">
        <v>0</v>
      </c>
      <c r="BY1136" t="s">
        <v>0</v>
      </c>
      <c r="BZ1136" t="s">
        <v>0</v>
      </c>
      <c r="CA1136" t="s">
        <v>0</v>
      </c>
      <c r="CB1136" t="s">
        <v>0</v>
      </c>
    </row>
    <row r="1137" spans="1:80" x14ac:dyDescent="0.25">
      <c r="A1137" t="s">
        <v>504</v>
      </c>
      <c r="B1137" s="2">
        <v>46180</v>
      </c>
      <c r="C1137" s="2"/>
      <c r="D1137" s="2"/>
      <c r="E1137" t="s">
        <v>2</v>
      </c>
      <c r="F1137" t="s">
        <v>89</v>
      </c>
      <c r="G1137" t="s">
        <v>0</v>
      </c>
      <c r="H1137" t="s">
        <v>4</v>
      </c>
      <c r="I1137" t="s">
        <v>505</v>
      </c>
      <c r="J1137" t="s">
        <v>6</v>
      </c>
      <c r="K1137" t="s">
        <v>597</v>
      </c>
      <c r="L1137" t="s">
        <v>536</v>
      </c>
      <c r="M1137" t="s">
        <v>537</v>
      </c>
      <c r="N1137" t="s">
        <v>10</v>
      </c>
      <c r="O1137" t="s">
        <v>0</v>
      </c>
      <c r="P1137" t="s">
        <v>147</v>
      </c>
      <c r="Q1137" s="5">
        <v>2</v>
      </c>
      <c r="R1137" s="4">
        <v>344</v>
      </c>
      <c r="S1137" s="5">
        <v>1</v>
      </c>
      <c r="T1137" s="4">
        <v>688</v>
      </c>
      <c r="U1137" s="5">
        <v>2</v>
      </c>
      <c r="V1137" s="4">
        <v>688</v>
      </c>
      <c r="W1137" s="5">
        <v>2</v>
      </c>
      <c r="X1137" s="4">
        <v>688</v>
      </c>
      <c r="Y1137" s="4">
        <f t="shared" si="34"/>
        <v>0</v>
      </c>
      <c r="Z1137" t="s">
        <v>0</v>
      </c>
      <c r="AA1137" t="s">
        <v>2</v>
      </c>
      <c r="AB1137" t="s">
        <v>12</v>
      </c>
      <c r="AC1137">
        <f>_xlfn.XLOOKUP(AB1137,'[1]GST Codes'!$A:$A,'[1]GST Codes'!$C:$C,0,0)</f>
        <v>18</v>
      </c>
      <c r="AD1137">
        <f t="shared" si="35"/>
        <v>0</v>
      </c>
      <c r="AE1137" t="s">
        <v>13</v>
      </c>
      <c r="AF1137" t="s">
        <v>0</v>
      </c>
      <c r="AG1137" t="s">
        <v>14</v>
      </c>
      <c r="AH1137" t="s">
        <v>15</v>
      </c>
      <c r="AI1137" t="s">
        <v>96</v>
      </c>
      <c r="AJ1137" t="s">
        <v>17</v>
      </c>
      <c r="AK1137" t="s">
        <v>18</v>
      </c>
      <c r="AL1137" t="s">
        <v>148</v>
      </c>
      <c r="AM1137" t="s">
        <v>508</v>
      </c>
      <c r="AN1137" t="s">
        <v>0</v>
      </c>
      <c r="AO1137" t="s">
        <v>0</v>
      </c>
      <c r="AP1137" t="s">
        <v>0</v>
      </c>
      <c r="AQ1137" s="5">
        <v>2</v>
      </c>
      <c r="AR1137" t="s">
        <v>147</v>
      </c>
      <c r="AS1137" t="s">
        <v>0</v>
      </c>
      <c r="AT1137" t="s">
        <v>17</v>
      </c>
      <c r="AU1137" s="4">
        <v>0</v>
      </c>
      <c r="AV1137" s="4">
        <v>0</v>
      </c>
      <c r="AW1137" s="4">
        <v>0</v>
      </c>
      <c r="AX1137" s="4">
        <v>0</v>
      </c>
      <c r="AY1137" s="5">
        <v>0</v>
      </c>
      <c r="AZ1137" s="5">
        <v>0</v>
      </c>
      <c r="BA1137" s="5">
        <v>0</v>
      </c>
      <c r="BB1137" s="2"/>
      <c r="BC1137" t="s">
        <v>0</v>
      </c>
      <c r="BD1137" s="5">
        <v>1</v>
      </c>
      <c r="BE1137" t="s">
        <v>0</v>
      </c>
      <c r="BF1137" t="s">
        <v>538</v>
      </c>
      <c r="BG1137" t="s">
        <v>17</v>
      </c>
      <c r="BH1137" t="s">
        <v>0</v>
      </c>
      <c r="BI1137" t="s">
        <v>147</v>
      </c>
      <c r="BJ1137" t="s">
        <v>0</v>
      </c>
      <c r="BK1137" t="s">
        <v>0</v>
      </c>
      <c r="BL1137" s="5">
        <v>0</v>
      </c>
      <c r="BM1137" t="s">
        <v>0</v>
      </c>
      <c r="BN1137" t="s">
        <v>0</v>
      </c>
      <c r="BO1137" t="s">
        <v>0</v>
      </c>
      <c r="BP1137" t="s">
        <v>17</v>
      </c>
      <c r="BQ1137" t="s">
        <v>0</v>
      </c>
      <c r="BR1137" t="s">
        <v>17</v>
      </c>
      <c r="BS1137" t="s">
        <v>17</v>
      </c>
      <c r="BT1137" t="s">
        <v>0</v>
      </c>
      <c r="BU1137" t="s">
        <v>0</v>
      </c>
      <c r="BV1137" t="s">
        <v>0</v>
      </c>
      <c r="BW1137" t="s">
        <v>0</v>
      </c>
      <c r="BX1137" t="s">
        <v>0</v>
      </c>
      <c r="BY1137" t="s">
        <v>0</v>
      </c>
      <c r="BZ1137" t="s">
        <v>0</v>
      </c>
      <c r="CA1137" t="s">
        <v>0</v>
      </c>
      <c r="CB1137" t="s">
        <v>0</v>
      </c>
    </row>
    <row r="1138" spans="1:80" x14ac:dyDescent="0.25">
      <c r="A1138" t="s">
        <v>504</v>
      </c>
      <c r="B1138" s="2">
        <v>46180</v>
      </c>
      <c r="C1138" s="2"/>
      <c r="D1138" s="2"/>
      <c r="E1138" t="s">
        <v>2</v>
      </c>
      <c r="F1138" t="s">
        <v>89</v>
      </c>
      <c r="G1138" t="s">
        <v>0</v>
      </c>
      <c r="H1138" t="s">
        <v>4</v>
      </c>
      <c r="I1138" t="s">
        <v>505</v>
      </c>
      <c r="J1138" t="s">
        <v>6</v>
      </c>
      <c r="K1138" t="s">
        <v>598</v>
      </c>
      <c r="L1138" t="s">
        <v>559</v>
      </c>
      <c r="M1138" t="s">
        <v>560</v>
      </c>
      <c r="N1138" t="s">
        <v>10</v>
      </c>
      <c r="O1138" t="s">
        <v>0</v>
      </c>
      <c r="P1138" t="s">
        <v>147</v>
      </c>
      <c r="Q1138" s="5">
        <v>9</v>
      </c>
      <c r="R1138" s="4">
        <v>136</v>
      </c>
      <c r="S1138" s="5">
        <v>1</v>
      </c>
      <c r="T1138" s="4">
        <v>1224</v>
      </c>
      <c r="U1138" s="5">
        <v>9</v>
      </c>
      <c r="V1138" s="4">
        <v>1224</v>
      </c>
      <c r="W1138" s="5">
        <v>9</v>
      </c>
      <c r="X1138" s="4">
        <v>1224</v>
      </c>
      <c r="Y1138" s="4">
        <f t="shared" si="34"/>
        <v>0</v>
      </c>
      <c r="Z1138" t="s">
        <v>0</v>
      </c>
      <c r="AA1138" t="s">
        <v>2</v>
      </c>
      <c r="AB1138" t="s">
        <v>12</v>
      </c>
      <c r="AC1138">
        <f>_xlfn.XLOOKUP(AB1138,'[1]GST Codes'!$A:$A,'[1]GST Codes'!$C:$C,0,0)</f>
        <v>18</v>
      </c>
      <c r="AD1138">
        <f t="shared" si="35"/>
        <v>0</v>
      </c>
      <c r="AE1138" t="s">
        <v>13</v>
      </c>
      <c r="AF1138" t="s">
        <v>0</v>
      </c>
      <c r="AG1138" t="s">
        <v>14</v>
      </c>
      <c r="AH1138" t="s">
        <v>15</v>
      </c>
      <c r="AI1138" t="s">
        <v>96</v>
      </c>
      <c r="AJ1138" t="s">
        <v>17</v>
      </c>
      <c r="AK1138" t="s">
        <v>18</v>
      </c>
      <c r="AL1138" t="s">
        <v>148</v>
      </c>
      <c r="AM1138" t="s">
        <v>508</v>
      </c>
      <c r="AN1138" t="s">
        <v>0</v>
      </c>
      <c r="AO1138" t="s">
        <v>0</v>
      </c>
      <c r="AP1138" t="s">
        <v>0</v>
      </c>
      <c r="AQ1138" s="5">
        <v>9</v>
      </c>
      <c r="AR1138" t="s">
        <v>147</v>
      </c>
      <c r="AS1138" t="s">
        <v>0</v>
      </c>
      <c r="AT1138" t="s">
        <v>17</v>
      </c>
      <c r="AU1138" s="4">
        <v>0</v>
      </c>
      <c r="AV1138" s="4">
        <v>0</v>
      </c>
      <c r="AW1138" s="4">
        <v>0</v>
      </c>
      <c r="AX1138" s="4">
        <v>0</v>
      </c>
      <c r="AY1138" s="5">
        <v>0</v>
      </c>
      <c r="AZ1138" s="5">
        <v>0</v>
      </c>
      <c r="BA1138" s="5">
        <v>0</v>
      </c>
      <c r="BB1138" s="2"/>
      <c r="BC1138" t="s">
        <v>0</v>
      </c>
      <c r="BD1138" s="5">
        <v>1</v>
      </c>
      <c r="BE1138" t="s">
        <v>0</v>
      </c>
      <c r="BF1138" t="s">
        <v>561</v>
      </c>
      <c r="BG1138" t="s">
        <v>17</v>
      </c>
      <c r="BH1138" t="s">
        <v>0</v>
      </c>
      <c r="BI1138" t="s">
        <v>147</v>
      </c>
      <c r="BJ1138" t="s">
        <v>0</v>
      </c>
      <c r="BK1138" t="s">
        <v>0</v>
      </c>
      <c r="BL1138" s="5">
        <v>0</v>
      </c>
      <c r="BM1138" t="s">
        <v>0</v>
      </c>
      <c r="BN1138" t="s">
        <v>0</v>
      </c>
      <c r="BO1138" t="s">
        <v>0</v>
      </c>
      <c r="BP1138" t="s">
        <v>17</v>
      </c>
      <c r="BQ1138" t="s">
        <v>0</v>
      </c>
      <c r="BR1138" t="s">
        <v>17</v>
      </c>
      <c r="BS1138" t="s">
        <v>17</v>
      </c>
      <c r="BT1138" t="s">
        <v>0</v>
      </c>
      <c r="BU1138" t="s">
        <v>0</v>
      </c>
      <c r="BV1138" t="s">
        <v>0</v>
      </c>
      <c r="BW1138" t="s">
        <v>0</v>
      </c>
      <c r="BX1138" t="s">
        <v>0</v>
      </c>
      <c r="BY1138" t="s">
        <v>0</v>
      </c>
      <c r="BZ1138" t="s">
        <v>0</v>
      </c>
      <c r="CA1138" t="s">
        <v>0</v>
      </c>
      <c r="CB1138" t="s">
        <v>0</v>
      </c>
    </row>
    <row r="1139" spans="1:80" x14ac:dyDescent="0.25">
      <c r="A1139" t="s">
        <v>504</v>
      </c>
      <c r="B1139" s="2">
        <v>46180</v>
      </c>
      <c r="C1139" s="2"/>
      <c r="D1139" s="2"/>
      <c r="E1139" t="s">
        <v>2</v>
      </c>
      <c r="F1139" t="s">
        <v>89</v>
      </c>
      <c r="G1139" t="s">
        <v>0</v>
      </c>
      <c r="H1139" t="s">
        <v>4</v>
      </c>
      <c r="I1139" t="s">
        <v>505</v>
      </c>
      <c r="J1139" t="s">
        <v>6</v>
      </c>
      <c r="K1139" t="s">
        <v>599</v>
      </c>
      <c r="L1139" t="s">
        <v>542</v>
      </c>
      <c r="M1139" t="s">
        <v>543</v>
      </c>
      <c r="N1139" t="s">
        <v>10</v>
      </c>
      <c r="O1139" t="s">
        <v>0</v>
      </c>
      <c r="P1139" t="s">
        <v>147</v>
      </c>
      <c r="Q1139" s="5">
        <v>6</v>
      </c>
      <c r="R1139" s="4">
        <v>191</v>
      </c>
      <c r="S1139" s="5">
        <v>1</v>
      </c>
      <c r="T1139" s="4">
        <v>1146</v>
      </c>
      <c r="U1139" s="5">
        <v>6</v>
      </c>
      <c r="V1139" s="4">
        <v>1146</v>
      </c>
      <c r="W1139" s="5">
        <v>6</v>
      </c>
      <c r="X1139" s="4">
        <v>1146</v>
      </c>
      <c r="Y1139" s="4">
        <f t="shared" si="34"/>
        <v>0</v>
      </c>
      <c r="Z1139" t="s">
        <v>0</v>
      </c>
      <c r="AA1139" t="s">
        <v>2</v>
      </c>
      <c r="AB1139" t="s">
        <v>12</v>
      </c>
      <c r="AC1139">
        <f>_xlfn.XLOOKUP(AB1139,'[1]GST Codes'!$A:$A,'[1]GST Codes'!$C:$C,0,0)</f>
        <v>18</v>
      </c>
      <c r="AD1139">
        <f t="shared" si="35"/>
        <v>0</v>
      </c>
      <c r="AE1139" t="s">
        <v>13</v>
      </c>
      <c r="AF1139" t="s">
        <v>0</v>
      </c>
      <c r="AG1139" t="s">
        <v>14</v>
      </c>
      <c r="AH1139" t="s">
        <v>15</v>
      </c>
      <c r="AI1139" t="s">
        <v>96</v>
      </c>
      <c r="AJ1139" t="s">
        <v>17</v>
      </c>
      <c r="AK1139" t="s">
        <v>18</v>
      </c>
      <c r="AL1139" t="s">
        <v>148</v>
      </c>
      <c r="AM1139" t="s">
        <v>508</v>
      </c>
      <c r="AN1139" t="s">
        <v>0</v>
      </c>
      <c r="AO1139" t="s">
        <v>0</v>
      </c>
      <c r="AP1139" t="s">
        <v>0</v>
      </c>
      <c r="AQ1139" s="5">
        <v>6</v>
      </c>
      <c r="AR1139" t="s">
        <v>147</v>
      </c>
      <c r="AS1139" t="s">
        <v>0</v>
      </c>
      <c r="AT1139" t="s">
        <v>17</v>
      </c>
      <c r="AU1139" s="4">
        <v>0</v>
      </c>
      <c r="AV1139" s="4">
        <v>0</v>
      </c>
      <c r="AW1139" s="4">
        <v>0</v>
      </c>
      <c r="AX1139" s="4">
        <v>0</v>
      </c>
      <c r="AY1139" s="5">
        <v>0</v>
      </c>
      <c r="AZ1139" s="5">
        <v>0</v>
      </c>
      <c r="BA1139" s="5">
        <v>0</v>
      </c>
      <c r="BB1139" s="2"/>
      <c r="BC1139" t="s">
        <v>0</v>
      </c>
      <c r="BD1139" s="5">
        <v>1</v>
      </c>
      <c r="BE1139" t="s">
        <v>0</v>
      </c>
      <c r="BF1139" t="s">
        <v>544</v>
      </c>
      <c r="BG1139" t="s">
        <v>17</v>
      </c>
      <c r="BH1139" t="s">
        <v>0</v>
      </c>
      <c r="BI1139" t="s">
        <v>147</v>
      </c>
      <c r="BJ1139" t="s">
        <v>0</v>
      </c>
      <c r="BK1139" t="s">
        <v>0</v>
      </c>
      <c r="BL1139" s="5">
        <v>0</v>
      </c>
      <c r="BM1139" t="s">
        <v>0</v>
      </c>
      <c r="BN1139" t="s">
        <v>0</v>
      </c>
      <c r="BO1139" t="s">
        <v>0</v>
      </c>
      <c r="BP1139" t="s">
        <v>17</v>
      </c>
      <c r="BQ1139" t="s">
        <v>0</v>
      </c>
      <c r="BR1139" t="s">
        <v>17</v>
      </c>
      <c r="BS1139" t="s">
        <v>17</v>
      </c>
      <c r="BT1139" t="s">
        <v>0</v>
      </c>
      <c r="BU1139" t="s">
        <v>0</v>
      </c>
      <c r="BV1139" t="s">
        <v>0</v>
      </c>
      <c r="BW1139" t="s">
        <v>0</v>
      </c>
      <c r="BX1139" t="s">
        <v>0</v>
      </c>
      <c r="BY1139" t="s">
        <v>0</v>
      </c>
      <c r="BZ1139" t="s">
        <v>0</v>
      </c>
      <c r="CA1139" t="s">
        <v>0</v>
      </c>
      <c r="CB1139" t="s">
        <v>0</v>
      </c>
    </row>
    <row r="1140" spans="1:80" x14ac:dyDescent="0.25">
      <c r="A1140" t="s">
        <v>504</v>
      </c>
      <c r="B1140" s="2">
        <v>46180</v>
      </c>
      <c r="C1140" s="2"/>
      <c r="D1140" s="2"/>
      <c r="E1140" t="s">
        <v>2</v>
      </c>
      <c r="F1140" t="s">
        <v>89</v>
      </c>
      <c r="G1140" t="s">
        <v>0</v>
      </c>
      <c r="H1140" t="s">
        <v>4</v>
      </c>
      <c r="I1140" t="s">
        <v>505</v>
      </c>
      <c r="J1140" t="s">
        <v>6</v>
      </c>
      <c r="K1140" t="s">
        <v>600</v>
      </c>
      <c r="L1140" t="s">
        <v>182</v>
      </c>
      <c r="M1140" t="s">
        <v>183</v>
      </c>
      <c r="N1140" t="s">
        <v>10</v>
      </c>
      <c r="O1140" t="s">
        <v>0</v>
      </c>
      <c r="P1140" t="s">
        <v>147</v>
      </c>
      <c r="Q1140" s="5">
        <v>2</v>
      </c>
      <c r="R1140" s="4">
        <v>217</v>
      </c>
      <c r="S1140" s="5">
        <v>1</v>
      </c>
      <c r="T1140" s="4">
        <v>434</v>
      </c>
      <c r="U1140" s="5">
        <v>2</v>
      </c>
      <c r="V1140" s="4">
        <v>434</v>
      </c>
      <c r="W1140" s="5">
        <v>2</v>
      </c>
      <c r="X1140" s="4">
        <v>434</v>
      </c>
      <c r="Y1140" s="4">
        <f t="shared" si="34"/>
        <v>0</v>
      </c>
      <c r="Z1140" t="s">
        <v>0</v>
      </c>
      <c r="AA1140" t="s">
        <v>2</v>
      </c>
      <c r="AB1140" t="s">
        <v>12</v>
      </c>
      <c r="AC1140">
        <f>_xlfn.XLOOKUP(AB1140,'[1]GST Codes'!$A:$A,'[1]GST Codes'!$C:$C,0,0)</f>
        <v>18</v>
      </c>
      <c r="AD1140">
        <f t="shared" si="35"/>
        <v>0</v>
      </c>
      <c r="AE1140" t="s">
        <v>13</v>
      </c>
      <c r="AF1140" t="s">
        <v>0</v>
      </c>
      <c r="AG1140" t="s">
        <v>14</v>
      </c>
      <c r="AH1140" t="s">
        <v>15</v>
      </c>
      <c r="AI1140" t="s">
        <v>96</v>
      </c>
      <c r="AJ1140" t="s">
        <v>17</v>
      </c>
      <c r="AK1140" t="s">
        <v>18</v>
      </c>
      <c r="AL1140" t="s">
        <v>148</v>
      </c>
      <c r="AM1140" t="s">
        <v>508</v>
      </c>
      <c r="AN1140" t="s">
        <v>0</v>
      </c>
      <c r="AO1140" t="s">
        <v>0</v>
      </c>
      <c r="AP1140" t="s">
        <v>0</v>
      </c>
      <c r="AQ1140" s="5">
        <v>2</v>
      </c>
      <c r="AR1140" t="s">
        <v>147</v>
      </c>
      <c r="AS1140" t="s">
        <v>0</v>
      </c>
      <c r="AT1140" t="s">
        <v>17</v>
      </c>
      <c r="AU1140" s="4">
        <v>0</v>
      </c>
      <c r="AV1140" s="4">
        <v>0</v>
      </c>
      <c r="AW1140" s="4">
        <v>0</v>
      </c>
      <c r="AX1140" s="4">
        <v>0</v>
      </c>
      <c r="AY1140" s="5">
        <v>0</v>
      </c>
      <c r="AZ1140" s="5">
        <v>0</v>
      </c>
      <c r="BA1140" s="5">
        <v>0</v>
      </c>
      <c r="BB1140" s="2"/>
      <c r="BC1140" t="s">
        <v>0</v>
      </c>
      <c r="BD1140" s="5">
        <v>1</v>
      </c>
      <c r="BE1140" t="s">
        <v>0</v>
      </c>
      <c r="BF1140" t="s">
        <v>524</v>
      </c>
      <c r="BG1140" t="s">
        <v>17</v>
      </c>
      <c r="BH1140" t="s">
        <v>0</v>
      </c>
      <c r="BI1140" t="s">
        <v>147</v>
      </c>
      <c r="BJ1140" t="s">
        <v>0</v>
      </c>
      <c r="BK1140" t="s">
        <v>0</v>
      </c>
      <c r="BL1140" s="5">
        <v>0</v>
      </c>
      <c r="BM1140" t="s">
        <v>0</v>
      </c>
      <c r="BN1140" t="s">
        <v>0</v>
      </c>
      <c r="BO1140" t="s">
        <v>0</v>
      </c>
      <c r="BP1140" t="s">
        <v>17</v>
      </c>
      <c r="BQ1140" t="s">
        <v>0</v>
      </c>
      <c r="BR1140" t="s">
        <v>17</v>
      </c>
      <c r="BS1140" t="s">
        <v>17</v>
      </c>
      <c r="BT1140" t="s">
        <v>0</v>
      </c>
      <c r="BU1140" t="s">
        <v>0</v>
      </c>
      <c r="BV1140" t="s">
        <v>0</v>
      </c>
      <c r="BW1140" t="s">
        <v>0</v>
      </c>
      <c r="BX1140" t="s">
        <v>0</v>
      </c>
      <c r="BY1140" t="s">
        <v>0</v>
      </c>
      <c r="BZ1140" t="s">
        <v>0</v>
      </c>
      <c r="CA1140" t="s">
        <v>0</v>
      </c>
      <c r="CB1140" t="s">
        <v>0</v>
      </c>
    </row>
    <row r="1141" spans="1:80" x14ac:dyDescent="0.25">
      <c r="A1141" t="s">
        <v>504</v>
      </c>
      <c r="B1141" s="2">
        <v>46180</v>
      </c>
      <c r="C1141" s="2"/>
      <c r="D1141" s="2"/>
      <c r="E1141" t="s">
        <v>2</v>
      </c>
      <c r="F1141" t="s">
        <v>89</v>
      </c>
      <c r="G1141" t="s">
        <v>0</v>
      </c>
      <c r="H1141" t="s">
        <v>4</v>
      </c>
      <c r="I1141" t="s">
        <v>505</v>
      </c>
      <c r="J1141" t="s">
        <v>6</v>
      </c>
      <c r="K1141" t="s">
        <v>601</v>
      </c>
      <c r="L1141" t="s">
        <v>525</v>
      </c>
      <c r="M1141" t="s">
        <v>526</v>
      </c>
      <c r="N1141" t="s">
        <v>10</v>
      </c>
      <c r="O1141" t="s">
        <v>0</v>
      </c>
      <c r="P1141" t="s">
        <v>147</v>
      </c>
      <c r="Q1141" s="5">
        <v>2</v>
      </c>
      <c r="R1141" s="4">
        <v>387</v>
      </c>
      <c r="S1141" s="5">
        <v>1</v>
      </c>
      <c r="T1141" s="4">
        <v>774</v>
      </c>
      <c r="U1141" s="5">
        <v>2</v>
      </c>
      <c r="V1141" s="4">
        <v>774</v>
      </c>
      <c r="W1141" s="5">
        <v>2</v>
      </c>
      <c r="X1141" s="4">
        <v>774</v>
      </c>
      <c r="Y1141" s="4">
        <f t="shared" si="34"/>
        <v>0</v>
      </c>
      <c r="Z1141" t="s">
        <v>0</v>
      </c>
      <c r="AA1141" t="s">
        <v>2</v>
      </c>
      <c r="AB1141" t="s">
        <v>12</v>
      </c>
      <c r="AC1141">
        <f>_xlfn.XLOOKUP(AB1141,'[1]GST Codes'!$A:$A,'[1]GST Codes'!$C:$C,0,0)</f>
        <v>18</v>
      </c>
      <c r="AD1141">
        <f t="shared" si="35"/>
        <v>0</v>
      </c>
      <c r="AE1141" t="s">
        <v>13</v>
      </c>
      <c r="AF1141" t="s">
        <v>0</v>
      </c>
      <c r="AG1141" t="s">
        <v>14</v>
      </c>
      <c r="AH1141" t="s">
        <v>15</v>
      </c>
      <c r="AI1141" t="s">
        <v>96</v>
      </c>
      <c r="AJ1141" t="s">
        <v>17</v>
      </c>
      <c r="AK1141" t="s">
        <v>18</v>
      </c>
      <c r="AL1141" t="s">
        <v>148</v>
      </c>
      <c r="AM1141" t="s">
        <v>508</v>
      </c>
      <c r="AN1141" t="s">
        <v>0</v>
      </c>
      <c r="AO1141" t="s">
        <v>0</v>
      </c>
      <c r="AP1141" t="s">
        <v>0</v>
      </c>
      <c r="AQ1141" s="5">
        <v>2</v>
      </c>
      <c r="AR1141" t="s">
        <v>147</v>
      </c>
      <c r="AS1141" t="s">
        <v>0</v>
      </c>
      <c r="AT1141" t="s">
        <v>17</v>
      </c>
      <c r="AU1141" s="4">
        <v>0</v>
      </c>
      <c r="AV1141" s="4">
        <v>0</v>
      </c>
      <c r="AW1141" s="4">
        <v>0</v>
      </c>
      <c r="AX1141" s="4">
        <v>0</v>
      </c>
      <c r="AY1141" s="5">
        <v>0</v>
      </c>
      <c r="AZ1141" s="5">
        <v>0</v>
      </c>
      <c r="BA1141" s="5">
        <v>0</v>
      </c>
      <c r="BB1141" s="2"/>
      <c r="BC1141" t="s">
        <v>0</v>
      </c>
      <c r="BD1141" s="5">
        <v>1</v>
      </c>
      <c r="BE1141" t="s">
        <v>0</v>
      </c>
      <c r="BF1141" t="s">
        <v>527</v>
      </c>
      <c r="BG1141" t="s">
        <v>17</v>
      </c>
      <c r="BH1141" t="s">
        <v>0</v>
      </c>
      <c r="BI1141" t="s">
        <v>147</v>
      </c>
      <c r="BJ1141" t="s">
        <v>0</v>
      </c>
      <c r="BK1141" t="s">
        <v>0</v>
      </c>
      <c r="BL1141" s="5">
        <v>0</v>
      </c>
      <c r="BM1141" t="s">
        <v>0</v>
      </c>
      <c r="BN1141" t="s">
        <v>0</v>
      </c>
      <c r="BO1141" t="s">
        <v>0</v>
      </c>
      <c r="BP1141" t="s">
        <v>17</v>
      </c>
      <c r="BQ1141" t="s">
        <v>0</v>
      </c>
      <c r="BR1141" t="s">
        <v>17</v>
      </c>
      <c r="BS1141" t="s">
        <v>17</v>
      </c>
      <c r="BT1141" t="s">
        <v>0</v>
      </c>
      <c r="BU1141" t="s">
        <v>0</v>
      </c>
      <c r="BV1141" t="s">
        <v>0</v>
      </c>
      <c r="BW1141" t="s">
        <v>0</v>
      </c>
      <c r="BX1141" t="s">
        <v>0</v>
      </c>
      <c r="BY1141" t="s">
        <v>0</v>
      </c>
      <c r="BZ1141" t="s">
        <v>0</v>
      </c>
      <c r="CA1141" t="s">
        <v>0</v>
      </c>
      <c r="CB1141" t="s">
        <v>0</v>
      </c>
    </row>
    <row r="1142" spans="1:80" x14ac:dyDescent="0.25">
      <c r="A1142" t="s">
        <v>504</v>
      </c>
      <c r="B1142" s="2">
        <v>46180</v>
      </c>
      <c r="C1142" s="2"/>
      <c r="D1142" s="2"/>
      <c r="E1142" t="s">
        <v>2</v>
      </c>
      <c r="F1142" t="s">
        <v>89</v>
      </c>
      <c r="G1142" t="s">
        <v>0</v>
      </c>
      <c r="H1142" t="s">
        <v>4</v>
      </c>
      <c r="I1142" t="s">
        <v>505</v>
      </c>
      <c r="J1142" t="s">
        <v>6</v>
      </c>
      <c r="K1142" t="s">
        <v>602</v>
      </c>
      <c r="L1142" t="s">
        <v>194</v>
      </c>
      <c r="M1142" t="s">
        <v>195</v>
      </c>
      <c r="N1142" t="s">
        <v>10</v>
      </c>
      <c r="O1142" t="s">
        <v>0</v>
      </c>
      <c r="P1142" t="s">
        <v>147</v>
      </c>
      <c r="Q1142" s="5">
        <v>3</v>
      </c>
      <c r="R1142" s="4">
        <v>39</v>
      </c>
      <c r="S1142" s="5">
        <v>1</v>
      </c>
      <c r="T1142" s="4">
        <v>117</v>
      </c>
      <c r="U1142" s="5">
        <v>3</v>
      </c>
      <c r="V1142" s="4">
        <v>117</v>
      </c>
      <c r="W1142" s="5">
        <v>3</v>
      </c>
      <c r="X1142" s="4">
        <v>117</v>
      </c>
      <c r="Y1142" s="4">
        <f t="shared" si="34"/>
        <v>0</v>
      </c>
      <c r="Z1142" t="s">
        <v>0</v>
      </c>
      <c r="AA1142" t="s">
        <v>2</v>
      </c>
      <c r="AB1142" t="s">
        <v>12</v>
      </c>
      <c r="AC1142">
        <f>_xlfn.XLOOKUP(AB1142,'[1]GST Codes'!$A:$A,'[1]GST Codes'!$C:$C,0,0)</f>
        <v>18</v>
      </c>
      <c r="AD1142">
        <f t="shared" si="35"/>
        <v>0</v>
      </c>
      <c r="AE1142" t="s">
        <v>13</v>
      </c>
      <c r="AF1142" t="s">
        <v>0</v>
      </c>
      <c r="AG1142" t="s">
        <v>14</v>
      </c>
      <c r="AH1142" t="s">
        <v>15</v>
      </c>
      <c r="AI1142" t="s">
        <v>96</v>
      </c>
      <c r="AJ1142" t="s">
        <v>17</v>
      </c>
      <c r="AK1142" t="s">
        <v>18</v>
      </c>
      <c r="AL1142" t="s">
        <v>148</v>
      </c>
      <c r="AM1142" t="s">
        <v>508</v>
      </c>
      <c r="AN1142" t="s">
        <v>0</v>
      </c>
      <c r="AO1142" t="s">
        <v>0</v>
      </c>
      <c r="AP1142" t="s">
        <v>0</v>
      </c>
      <c r="AQ1142" s="5">
        <v>3</v>
      </c>
      <c r="AR1142" t="s">
        <v>147</v>
      </c>
      <c r="AS1142" t="s">
        <v>0</v>
      </c>
      <c r="AT1142" t="s">
        <v>17</v>
      </c>
      <c r="AU1142" s="4">
        <v>0</v>
      </c>
      <c r="AV1142" s="4">
        <v>0</v>
      </c>
      <c r="AW1142" s="4">
        <v>0</v>
      </c>
      <c r="AX1142" s="4">
        <v>0</v>
      </c>
      <c r="AY1142" s="5">
        <v>0</v>
      </c>
      <c r="AZ1142" s="5">
        <v>0</v>
      </c>
      <c r="BA1142" s="5">
        <v>0</v>
      </c>
      <c r="BB1142" s="2"/>
      <c r="BC1142" t="s">
        <v>0</v>
      </c>
      <c r="BD1142" s="5">
        <v>1</v>
      </c>
      <c r="BE1142" t="s">
        <v>0</v>
      </c>
      <c r="BF1142" t="s">
        <v>550</v>
      </c>
      <c r="BG1142" t="s">
        <v>17</v>
      </c>
      <c r="BH1142" t="s">
        <v>0</v>
      </c>
      <c r="BI1142" t="s">
        <v>147</v>
      </c>
      <c r="BJ1142" t="s">
        <v>0</v>
      </c>
      <c r="BK1142" t="s">
        <v>0</v>
      </c>
      <c r="BL1142" s="5">
        <v>0</v>
      </c>
      <c r="BM1142" t="s">
        <v>0</v>
      </c>
      <c r="BN1142" t="s">
        <v>0</v>
      </c>
      <c r="BO1142" t="s">
        <v>0</v>
      </c>
      <c r="BP1142" t="s">
        <v>17</v>
      </c>
      <c r="BQ1142" t="s">
        <v>0</v>
      </c>
      <c r="BR1142" t="s">
        <v>17</v>
      </c>
      <c r="BS1142" t="s">
        <v>17</v>
      </c>
      <c r="BT1142" t="s">
        <v>0</v>
      </c>
      <c r="BU1142" t="s">
        <v>0</v>
      </c>
      <c r="BV1142" t="s">
        <v>0</v>
      </c>
      <c r="BW1142" t="s">
        <v>0</v>
      </c>
      <c r="BX1142" t="s">
        <v>0</v>
      </c>
      <c r="BY1142" t="s">
        <v>0</v>
      </c>
      <c r="BZ1142" t="s">
        <v>0</v>
      </c>
      <c r="CA1142" t="s">
        <v>0</v>
      </c>
      <c r="CB1142" t="s">
        <v>0</v>
      </c>
    </row>
    <row r="1143" spans="1:80" x14ac:dyDescent="0.25">
      <c r="A1143" t="s">
        <v>504</v>
      </c>
      <c r="B1143" s="2">
        <v>46180</v>
      </c>
      <c r="C1143" s="2"/>
      <c r="D1143" s="2"/>
      <c r="E1143" t="s">
        <v>2</v>
      </c>
      <c r="F1143" t="s">
        <v>89</v>
      </c>
      <c r="G1143" t="s">
        <v>0</v>
      </c>
      <c r="H1143" t="s">
        <v>4</v>
      </c>
      <c r="I1143" t="s">
        <v>505</v>
      </c>
      <c r="J1143" t="s">
        <v>6</v>
      </c>
      <c r="K1143" t="s">
        <v>603</v>
      </c>
      <c r="L1143" t="s">
        <v>210</v>
      </c>
      <c r="M1143" t="s">
        <v>564</v>
      </c>
      <c r="N1143" t="s">
        <v>10</v>
      </c>
      <c r="O1143" t="s">
        <v>0</v>
      </c>
      <c r="P1143" t="s">
        <v>147</v>
      </c>
      <c r="Q1143" s="5">
        <v>1</v>
      </c>
      <c r="R1143" s="4">
        <v>205</v>
      </c>
      <c r="S1143" s="5">
        <v>1</v>
      </c>
      <c r="T1143" s="4">
        <v>205</v>
      </c>
      <c r="U1143" s="5">
        <v>1</v>
      </c>
      <c r="V1143" s="4">
        <v>205</v>
      </c>
      <c r="W1143" s="5">
        <v>1</v>
      </c>
      <c r="X1143" s="4">
        <v>205</v>
      </c>
      <c r="Y1143" s="4">
        <f t="shared" si="34"/>
        <v>0</v>
      </c>
      <c r="Z1143" t="s">
        <v>0</v>
      </c>
      <c r="AA1143" t="s">
        <v>2</v>
      </c>
      <c r="AB1143" t="s">
        <v>12</v>
      </c>
      <c r="AC1143">
        <f>_xlfn.XLOOKUP(AB1143,'[1]GST Codes'!$A:$A,'[1]GST Codes'!$C:$C,0,0)</f>
        <v>18</v>
      </c>
      <c r="AD1143">
        <f t="shared" si="35"/>
        <v>0</v>
      </c>
      <c r="AE1143" t="s">
        <v>13</v>
      </c>
      <c r="AF1143" t="s">
        <v>0</v>
      </c>
      <c r="AG1143" t="s">
        <v>14</v>
      </c>
      <c r="AH1143" t="s">
        <v>15</v>
      </c>
      <c r="AI1143" t="s">
        <v>96</v>
      </c>
      <c r="AJ1143" t="s">
        <v>17</v>
      </c>
      <c r="AK1143" t="s">
        <v>18</v>
      </c>
      <c r="AL1143" t="s">
        <v>148</v>
      </c>
      <c r="AM1143" t="s">
        <v>508</v>
      </c>
      <c r="AN1143" t="s">
        <v>0</v>
      </c>
      <c r="AO1143" t="s">
        <v>0</v>
      </c>
      <c r="AP1143" t="s">
        <v>0</v>
      </c>
      <c r="AQ1143" s="5">
        <v>1</v>
      </c>
      <c r="AR1143" t="s">
        <v>147</v>
      </c>
      <c r="AS1143" t="s">
        <v>0</v>
      </c>
      <c r="AT1143" t="s">
        <v>17</v>
      </c>
      <c r="AU1143" s="4">
        <v>0</v>
      </c>
      <c r="AV1143" s="4">
        <v>0</v>
      </c>
      <c r="AW1143" s="4">
        <v>0</v>
      </c>
      <c r="AX1143" s="4">
        <v>0</v>
      </c>
      <c r="AY1143" s="5">
        <v>0</v>
      </c>
      <c r="AZ1143" s="5">
        <v>0</v>
      </c>
      <c r="BA1143" s="5">
        <v>0</v>
      </c>
      <c r="BB1143" s="2"/>
      <c r="BC1143" t="s">
        <v>0</v>
      </c>
      <c r="BD1143" s="5">
        <v>1</v>
      </c>
      <c r="BE1143" t="s">
        <v>0</v>
      </c>
      <c r="BF1143" t="s">
        <v>565</v>
      </c>
      <c r="BG1143" t="s">
        <v>17</v>
      </c>
      <c r="BH1143" t="s">
        <v>0</v>
      </c>
      <c r="BI1143" t="s">
        <v>147</v>
      </c>
      <c r="BJ1143" t="s">
        <v>0</v>
      </c>
      <c r="BK1143" t="s">
        <v>0</v>
      </c>
      <c r="BL1143" s="5">
        <v>0</v>
      </c>
      <c r="BM1143" t="s">
        <v>0</v>
      </c>
      <c r="BN1143" t="s">
        <v>0</v>
      </c>
      <c r="BO1143" t="s">
        <v>0</v>
      </c>
      <c r="BP1143" t="s">
        <v>17</v>
      </c>
      <c r="BQ1143" t="s">
        <v>0</v>
      </c>
      <c r="BR1143" t="s">
        <v>17</v>
      </c>
      <c r="BS1143" t="s">
        <v>17</v>
      </c>
      <c r="BT1143" t="s">
        <v>0</v>
      </c>
      <c r="BU1143" t="s">
        <v>0</v>
      </c>
      <c r="BV1143" t="s">
        <v>0</v>
      </c>
      <c r="BW1143" t="s">
        <v>0</v>
      </c>
      <c r="BX1143" t="s">
        <v>0</v>
      </c>
      <c r="BY1143" t="s">
        <v>0</v>
      </c>
      <c r="BZ1143" t="s">
        <v>0</v>
      </c>
      <c r="CA1143" t="s">
        <v>0</v>
      </c>
      <c r="CB1143" t="s">
        <v>0</v>
      </c>
    </row>
    <row r="1144" spans="1:80" x14ac:dyDescent="0.25">
      <c r="A1144" t="s">
        <v>504</v>
      </c>
      <c r="B1144" s="2">
        <v>46180</v>
      </c>
      <c r="C1144" s="2"/>
      <c r="D1144" s="2"/>
      <c r="E1144" t="s">
        <v>2</v>
      </c>
      <c r="F1144" t="s">
        <v>89</v>
      </c>
      <c r="G1144" t="s">
        <v>0</v>
      </c>
      <c r="H1144" t="s">
        <v>4</v>
      </c>
      <c r="I1144" t="s">
        <v>505</v>
      </c>
      <c r="J1144" t="s">
        <v>6</v>
      </c>
      <c r="K1144" t="s">
        <v>604</v>
      </c>
      <c r="L1144" t="s">
        <v>536</v>
      </c>
      <c r="M1144" t="s">
        <v>537</v>
      </c>
      <c r="N1144" t="s">
        <v>10</v>
      </c>
      <c r="O1144" t="s">
        <v>0</v>
      </c>
      <c r="P1144" t="s">
        <v>147</v>
      </c>
      <c r="Q1144" s="5">
        <v>2</v>
      </c>
      <c r="R1144" s="4">
        <v>246</v>
      </c>
      <c r="S1144" s="5">
        <v>1</v>
      </c>
      <c r="T1144" s="4">
        <v>492</v>
      </c>
      <c r="U1144" s="5">
        <v>2</v>
      </c>
      <c r="V1144" s="4">
        <v>492</v>
      </c>
      <c r="W1144" s="5">
        <v>2</v>
      </c>
      <c r="X1144" s="4">
        <v>492</v>
      </c>
      <c r="Y1144" s="4">
        <f t="shared" si="34"/>
        <v>0</v>
      </c>
      <c r="Z1144" t="s">
        <v>0</v>
      </c>
      <c r="AA1144" t="s">
        <v>2</v>
      </c>
      <c r="AB1144" t="s">
        <v>12</v>
      </c>
      <c r="AC1144">
        <f>_xlfn.XLOOKUP(AB1144,'[1]GST Codes'!$A:$A,'[1]GST Codes'!$C:$C,0,0)</f>
        <v>18</v>
      </c>
      <c r="AD1144">
        <f t="shared" si="35"/>
        <v>0</v>
      </c>
      <c r="AE1144" t="s">
        <v>13</v>
      </c>
      <c r="AF1144" t="s">
        <v>0</v>
      </c>
      <c r="AG1144" t="s">
        <v>14</v>
      </c>
      <c r="AH1144" t="s">
        <v>15</v>
      </c>
      <c r="AI1144" t="s">
        <v>96</v>
      </c>
      <c r="AJ1144" t="s">
        <v>17</v>
      </c>
      <c r="AK1144" t="s">
        <v>18</v>
      </c>
      <c r="AL1144" t="s">
        <v>148</v>
      </c>
      <c r="AM1144" t="s">
        <v>508</v>
      </c>
      <c r="AN1144" t="s">
        <v>0</v>
      </c>
      <c r="AO1144" t="s">
        <v>0</v>
      </c>
      <c r="AP1144" t="s">
        <v>0</v>
      </c>
      <c r="AQ1144" s="5">
        <v>2</v>
      </c>
      <c r="AR1144" t="s">
        <v>147</v>
      </c>
      <c r="AS1144" t="s">
        <v>0</v>
      </c>
      <c r="AT1144" t="s">
        <v>17</v>
      </c>
      <c r="AU1144" s="4">
        <v>0</v>
      </c>
      <c r="AV1144" s="4">
        <v>0</v>
      </c>
      <c r="AW1144" s="4">
        <v>0</v>
      </c>
      <c r="AX1144" s="4">
        <v>0</v>
      </c>
      <c r="AY1144" s="5">
        <v>0</v>
      </c>
      <c r="AZ1144" s="5">
        <v>0</v>
      </c>
      <c r="BA1144" s="5">
        <v>0</v>
      </c>
      <c r="BB1144" s="2"/>
      <c r="BC1144" t="s">
        <v>0</v>
      </c>
      <c r="BD1144" s="5">
        <v>1</v>
      </c>
      <c r="BE1144" t="s">
        <v>0</v>
      </c>
      <c r="BF1144" t="s">
        <v>538</v>
      </c>
      <c r="BG1144" t="s">
        <v>17</v>
      </c>
      <c r="BH1144" t="s">
        <v>0</v>
      </c>
      <c r="BI1144" t="s">
        <v>147</v>
      </c>
      <c r="BJ1144" t="s">
        <v>0</v>
      </c>
      <c r="BK1144" t="s">
        <v>0</v>
      </c>
      <c r="BL1144" s="5">
        <v>0</v>
      </c>
      <c r="BM1144" t="s">
        <v>0</v>
      </c>
      <c r="BN1144" t="s">
        <v>0</v>
      </c>
      <c r="BO1144" t="s">
        <v>0</v>
      </c>
      <c r="BP1144" t="s">
        <v>17</v>
      </c>
      <c r="BQ1144" t="s">
        <v>0</v>
      </c>
      <c r="BR1144" t="s">
        <v>17</v>
      </c>
      <c r="BS1144" t="s">
        <v>17</v>
      </c>
      <c r="BT1144" t="s">
        <v>0</v>
      </c>
      <c r="BU1144" t="s">
        <v>0</v>
      </c>
      <c r="BV1144" t="s">
        <v>0</v>
      </c>
      <c r="BW1144" t="s">
        <v>0</v>
      </c>
      <c r="BX1144" t="s">
        <v>0</v>
      </c>
      <c r="BY1144" t="s">
        <v>0</v>
      </c>
      <c r="BZ1144" t="s">
        <v>0</v>
      </c>
      <c r="CA1144" t="s">
        <v>0</v>
      </c>
      <c r="CB1144" t="s">
        <v>0</v>
      </c>
    </row>
    <row r="1145" spans="1:80" x14ac:dyDescent="0.25">
      <c r="A1145" t="s">
        <v>504</v>
      </c>
      <c r="B1145" s="2">
        <v>46180</v>
      </c>
      <c r="C1145" s="2"/>
      <c r="D1145" s="2"/>
      <c r="E1145" t="s">
        <v>2</v>
      </c>
      <c r="F1145" t="s">
        <v>89</v>
      </c>
      <c r="G1145" t="s">
        <v>0</v>
      </c>
      <c r="H1145" t="s">
        <v>4</v>
      </c>
      <c r="I1145" t="s">
        <v>505</v>
      </c>
      <c r="J1145" t="s">
        <v>6</v>
      </c>
      <c r="K1145" t="s">
        <v>605</v>
      </c>
      <c r="L1145" t="s">
        <v>536</v>
      </c>
      <c r="M1145" t="s">
        <v>537</v>
      </c>
      <c r="N1145" t="s">
        <v>10</v>
      </c>
      <c r="O1145" t="s">
        <v>0</v>
      </c>
      <c r="P1145" t="s">
        <v>147</v>
      </c>
      <c r="Q1145" s="5">
        <v>5</v>
      </c>
      <c r="R1145" s="4">
        <v>254</v>
      </c>
      <c r="S1145" s="5">
        <v>1</v>
      </c>
      <c r="T1145" s="4">
        <v>1270</v>
      </c>
      <c r="U1145" s="5">
        <v>5</v>
      </c>
      <c r="V1145" s="4">
        <v>1270</v>
      </c>
      <c r="W1145" s="5">
        <v>5</v>
      </c>
      <c r="X1145" s="4">
        <v>1270</v>
      </c>
      <c r="Y1145" s="4">
        <f t="shared" si="34"/>
        <v>0</v>
      </c>
      <c r="Z1145" t="s">
        <v>0</v>
      </c>
      <c r="AA1145" t="s">
        <v>2</v>
      </c>
      <c r="AB1145" t="s">
        <v>12</v>
      </c>
      <c r="AC1145">
        <f>_xlfn.XLOOKUP(AB1145,'[1]GST Codes'!$A:$A,'[1]GST Codes'!$C:$C,0,0)</f>
        <v>18</v>
      </c>
      <c r="AD1145">
        <f t="shared" si="35"/>
        <v>0</v>
      </c>
      <c r="AE1145" t="s">
        <v>13</v>
      </c>
      <c r="AF1145" t="s">
        <v>0</v>
      </c>
      <c r="AG1145" t="s">
        <v>14</v>
      </c>
      <c r="AH1145" t="s">
        <v>15</v>
      </c>
      <c r="AI1145" t="s">
        <v>96</v>
      </c>
      <c r="AJ1145" t="s">
        <v>17</v>
      </c>
      <c r="AK1145" t="s">
        <v>18</v>
      </c>
      <c r="AL1145" t="s">
        <v>148</v>
      </c>
      <c r="AM1145" t="s">
        <v>508</v>
      </c>
      <c r="AN1145" t="s">
        <v>0</v>
      </c>
      <c r="AO1145" t="s">
        <v>0</v>
      </c>
      <c r="AP1145" t="s">
        <v>0</v>
      </c>
      <c r="AQ1145" s="5">
        <v>5</v>
      </c>
      <c r="AR1145" t="s">
        <v>147</v>
      </c>
      <c r="AS1145" t="s">
        <v>0</v>
      </c>
      <c r="AT1145" t="s">
        <v>17</v>
      </c>
      <c r="AU1145" s="4">
        <v>0</v>
      </c>
      <c r="AV1145" s="4">
        <v>0</v>
      </c>
      <c r="AW1145" s="4">
        <v>0</v>
      </c>
      <c r="AX1145" s="4">
        <v>0</v>
      </c>
      <c r="AY1145" s="5">
        <v>0</v>
      </c>
      <c r="AZ1145" s="5">
        <v>0</v>
      </c>
      <c r="BA1145" s="5">
        <v>0</v>
      </c>
      <c r="BB1145" s="2"/>
      <c r="BC1145" t="s">
        <v>0</v>
      </c>
      <c r="BD1145" s="5">
        <v>1</v>
      </c>
      <c r="BE1145" t="s">
        <v>0</v>
      </c>
      <c r="BF1145" t="s">
        <v>538</v>
      </c>
      <c r="BG1145" t="s">
        <v>17</v>
      </c>
      <c r="BH1145" t="s">
        <v>0</v>
      </c>
      <c r="BI1145" t="s">
        <v>147</v>
      </c>
      <c r="BJ1145" t="s">
        <v>0</v>
      </c>
      <c r="BK1145" t="s">
        <v>0</v>
      </c>
      <c r="BL1145" s="5">
        <v>0</v>
      </c>
      <c r="BM1145" t="s">
        <v>0</v>
      </c>
      <c r="BN1145" t="s">
        <v>0</v>
      </c>
      <c r="BO1145" t="s">
        <v>0</v>
      </c>
      <c r="BP1145" t="s">
        <v>17</v>
      </c>
      <c r="BQ1145" t="s">
        <v>0</v>
      </c>
      <c r="BR1145" t="s">
        <v>17</v>
      </c>
      <c r="BS1145" t="s">
        <v>17</v>
      </c>
      <c r="BT1145" t="s">
        <v>0</v>
      </c>
      <c r="BU1145" t="s">
        <v>0</v>
      </c>
      <c r="BV1145" t="s">
        <v>0</v>
      </c>
      <c r="BW1145" t="s">
        <v>0</v>
      </c>
      <c r="BX1145" t="s">
        <v>0</v>
      </c>
      <c r="BY1145" t="s">
        <v>0</v>
      </c>
      <c r="BZ1145" t="s">
        <v>0</v>
      </c>
      <c r="CA1145" t="s">
        <v>0</v>
      </c>
      <c r="CB1145" t="s">
        <v>0</v>
      </c>
    </row>
    <row r="1146" spans="1:80" x14ac:dyDescent="0.25">
      <c r="A1146" t="s">
        <v>504</v>
      </c>
      <c r="B1146" s="2">
        <v>46180</v>
      </c>
      <c r="C1146" s="2"/>
      <c r="D1146" s="2"/>
      <c r="E1146" t="s">
        <v>2</v>
      </c>
      <c r="F1146" t="s">
        <v>89</v>
      </c>
      <c r="G1146" t="s">
        <v>0</v>
      </c>
      <c r="H1146" t="s">
        <v>4</v>
      </c>
      <c r="I1146" t="s">
        <v>505</v>
      </c>
      <c r="J1146" t="s">
        <v>6</v>
      </c>
      <c r="K1146" t="s">
        <v>606</v>
      </c>
      <c r="L1146" t="s">
        <v>536</v>
      </c>
      <c r="M1146" t="s">
        <v>537</v>
      </c>
      <c r="N1146" t="s">
        <v>10</v>
      </c>
      <c r="O1146" t="s">
        <v>0</v>
      </c>
      <c r="P1146" t="s">
        <v>147</v>
      </c>
      <c r="Q1146" s="5">
        <v>2</v>
      </c>
      <c r="R1146" s="4">
        <v>295</v>
      </c>
      <c r="S1146" s="5">
        <v>1</v>
      </c>
      <c r="T1146" s="4">
        <v>590</v>
      </c>
      <c r="U1146" s="5">
        <v>2</v>
      </c>
      <c r="V1146" s="4">
        <v>590</v>
      </c>
      <c r="W1146" s="5">
        <v>2</v>
      </c>
      <c r="X1146" s="4">
        <v>590</v>
      </c>
      <c r="Y1146" s="4">
        <f t="shared" si="34"/>
        <v>0</v>
      </c>
      <c r="Z1146" t="s">
        <v>0</v>
      </c>
      <c r="AA1146" t="s">
        <v>2</v>
      </c>
      <c r="AB1146" t="s">
        <v>12</v>
      </c>
      <c r="AC1146">
        <f>_xlfn.XLOOKUP(AB1146,'[1]GST Codes'!$A:$A,'[1]GST Codes'!$C:$C,0,0)</f>
        <v>18</v>
      </c>
      <c r="AD1146">
        <f t="shared" si="35"/>
        <v>0</v>
      </c>
      <c r="AE1146" t="s">
        <v>13</v>
      </c>
      <c r="AF1146" t="s">
        <v>0</v>
      </c>
      <c r="AG1146" t="s">
        <v>14</v>
      </c>
      <c r="AH1146" t="s">
        <v>15</v>
      </c>
      <c r="AI1146" t="s">
        <v>96</v>
      </c>
      <c r="AJ1146" t="s">
        <v>17</v>
      </c>
      <c r="AK1146" t="s">
        <v>18</v>
      </c>
      <c r="AL1146" t="s">
        <v>148</v>
      </c>
      <c r="AM1146" t="s">
        <v>508</v>
      </c>
      <c r="AN1146" t="s">
        <v>0</v>
      </c>
      <c r="AO1146" t="s">
        <v>0</v>
      </c>
      <c r="AP1146" t="s">
        <v>0</v>
      </c>
      <c r="AQ1146" s="5">
        <v>2</v>
      </c>
      <c r="AR1146" t="s">
        <v>147</v>
      </c>
      <c r="AS1146" t="s">
        <v>0</v>
      </c>
      <c r="AT1146" t="s">
        <v>17</v>
      </c>
      <c r="AU1146" s="4">
        <v>0</v>
      </c>
      <c r="AV1146" s="4">
        <v>0</v>
      </c>
      <c r="AW1146" s="4">
        <v>0</v>
      </c>
      <c r="AX1146" s="4">
        <v>0</v>
      </c>
      <c r="AY1146" s="5">
        <v>0</v>
      </c>
      <c r="AZ1146" s="5">
        <v>0</v>
      </c>
      <c r="BA1146" s="5">
        <v>0</v>
      </c>
      <c r="BB1146" s="2"/>
      <c r="BC1146" t="s">
        <v>0</v>
      </c>
      <c r="BD1146" s="5">
        <v>1</v>
      </c>
      <c r="BE1146" t="s">
        <v>0</v>
      </c>
      <c r="BF1146" t="s">
        <v>538</v>
      </c>
      <c r="BG1146" t="s">
        <v>17</v>
      </c>
      <c r="BH1146" t="s">
        <v>0</v>
      </c>
      <c r="BI1146" t="s">
        <v>147</v>
      </c>
      <c r="BJ1146" t="s">
        <v>0</v>
      </c>
      <c r="BK1146" t="s">
        <v>0</v>
      </c>
      <c r="BL1146" s="5">
        <v>0</v>
      </c>
      <c r="BM1146" t="s">
        <v>0</v>
      </c>
      <c r="BN1146" t="s">
        <v>0</v>
      </c>
      <c r="BO1146" t="s">
        <v>0</v>
      </c>
      <c r="BP1146" t="s">
        <v>17</v>
      </c>
      <c r="BQ1146" t="s">
        <v>0</v>
      </c>
      <c r="BR1146" t="s">
        <v>17</v>
      </c>
      <c r="BS1146" t="s">
        <v>17</v>
      </c>
      <c r="BT1146" t="s">
        <v>0</v>
      </c>
      <c r="BU1146" t="s">
        <v>0</v>
      </c>
      <c r="BV1146" t="s">
        <v>0</v>
      </c>
      <c r="BW1146" t="s">
        <v>0</v>
      </c>
      <c r="BX1146" t="s">
        <v>0</v>
      </c>
      <c r="BY1146" t="s">
        <v>0</v>
      </c>
      <c r="BZ1146" t="s">
        <v>0</v>
      </c>
      <c r="CA1146" t="s">
        <v>0</v>
      </c>
      <c r="CB1146" t="s">
        <v>0</v>
      </c>
    </row>
    <row r="1147" spans="1:80" x14ac:dyDescent="0.25">
      <c r="A1147" t="s">
        <v>504</v>
      </c>
      <c r="B1147" s="2">
        <v>46180</v>
      </c>
      <c r="C1147" s="2"/>
      <c r="D1147" s="2"/>
      <c r="E1147" t="s">
        <v>2</v>
      </c>
      <c r="F1147" t="s">
        <v>89</v>
      </c>
      <c r="G1147" t="s">
        <v>0</v>
      </c>
      <c r="H1147" t="s">
        <v>4</v>
      </c>
      <c r="I1147" t="s">
        <v>505</v>
      </c>
      <c r="J1147" t="s">
        <v>6</v>
      </c>
      <c r="K1147" t="s">
        <v>607</v>
      </c>
      <c r="L1147" t="s">
        <v>536</v>
      </c>
      <c r="M1147" t="s">
        <v>537</v>
      </c>
      <c r="N1147" t="s">
        <v>10</v>
      </c>
      <c r="O1147" t="s">
        <v>0</v>
      </c>
      <c r="P1147" t="s">
        <v>147</v>
      </c>
      <c r="Q1147" s="5">
        <v>2</v>
      </c>
      <c r="R1147" s="4">
        <v>338</v>
      </c>
      <c r="S1147" s="5">
        <v>1</v>
      </c>
      <c r="T1147" s="4">
        <v>676</v>
      </c>
      <c r="U1147" s="5">
        <v>2</v>
      </c>
      <c r="V1147" s="4">
        <v>676</v>
      </c>
      <c r="W1147" s="5">
        <v>2</v>
      </c>
      <c r="X1147" s="4">
        <v>676</v>
      </c>
      <c r="Y1147" s="4">
        <f t="shared" si="34"/>
        <v>0</v>
      </c>
      <c r="Z1147" t="s">
        <v>0</v>
      </c>
      <c r="AA1147" t="s">
        <v>2</v>
      </c>
      <c r="AB1147" t="s">
        <v>12</v>
      </c>
      <c r="AC1147">
        <f>_xlfn.XLOOKUP(AB1147,'[1]GST Codes'!$A:$A,'[1]GST Codes'!$C:$C,0,0)</f>
        <v>18</v>
      </c>
      <c r="AD1147">
        <f t="shared" si="35"/>
        <v>0</v>
      </c>
      <c r="AE1147" t="s">
        <v>13</v>
      </c>
      <c r="AF1147" t="s">
        <v>0</v>
      </c>
      <c r="AG1147" t="s">
        <v>14</v>
      </c>
      <c r="AH1147" t="s">
        <v>15</v>
      </c>
      <c r="AI1147" t="s">
        <v>96</v>
      </c>
      <c r="AJ1147" t="s">
        <v>17</v>
      </c>
      <c r="AK1147" t="s">
        <v>18</v>
      </c>
      <c r="AL1147" t="s">
        <v>148</v>
      </c>
      <c r="AM1147" t="s">
        <v>508</v>
      </c>
      <c r="AN1147" t="s">
        <v>0</v>
      </c>
      <c r="AO1147" t="s">
        <v>0</v>
      </c>
      <c r="AP1147" t="s">
        <v>0</v>
      </c>
      <c r="AQ1147" s="5">
        <v>2</v>
      </c>
      <c r="AR1147" t="s">
        <v>147</v>
      </c>
      <c r="AS1147" t="s">
        <v>0</v>
      </c>
      <c r="AT1147" t="s">
        <v>17</v>
      </c>
      <c r="AU1147" s="4">
        <v>0</v>
      </c>
      <c r="AV1147" s="4">
        <v>0</v>
      </c>
      <c r="AW1147" s="4">
        <v>0</v>
      </c>
      <c r="AX1147" s="4">
        <v>0</v>
      </c>
      <c r="AY1147" s="5">
        <v>0</v>
      </c>
      <c r="AZ1147" s="5">
        <v>0</v>
      </c>
      <c r="BA1147" s="5">
        <v>0</v>
      </c>
      <c r="BB1147" s="2"/>
      <c r="BC1147" t="s">
        <v>0</v>
      </c>
      <c r="BD1147" s="5">
        <v>1</v>
      </c>
      <c r="BE1147" t="s">
        <v>0</v>
      </c>
      <c r="BF1147" t="s">
        <v>538</v>
      </c>
      <c r="BG1147" t="s">
        <v>17</v>
      </c>
      <c r="BH1147" t="s">
        <v>0</v>
      </c>
      <c r="BI1147" t="s">
        <v>147</v>
      </c>
      <c r="BJ1147" t="s">
        <v>0</v>
      </c>
      <c r="BK1147" t="s">
        <v>0</v>
      </c>
      <c r="BL1147" s="5">
        <v>0</v>
      </c>
      <c r="BM1147" t="s">
        <v>0</v>
      </c>
      <c r="BN1147" t="s">
        <v>0</v>
      </c>
      <c r="BO1147" t="s">
        <v>0</v>
      </c>
      <c r="BP1147" t="s">
        <v>17</v>
      </c>
      <c r="BQ1147" t="s">
        <v>0</v>
      </c>
      <c r="BR1147" t="s">
        <v>17</v>
      </c>
      <c r="BS1147" t="s">
        <v>17</v>
      </c>
      <c r="BT1147" t="s">
        <v>0</v>
      </c>
      <c r="BU1147" t="s">
        <v>0</v>
      </c>
      <c r="BV1147" t="s">
        <v>0</v>
      </c>
      <c r="BW1147" t="s">
        <v>0</v>
      </c>
      <c r="BX1147" t="s">
        <v>0</v>
      </c>
      <c r="BY1147" t="s">
        <v>0</v>
      </c>
      <c r="BZ1147" t="s">
        <v>0</v>
      </c>
      <c r="CA1147" t="s">
        <v>0</v>
      </c>
      <c r="CB1147" t="s">
        <v>0</v>
      </c>
    </row>
    <row r="1148" spans="1:80" x14ac:dyDescent="0.25">
      <c r="A1148" t="s">
        <v>504</v>
      </c>
      <c r="B1148" s="2">
        <v>46180</v>
      </c>
      <c r="C1148" s="2"/>
      <c r="D1148" s="2"/>
      <c r="E1148" t="s">
        <v>2</v>
      </c>
      <c r="F1148" t="s">
        <v>89</v>
      </c>
      <c r="G1148" t="s">
        <v>0</v>
      </c>
      <c r="H1148" t="s">
        <v>4</v>
      </c>
      <c r="I1148" t="s">
        <v>505</v>
      </c>
      <c r="J1148" t="s">
        <v>6</v>
      </c>
      <c r="K1148" t="s">
        <v>608</v>
      </c>
      <c r="L1148" t="s">
        <v>536</v>
      </c>
      <c r="M1148" t="s">
        <v>537</v>
      </c>
      <c r="N1148" t="s">
        <v>10</v>
      </c>
      <c r="O1148" t="s">
        <v>0</v>
      </c>
      <c r="P1148" t="s">
        <v>147</v>
      </c>
      <c r="Q1148" s="5">
        <v>2</v>
      </c>
      <c r="R1148" s="4">
        <v>465</v>
      </c>
      <c r="S1148" s="5">
        <v>1</v>
      </c>
      <c r="T1148" s="4">
        <v>930</v>
      </c>
      <c r="U1148" s="5">
        <v>2</v>
      </c>
      <c r="V1148" s="4">
        <v>930</v>
      </c>
      <c r="W1148" s="5">
        <v>2</v>
      </c>
      <c r="X1148" s="4">
        <v>930</v>
      </c>
      <c r="Y1148" s="4">
        <f t="shared" si="34"/>
        <v>0</v>
      </c>
      <c r="Z1148" t="s">
        <v>0</v>
      </c>
      <c r="AA1148" t="s">
        <v>2</v>
      </c>
      <c r="AB1148" t="s">
        <v>12</v>
      </c>
      <c r="AC1148">
        <f>_xlfn.XLOOKUP(AB1148,'[1]GST Codes'!$A:$A,'[1]GST Codes'!$C:$C,0,0)</f>
        <v>18</v>
      </c>
      <c r="AD1148">
        <f t="shared" si="35"/>
        <v>0</v>
      </c>
      <c r="AE1148" t="s">
        <v>13</v>
      </c>
      <c r="AF1148" t="s">
        <v>0</v>
      </c>
      <c r="AG1148" t="s">
        <v>14</v>
      </c>
      <c r="AH1148" t="s">
        <v>15</v>
      </c>
      <c r="AI1148" t="s">
        <v>96</v>
      </c>
      <c r="AJ1148" t="s">
        <v>17</v>
      </c>
      <c r="AK1148" t="s">
        <v>18</v>
      </c>
      <c r="AL1148" t="s">
        <v>148</v>
      </c>
      <c r="AM1148" t="s">
        <v>508</v>
      </c>
      <c r="AN1148" t="s">
        <v>0</v>
      </c>
      <c r="AO1148" t="s">
        <v>0</v>
      </c>
      <c r="AP1148" t="s">
        <v>0</v>
      </c>
      <c r="AQ1148" s="5">
        <v>2</v>
      </c>
      <c r="AR1148" t="s">
        <v>147</v>
      </c>
      <c r="AS1148" t="s">
        <v>0</v>
      </c>
      <c r="AT1148" t="s">
        <v>17</v>
      </c>
      <c r="AU1148" s="4">
        <v>0</v>
      </c>
      <c r="AV1148" s="4">
        <v>0</v>
      </c>
      <c r="AW1148" s="4">
        <v>0</v>
      </c>
      <c r="AX1148" s="4">
        <v>0</v>
      </c>
      <c r="AY1148" s="5">
        <v>0</v>
      </c>
      <c r="AZ1148" s="5">
        <v>0</v>
      </c>
      <c r="BA1148" s="5">
        <v>0</v>
      </c>
      <c r="BB1148" s="2"/>
      <c r="BC1148" t="s">
        <v>0</v>
      </c>
      <c r="BD1148" s="5">
        <v>1</v>
      </c>
      <c r="BE1148" t="s">
        <v>0</v>
      </c>
      <c r="BF1148" t="s">
        <v>538</v>
      </c>
      <c r="BG1148" t="s">
        <v>17</v>
      </c>
      <c r="BH1148" t="s">
        <v>0</v>
      </c>
      <c r="BI1148" t="s">
        <v>147</v>
      </c>
      <c r="BJ1148" t="s">
        <v>0</v>
      </c>
      <c r="BK1148" t="s">
        <v>0</v>
      </c>
      <c r="BL1148" s="5">
        <v>0</v>
      </c>
      <c r="BM1148" t="s">
        <v>0</v>
      </c>
      <c r="BN1148" t="s">
        <v>0</v>
      </c>
      <c r="BO1148" t="s">
        <v>0</v>
      </c>
      <c r="BP1148" t="s">
        <v>17</v>
      </c>
      <c r="BQ1148" t="s">
        <v>0</v>
      </c>
      <c r="BR1148" t="s">
        <v>17</v>
      </c>
      <c r="BS1148" t="s">
        <v>17</v>
      </c>
      <c r="BT1148" t="s">
        <v>0</v>
      </c>
      <c r="BU1148" t="s">
        <v>0</v>
      </c>
      <c r="BV1148" t="s">
        <v>0</v>
      </c>
      <c r="BW1148" t="s">
        <v>0</v>
      </c>
      <c r="BX1148" t="s">
        <v>0</v>
      </c>
      <c r="BY1148" t="s">
        <v>0</v>
      </c>
      <c r="BZ1148" t="s">
        <v>0</v>
      </c>
      <c r="CA1148" t="s">
        <v>0</v>
      </c>
      <c r="CB1148" t="s">
        <v>0</v>
      </c>
    </row>
    <row r="1149" spans="1:80" x14ac:dyDescent="0.25">
      <c r="A1149" t="s">
        <v>504</v>
      </c>
      <c r="B1149" s="2">
        <v>46180</v>
      </c>
      <c r="C1149" s="2"/>
      <c r="D1149" s="2"/>
      <c r="E1149" t="s">
        <v>2</v>
      </c>
      <c r="F1149" t="s">
        <v>89</v>
      </c>
      <c r="G1149" t="s">
        <v>0</v>
      </c>
      <c r="H1149" t="s">
        <v>4</v>
      </c>
      <c r="I1149" t="s">
        <v>505</v>
      </c>
      <c r="J1149" t="s">
        <v>6</v>
      </c>
      <c r="K1149" t="s">
        <v>609</v>
      </c>
      <c r="L1149" t="s">
        <v>571</v>
      </c>
      <c r="M1149" t="s">
        <v>572</v>
      </c>
      <c r="N1149" t="s">
        <v>10</v>
      </c>
      <c r="O1149" t="s">
        <v>0</v>
      </c>
      <c r="P1149" t="s">
        <v>147</v>
      </c>
      <c r="Q1149" s="5">
        <v>8</v>
      </c>
      <c r="R1149" s="4">
        <v>82</v>
      </c>
      <c r="S1149" s="5">
        <v>1</v>
      </c>
      <c r="T1149" s="4">
        <v>656</v>
      </c>
      <c r="U1149" s="5">
        <v>8</v>
      </c>
      <c r="V1149" s="4">
        <v>656</v>
      </c>
      <c r="W1149" s="5">
        <v>8</v>
      </c>
      <c r="X1149" s="4">
        <v>656</v>
      </c>
      <c r="Y1149" s="4">
        <f t="shared" si="34"/>
        <v>0</v>
      </c>
      <c r="Z1149" t="s">
        <v>0</v>
      </c>
      <c r="AA1149" t="s">
        <v>2</v>
      </c>
      <c r="AB1149" t="s">
        <v>12</v>
      </c>
      <c r="AC1149">
        <f>_xlfn.XLOOKUP(AB1149,'[1]GST Codes'!$A:$A,'[1]GST Codes'!$C:$C,0,0)</f>
        <v>18</v>
      </c>
      <c r="AD1149">
        <f t="shared" si="35"/>
        <v>0</v>
      </c>
      <c r="AE1149" t="s">
        <v>13</v>
      </c>
      <c r="AF1149" t="s">
        <v>0</v>
      </c>
      <c r="AG1149" t="s">
        <v>14</v>
      </c>
      <c r="AH1149" t="s">
        <v>15</v>
      </c>
      <c r="AI1149" t="s">
        <v>96</v>
      </c>
      <c r="AJ1149" t="s">
        <v>17</v>
      </c>
      <c r="AK1149" t="s">
        <v>18</v>
      </c>
      <c r="AL1149" t="s">
        <v>148</v>
      </c>
      <c r="AM1149" t="s">
        <v>508</v>
      </c>
      <c r="AN1149" t="s">
        <v>0</v>
      </c>
      <c r="AO1149" t="s">
        <v>0</v>
      </c>
      <c r="AP1149" t="s">
        <v>0</v>
      </c>
      <c r="AQ1149" s="5">
        <v>8</v>
      </c>
      <c r="AR1149" t="s">
        <v>147</v>
      </c>
      <c r="AS1149" t="s">
        <v>0</v>
      </c>
      <c r="AT1149" t="s">
        <v>17</v>
      </c>
      <c r="AU1149" s="4">
        <v>0</v>
      </c>
      <c r="AV1149" s="4">
        <v>0</v>
      </c>
      <c r="AW1149" s="4">
        <v>0</v>
      </c>
      <c r="AX1149" s="4">
        <v>0</v>
      </c>
      <c r="AY1149" s="5">
        <v>0</v>
      </c>
      <c r="AZ1149" s="5">
        <v>0</v>
      </c>
      <c r="BA1149" s="5">
        <v>0</v>
      </c>
      <c r="BB1149" s="2"/>
      <c r="BC1149" t="s">
        <v>0</v>
      </c>
      <c r="BD1149" s="5">
        <v>1</v>
      </c>
      <c r="BE1149" t="s">
        <v>0</v>
      </c>
      <c r="BF1149" t="s">
        <v>573</v>
      </c>
      <c r="BG1149" t="s">
        <v>17</v>
      </c>
      <c r="BH1149" t="s">
        <v>0</v>
      </c>
      <c r="BI1149" t="s">
        <v>147</v>
      </c>
      <c r="BJ1149" t="s">
        <v>0</v>
      </c>
      <c r="BK1149" t="s">
        <v>0</v>
      </c>
      <c r="BL1149" s="5">
        <v>0</v>
      </c>
      <c r="BM1149" t="s">
        <v>0</v>
      </c>
      <c r="BN1149" t="s">
        <v>0</v>
      </c>
      <c r="BO1149" t="s">
        <v>0</v>
      </c>
      <c r="BP1149" t="s">
        <v>17</v>
      </c>
      <c r="BQ1149" t="s">
        <v>0</v>
      </c>
      <c r="BR1149" t="s">
        <v>17</v>
      </c>
      <c r="BS1149" t="s">
        <v>17</v>
      </c>
      <c r="BT1149" t="s">
        <v>0</v>
      </c>
      <c r="BU1149" t="s">
        <v>0</v>
      </c>
      <c r="BV1149" t="s">
        <v>0</v>
      </c>
      <c r="BW1149" t="s">
        <v>0</v>
      </c>
      <c r="BX1149" t="s">
        <v>0</v>
      </c>
      <c r="BY1149" t="s">
        <v>0</v>
      </c>
      <c r="BZ1149" t="s">
        <v>0</v>
      </c>
      <c r="CA1149" t="s">
        <v>0</v>
      </c>
      <c r="CB1149" t="s">
        <v>0</v>
      </c>
    </row>
    <row r="1150" spans="1:80" x14ac:dyDescent="0.25">
      <c r="A1150" t="s">
        <v>504</v>
      </c>
      <c r="B1150" s="2">
        <v>46180</v>
      </c>
      <c r="C1150" s="2"/>
      <c r="D1150" s="2"/>
      <c r="E1150" t="s">
        <v>2</v>
      </c>
      <c r="F1150" t="s">
        <v>89</v>
      </c>
      <c r="G1150" t="s">
        <v>0</v>
      </c>
      <c r="H1150" t="s">
        <v>4</v>
      </c>
      <c r="I1150" t="s">
        <v>505</v>
      </c>
      <c r="J1150" t="s">
        <v>6</v>
      </c>
      <c r="K1150" t="s">
        <v>610</v>
      </c>
      <c r="L1150" t="s">
        <v>542</v>
      </c>
      <c r="M1150" t="s">
        <v>543</v>
      </c>
      <c r="N1150" t="s">
        <v>10</v>
      </c>
      <c r="O1150" t="s">
        <v>0</v>
      </c>
      <c r="P1150" t="s">
        <v>147</v>
      </c>
      <c r="Q1150" s="5">
        <v>5</v>
      </c>
      <c r="R1150" s="4">
        <v>116</v>
      </c>
      <c r="S1150" s="5">
        <v>1</v>
      </c>
      <c r="T1150" s="4">
        <v>580</v>
      </c>
      <c r="U1150" s="5">
        <v>5</v>
      </c>
      <c r="V1150" s="4">
        <v>580</v>
      </c>
      <c r="W1150" s="5">
        <v>5</v>
      </c>
      <c r="X1150" s="4">
        <v>580</v>
      </c>
      <c r="Y1150" s="4">
        <f t="shared" si="34"/>
        <v>0</v>
      </c>
      <c r="Z1150" t="s">
        <v>0</v>
      </c>
      <c r="AA1150" t="s">
        <v>2</v>
      </c>
      <c r="AB1150" t="s">
        <v>12</v>
      </c>
      <c r="AC1150">
        <f>_xlfn.XLOOKUP(AB1150,'[1]GST Codes'!$A:$A,'[1]GST Codes'!$C:$C,0,0)</f>
        <v>18</v>
      </c>
      <c r="AD1150">
        <f t="shared" si="35"/>
        <v>0</v>
      </c>
      <c r="AE1150" t="s">
        <v>13</v>
      </c>
      <c r="AF1150" t="s">
        <v>0</v>
      </c>
      <c r="AG1150" t="s">
        <v>14</v>
      </c>
      <c r="AH1150" t="s">
        <v>15</v>
      </c>
      <c r="AI1150" t="s">
        <v>96</v>
      </c>
      <c r="AJ1150" t="s">
        <v>17</v>
      </c>
      <c r="AK1150" t="s">
        <v>18</v>
      </c>
      <c r="AL1150" t="s">
        <v>148</v>
      </c>
      <c r="AM1150" t="s">
        <v>508</v>
      </c>
      <c r="AN1150" t="s">
        <v>0</v>
      </c>
      <c r="AO1150" t="s">
        <v>0</v>
      </c>
      <c r="AP1150" t="s">
        <v>0</v>
      </c>
      <c r="AQ1150" s="5">
        <v>5</v>
      </c>
      <c r="AR1150" t="s">
        <v>147</v>
      </c>
      <c r="AS1150" t="s">
        <v>0</v>
      </c>
      <c r="AT1150" t="s">
        <v>17</v>
      </c>
      <c r="AU1150" s="4">
        <v>0</v>
      </c>
      <c r="AV1150" s="4">
        <v>0</v>
      </c>
      <c r="AW1150" s="4">
        <v>0</v>
      </c>
      <c r="AX1150" s="4">
        <v>0</v>
      </c>
      <c r="AY1150" s="5">
        <v>0</v>
      </c>
      <c r="AZ1150" s="5">
        <v>0</v>
      </c>
      <c r="BA1150" s="5">
        <v>0</v>
      </c>
      <c r="BB1150" s="2"/>
      <c r="BC1150" t="s">
        <v>0</v>
      </c>
      <c r="BD1150" s="5">
        <v>1</v>
      </c>
      <c r="BE1150" t="s">
        <v>0</v>
      </c>
      <c r="BF1150" t="s">
        <v>544</v>
      </c>
      <c r="BG1150" t="s">
        <v>17</v>
      </c>
      <c r="BH1150" t="s">
        <v>0</v>
      </c>
      <c r="BI1150" t="s">
        <v>147</v>
      </c>
      <c r="BJ1150" t="s">
        <v>0</v>
      </c>
      <c r="BK1150" t="s">
        <v>0</v>
      </c>
      <c r="BL1150" s="5">
        <v>0</v>
      </c>
      <c r="BM1150" t="s">
        <v>0</v>
      </c>
      <c r="BN1150" t="s">
        <v>0</v>
      </c>
      <c r="BO1150" t="s">
        <v>0</v>
      </c>
      <c r="BP1150" t="s">
        <v>17</v>
      </c>
      <c r="BQ1150" t="s">
        <v>0</v>
      </c>
      <c r="BR1150" t="s">
        <v>17</v>
      </c>
      <c r="BS1150" t="s">
        <v>17</v>
      </c>
      <c r="BT1150" t="s">
        <v>0</v>
      </c>
      <c r="BU1150" t="s">
        <v>0</v>
      </c>
      <c r="BV1150" t="s">
        <v>0</v>
      </c>
      <c r="BW1150" t="s">
        <v>0</v>
      </c>
      <c r="BX1150" t="s">
        <v>0</v>
      </c>
      <c r="BY1150" t="s">
        <v>0</v>
      </c>
      <c r="BZ1150" t="s">
        <v>0</v>
      </c>
      <c r="CA1150" t="s">
        <v>0</v>
      </c>
      <c r="CB1150" t="s">
        <v>0</v>
      </c>
    </row>
    <row r="1151" spans="1:80" x14ac:dyDescent="0.25">
      <c r="A1151" t="s">
        <v>504</v>
      </c>
      <c r="B1151" s="2">
        <v>46180</v>
      </c>
      <c r="C1151" s="2"/>
      <c r="D1151" s="2"/>
      <c r="E1151" t="s">
        <v>2</v>
      </c>
      <c r="F1151" t="s">
        <v>89</v>
      </c>
      <c r="G1151" t="s">
        <v>0</v>
      </c>
      <c r="H1151" t="s">
        <v>4</v>
      </c>
      <c r="I1151" t="s">
        <v>505</v>
      </c>
      <c r="J1151" t="s">
        <v>6</v>
      </c>
      <c r="K1151" t="s">
        <v>611</v>
      </c>
      <c r="L1151" t="s">
        <v>559</v>
      </c>
      <c r="M1151" t="s">
        <v>560</v>
      </c>
      <c r="N1151" t="s">
        <v>10</v>
      </c>
      <c r="O1151" t="s">
        <v>0</v>
      </c>
      <c r="P1151" t="s">
        <v>147</v>
      </c>
      <c r="Q1151" s="5">
        <v>2</v>
      </c>
      <c r="R1151" s="4">
        <v>176</v>
      </c>
      <c r="S1151" s="5">
        <v>1</v>
      </c>
      <c r="T1151" s="4">
        <v>352</v>
      </c>
      <c r="U1151" s="5">
        <v>2</v>
      </c>
      <c r="V1151" s="4">
        <v>352</v>
      </c>
      <c r="W1151" s="5">
        <v>2</v>
      </c>
      <c r="X1151" s="4">
        <v>352</v>
      </c>
      <c r="Y1151" s="4">
        <f t="shared" si="34"/>
        <v>0</v>
      </c>
      <c r="Z1151" t="s">
        <v>0</v>
      </c>
      <c r="AA1151" t="s">
        <v>2</v>
      </c>
      <c r="AB1151" t="s">
        <v>12</v>
      </c>
      <c r="AC1151">
        <f>_xlfn.XLOOKUP(AB1151,'[1]GST Codes'!$A:$A,'[1]GST Codes'!$C:$C,0,0)</f>
        <v>18</v>
      </c>
      <c r="AD1151">
        <f t="shared" si="35"/>
        <v>0</v>
      </c>
      <c r="AE1151" t="s">
        <v>13</v>
      </c>
      <c r="AF1151" t="s">
        <v>0</v>
      </c>
      <c r="AG1151" t="s">
        <v>14</v>
      </c>
      <c r="AH1151" t="s">
        <v>15</v>
      </c>
      <c r="AI1151" t="s">
        <v>96</v>
      </c>
      <c r="AJ1151" t="s">
        <v>17</v>
      </c>
      <c r="AK1151" t="s">
        <v>18</v>
      </c>
      <c r="AL1151" t="s">
        <v>148</v>
      </c>
      <c r="AM1151" t="s">
        <v>508</v>
      </c>
      <c r="AN1151" t="s">
        <v>0</v>
      </c>
      <c r="AO1151" t="s">
        <v>0</v>
      </c>
      <c r="AP1151" t="s">
        <v>0</v>
      </c>
      <c r="AQ1151" s="5">
        <v>2</v>
      </c>
      <c r="AR1151" t="s">
        <v>147</v>
      </c>
      <c r="AS1151" t="s">
        <v>0</v>
      </c>
      <c r="AT1151" t="s">
        <v>17</v>
      </c>
      <c r="AU1151" s="4">
        <v>0</v>
      </c>
      <c r="AV1151" s="4">
        <v>0</v>
      </c>
      <c r="AW1151" s="4">
        <v>0</v>
      </c>
      <c r="AX1151" s="4">
        <v>0</v>
      </c>
      <c r="AY1151" s="5">
        <v>0</v>
      </c>
      <c r="AZ1151" s="5">
        <v>0</v>
      </c>
      <c r="BA1151" s="5">
        <v>0</v>
      </c>
      <c r="BB1151" s="2"/>
      <c r="BC1151" t="s">
        <v>0</v>
      </c>
      <c r="BD1151" s="5">
        <v>1</v>
      </c>
      <c r="BE1151" t="s">
        <v>0</v>
      </c>
      <c r="BF1151" t="s">
        <v>561</v>
      </c>
      <c r="BG1151" t="s">
        <v>17</v>
      </c>
      <c r="BH1151" t="s">
        <v>0</v>
      </c>
      <c r="BI1151" t="s">
        <v>147</v>
      </c>
      <c r="BJ1151" t="s">
        <v>0</v>
      </c>
      <c r="BK1151" t="s">
        <v>0</v>
      </c>
      <c r="BL1151" s="5">
        <v>0</v>
      </c>
      <c r="BM1151" t="s">
        <v>0</v>
      </c>
      <c r="BN1151" t="s">
        <v>0</v>
      </c>
      <c r="BO1151" t="s">
        <v>0</v>
      </c>
      <c r="BP1151" t="s">
        <v>17</v>
      </c>
      <c r="BQ1151" t="s">
        <v>0</v>
      </c>
      <c r="BR1151" t="s">
        <v>17</v>
      </c>
      <c r="BS1151" t="s">
        <v>17</v>
      </c>
      <c r="BT1151" t="s">
        <v>0</v>
      </c>
      <c r="BU1151" t="s">
        <v>0</v>
      </c>
      <c r="BV1151" t="s">
        <v>0</v>
      </c>
      <c r="BW1151" t="s">
        <v>0</v>
      </c>
      <c r="BX1151" t="s">
        <v>0</v>
      </c>
      <c r="BY1151" t="s">
        <v>0</v>
      </c>
      <c r="BZ1151" t="s">
        <v>0</v>
      </c>
      <c r="CA1151" t="s">
        <v>0</v>
      </c>
      <c r="CB1151" t="s">
        <v>0</v>
      </c>
    </row>
    <row r="1152" spans="1:80" x14ac:dyDescent="0.25">
      <c r="A1152" t="s">
        <v>504</v>
      </c>
      <c r="B1152" s="2">
        <v>46180</v>
      </c>
      <c r="C1152" s="2"/>
      <c r="D1152" s="2"/>
      <c r="E1152" t="s">
        <v>2</v>
      </c>
      <c r="F1152" t="s">
        <v>89</v>
      </c>
      <c r="G1152" t="s">
        <v>0</v>
      </c>
      <c r="H1152" t="s">
        <v>4</v>
      </c>
      <c r="I1152" t="s">
        <v>505</v>
      </c>
      <c r="J1152" t="s">
        <v>6</v>
      </c>
      <c r="K1152" t="s">
        <v>116</v>
      </c>
      <c r="L1152" t="s">
        <v>525</v>
      </c>
      <c r="M1152" t="s">
        <v>526</v>
      </c>
      <c r="N1152" t="s">
        <v>10</v>
      </c>
      <c r="O1152" t="s">
        <v>0</v>
      </c>
      <c r="P1152" t="s">
        <v>147</v>
      </c>
      <c r="Q1152" s="5">
        <v>2</v>
      </c>
      <c r="R1152" s="4">
        <v>236</v>
      </c>
      <c r="S1152" s="5">
        <v>1</v>
      </c>
      <c r="T1152" s="4">
        <v>472</v>
      </c>
      <c r="U1152" s="5">
        <v>2</v>
      </c>
      <c r="V1152" s="4">
        <v>472</v>
      </c>
      <c r="W1152" s="5">
        <v>2</v>
      </c>
      <c r="X1152" s="4">
        <v>472</v>
      </c>
      <c r="Y1152" s="4">
        <f t="shared" si="34"/>
        <v>0</v>
      </c>
      <c r="Z1152" t="s">
        <v>0</v>
      </c>
      <c r="AA1152" t="s">
        <v>2</v>
      </c>
      <c r="AB1152" t="s">
        <v>12</v>
      </c>
      <c r="AC1152">
        <f>_xlfn.XLOOKUP(AB1152,'[1]GST Codes'!$A:$A,'[1]GST Codes'!$C:$C,0,0)</f>
        <v>18</v>
      </c>
      <c r="AD1152">
        <f t="shared" si="35"/>
        <v>0</v>
      </c>
      <c r="AE1152" t="s">
        <v>13</v>
      </c>
      <c r="AF1152" t="s">
        <v>0</v>
      </c>
      <c r="AG1152" t="s">
        <v>14</v>
      </c>
      <c r="AH1152" t="s">
        <v>15</v>
      </c>
      <c r="AI1152" t="s">
        <v>96</v>
      </c>
      <c r="AJ1152" t="s">
        <v>17</v>
      </c>
      <c r="AK1152" t="s">
        <v>18</v>
      </c>
      <c r="AL1152" t="s">
        <v>148</v>
      </c>
      <c r="AM1152" t="s">
        <v>508</v>
      </c>
      <c r="AN1152" t="s">
        <v>0</v>
      </c>
      <c r="AO1152" t="s">
        <v>0</v>
      </c>
      <c r="AP1152" t="s">
        <v>0</v>
      </c>
      <c r="AQ1152" s="5">
        <v>2</v>
      </c>
      <c r="AR1152" t="s">
        <v>147</v>
      </c>
      <c r="AS1152" t="s">
        <v>0</v>
      </c>
      <c r="AT1152" t="s">
        <v>17</v>
      </c>
      <c r="AU1152" s="4">
        <v>0</v>
      </c>
      <c r="AV1152" s="4">
        <v>0</v>
      </c>
      <c r="AW1152" s="4">
        <v>0</v>
      </c>
      <c r="AX1152" s="4">
        <v>0</v>
      </c>
      <c r="AY1152" s="5">
        <v>0</v>
      </c>
      <c r="AZ1152" s="5">
        <v>0</v>
      </c>
      <c r="BA1152" s="5">
        <v>0</v>
      </c>
      <c r="BB1152" s="2"/>
      <c r="BC1152" t="s">
        <v>0</v>
      </c>
      <c r="BD1152" s="5">
        <v>1</v>
      </c>
      <c r="BE1152" t="s">
        <v>0</v>
      </c>
      <c r="BF1152" t="s">
        <v>527</v>
      </c>
      <c r="BG1152" t="s">
        <v>17</v>
      </c>
      <c r="BH1152" t="s">
        <v>0</v>
      </c>
      <c r="BI1152" t="s">
        <v>147</v>
      </c>
      <c r="BJ1152" t="s">
        <v>0</v>
      </c>
      <c r="BK1152" t="s">
        <v>0</v>
      </c>
      <c r="BL1152" s="5">
        <v>0</v>
      </c>
      <c r="BM1152" t="s">
        <v>0</v>
      </c>
      <c r="BN1152" t="s">
        <v>0</v>
      </c>
      <c r="BO1152" t="s">
        <v>0</v>
      </c>
      <c r="BP1152" t="s">
        <v>17</v>
      </c>
      <c r="BQ1152" t="s">
        <v>0</v>
      </c>
      <c r="BR1152" t="s">
        <v>17</v>
      </c>
      <c r="BS1152" t="s">
        <v>17</v>
      </c>
      <c r="BT1152" t="s">
        <v>0</v>
      </c>
      <c r="BU1152" t="s">
        <v>0</v>
      </c>
      <c r="BV1152" t="s">
        <v>0</v>
      </c>
      <c r="BW1152" t="s">
        <v>0</v>
      </c>
      <c r="BX1152" t="s">
        <v>0</v>
      </c>
      <c r="BY1152" t="s">
        <v>0</v>
      </c>
      <c r="BZ1152" t="s">
        <v>0</v>
      </c>
      <c r="CA1152" t="s">
        <v>0</v>
      </c>
      <c r="CB1152" t="s">
        <v>0</v>
      </c>
    </row>
    <row r="1153" spans="1:80" x14ac:dyDescent="0.25">
      <c r="A1153" t="s">
        <v>504</v>
      </c>
      <c r="B1153" s="2">
        <v>46180</v>
      </c>
      <c r="C1153" s="2"/>
      <c r="D1153" s="2"/>
      <c r="E1153" t="s">
        <v>2</v>
      </c>
      <c r="F1153" t="s">
        <v>89</v>
      </c>
      <c r="G1153" t="s">
        <v>0</v>
      </c>
      <c r="H1153" t="s">
        <v>4</v>
      </c>
      <c r="I1153" t="s">
        <v>505</v>
      </c>
      <c r="J1153" t="s">
        <v>6</v>
      </c>
      <c r="K1153" t="s">
        <v>612</v>
      </c>
      <c r="L1153" t="s">
        <v>194</v>
      </c>
      <c r="M1153" t="s">
        <v>195</v>
      </c>
      <c r="N1153" t="s">
        <v>10</v>
      </c>
      <c r="O1153" t="s">
        <v>0</v>
      </c>
      <c r="P1153" t="s">
        <v>147</v>
      </c>
      <c r="Q1153" s="5">
        <v>2</v>
      </c>
      <c r="R1153" s="4">
        <v>23</v>
      </c>
      <c r="S1153" s="5">
        <v>1</v>
      </c>
      <c r="T1153" s="4">
        <v>46</v>
      </c>
      <c r="U1153" s="5">
        <v>2</v>
      </c>
      <c r="V1153" s="4">
        <v>46</v>
      </c>
      <c r="W1153" s="5">
        <v>2</v>
      </c>
      <c r="X1153" s="4">
        <v>46</v>
      </c>
      <c r="Y1153" s="4">
        <f t="shared" si="34"/>
        <v>0</v>
      </c>
      <c r="Z1153" t="s">
        <v>0</v>
      </c>
      <c r="AA1153" t="s">
        <v>2</v>
      </c>
      <c r="AB1153" t="s">
        <v>12</v>
      </c>
      <c r="AC1153">
        <f>_xlfn.XLOOKUP(AB1153,'[1]GST Codes'!$A:$A,'[1]GST Codes'!$C:$C,0,0)</f>
        <v>18</v>
      </c>
      <c r="AD1153">
        <f t="shared" si="35"/>
        <v>0</v>
      </c>
      <c r="AE1153" t="s">
        <v>13</v>
      </c>
      <c r="AF1153" t="s">
        <v>0</v>
      </c>
      <c r="AG1153" t="s">
        <v>14</v>
      </c>
      <c r="AH1153" t="s">
        <v>15</v>
      </c>
      <c r="AI1153" t="s">
        <v>96</v>
      </c>
      <c r="AJ1153" t="s">
        <v>17</v>
      </c>
      <c r="AK1153" t="s">
        <v>18</v>
      </c>
      <c r="AL1153" t="s">
        <v>148</v>
      </c>
      <c r="AM1153" t="s">
        <v>508</v>
      </c>
      <c r="AN1153" t="s">
        <v>0</v>
      </c>
      <c r="AO1153" t="s">
        <v>0</v>
      </c>
      <c r="AP1153" t="s">
        <v>0</v>
      </c>
      <c r="AQ1153" s="5">
        <v>2</v>
      </c>
      <c r="AR1153" t="s">
        <v>147</v>
      </c>
      <c r="AS1153" t="s">
        <v>0</v>
      </c>
      <c r="AT1153" t="s">
        <v>17</v>
      </c>
      <c r="AU1153" s="4">
        <v>0</v>
      </c>
      <c r="AV1153" s="4">
        <v>0</v>
      </c>
      <c r="AW1153" s="4">
        <v>0</v>
      </c>
      <c r="AX1153" s="4">
        <v>0</v>
      </c>
      <c r="AY1153" s="5">
        <v>0</v>
      </c>
      <c r="AZ1153" s="5">
        <v>0</v>
      </c>
      <c r="BA1153" s="5">
        <v>0</v>
      </c>
      <c r="BB1153" s="2"/>
      <c r="BC1153" t="s">
        <v>0</v>
      </c>
      <c r="BD1153" s="5">
        <v>1</v>
      </c>
      <c r="BE1153" t="s">
        <v>0</v>
      </c>
      <c r="BF1153" t="s">
        <v>550</v>
      </c>
      <c r="BG1153" t="s">
        <v>17</v>
      </c>
      <c r="BH1153" t="s">
        <v>0</v>
      </c>
      <c r="BI1153" t="s">
        <v>147</v>
      </c>
      <c r="BJ1153" t="s">
        <v>0</v>
      </c>
      <c r="BK1153" t="s">
        <v>0</v>
      </c>
      <c r="BL1153" s="5">
        <v>0</v>
      </c>
      <c r="BM1153" t="s">
        <v>0</v>
      </c>
      <c r="BN1153" t="s">
        <v>0</v>
      </c>
      <c r="BO1153" t="s">
        <v>0</v>
      </c>
      <c r="BP1153" t="s">
        <v>17</v>
      </c>
      <c r="BQ1153" t="s">
        <v>0</v>
      </c>
      <c r="BR1153" t="s">
        <v>17</v>
      </c>
      <c r="BS1153" t="s">
        <v>17</v>
      </c>
      <c r="BT1153" t="s">
        <v>0</v>
      </c>
      <c r="BU1153" t="s">
        <v>0</v>
      </c>
      <c r="BV1153" t="s">
        <v>0</v>
      </c>
      <c r="BW1153" t="s">
        <v>0</v>
      </c>
      <c r="BX1153" t="s">
        <v>0</v>
      </c>
      <c r="BY1153" t="s">
        <v>0</v>
      </c>
      <c r="BZ1153" t="s">
        <v>0</v>
      </c>
      <c r="CA1153" t="s">
        <v>0</v>
      </c>
      <c r="CB1153" t="s">
        <v>0</v>
      </c>
    </row>
    <row r="1154" spans="1:80" x14ac:dyDescent="0.25">
      <c r="A1154" t="s">
        <v>504</v>
      </c>
      <c r="B1154" s="2">
        <v>46180</v>
      </c>
      <c r="C1154" s="2"/>
      <c r="D1154" s="2"/>
      <c r="E1154" t="s">
        <v>2</v>
      </c>
      <c r="F1154" t="s">
        <v>89</v>
      </c>
      <c r="G1154" t="s">
        <v>0</v>
      </c>
      <c r="H1154" t="s">
        <v>4</v>
      </c>
      <c r="I1154" t="s">
        <v>505</v>
      </c>
      <c r="J1154" t="s">
        <v>6</v>
      </c>
      <c r="K1154" t="s">
        <v>613</v>
      </c>
      <c r="L1154" t="s">
        <v>210</v>
      </c>
      <c r="M1154" t="s">
        <v>564</v>
      </c>
      <c r="N1154" t="s">
        <v>10</v>
      </c>
      <c r="O1154" t="s">
        <v>0</v>
      </c>
      <c r="P1154" t="s">
        <v>147</v>
      </c>
      <c r="Q1154" s="5">
        <v>1</v>
      </c>
      <c r="R1154" s="4">
        <v>122</v>
      </c>
      <c r="S1154" s="5">
        <v>1</v>
      </c>
      <c r="T1154" s="4">
        <v>122</v>
      </c>
      <c r="U1154" s="5">
        <v>1</v>
      </c>
      <c r="V1154" s="4">
        <v>122</v>
      </c>
      <c r="W1154" s="5">
        <v>1</v>
      </c>
      <c r="X1154" s="4">
        <v>122</v>
      </c>
      <c r="Y1154" s="4">
        <f t="shared" si="34"/>
        <v>0</v>
      </c>
      <c r="Z1154" t="s">
        <v>0</v>
      </c>
      <c r="AA1154" t="s">
        <v>2</v>
      </c>
      <c r="AB1154" t="s">
        <v>12</v>
      </c>
      <c r="AC1154">
        <f>_xlfn.XLOOKUP(AB1154,'[1]GST Codes'!$A:$A,'[1]GST Codes'!$C:$C,0,0)</f>
        <v>18</v>
      </c>
      <c r="AD1154">
        <f t="shared" si="35"/>
        <v>0</v>
      </c>
      <c r="AE1154" t="s">
        <v>13</v>
      </c>
      <c r="AF1154" t="s">
        <v>0</v>
      </c>
      <c r="AG1154" t="s">
        <v>14</v>
      </c>
      <c r="AH1154" t="s">
        <v>15</v>
      </c>
      <c r="AI1154" t="s">
        <v>96</v>
      </c>
      <c r="AJ1154" t="s">
        <v>17</v>
      </c>
      <c r="AK1154" t="s">
        <v>18</v>
      </c>
      <c r="AL1154" t="s">
        <v>148</v>
      </c>
      <c r="AM1154" t="s">
        <v>508</v>
      </c>
      <c r="AN1154" t="s">
        <v>0</v>
      </c>
      <c r="AO1154" t="s">
        <v>0</v>
      </c>
      <c r="AP1154" t="s">
        <v>0</v>
      </c>
      <c r="AQ1154" s="5">
        <v>1</v>
      </c>
      <c r="AR1154" t="s">
        <v>147</v>
      </c>
      <c r="AS1154" t="s">
        <v>0</v>
      </c>
      <c r="AT1154" t="s">
        <v>17</v>
      </c>
      <c r="AU1154" s="4">
        <v>0</v>
      </c>
      <c r="AV1154" s="4">
        <v>0</v>
      </c>
      <c r="AW1154" s="4">
        <v>0</v>
      </c>
      <c r="AX1154" s="4">
        <v>0</v>
      </c>
      <c r="AY1154" s="5">
        <v>0</v>
      </c>
      <c r="AZ1154" s="5">
        <v>0</v>
      </c>
      <c r="BA1154" s="5">
        <v>0</v>
      </c>
      <c r="BB1154" s="2"/>
      <c r="BC1154" t="s">
        <v>0</v>
      </c>
      <c r="BD1154" s="5">
        <v>1</v>
      </c>
      <c r="BE1154" t="s">
        <v>0</v>
      </c>
      <c r="BF1154" t="s">
        <v>565</v>
      </c>
      <c r="BG1154" t="s">
        <v>17</v>
      </c>
      <c r="BH1154" t="s">
        <v>0</v>
      </c>
      <c r="BI1154" t="s">
        <v>147</v>
      </c>
      <c r="BJ1154" t="s">
        <v>0</v>
      </c>
      <c r="BK1154" t="s">
        <v>0</v>
      </c>
      <c r="BL1154" s="5">
        <v>0</v>
      </c>
      <c r="BM1154" t="s">
        <v>0</v>
      </c>
      <c r="BN1154" t="s">
        <v>0</v>
      </c>
      <c r="BO1154" t="s">
        <v>0</v>
      </c>
      <c r="BP1154" t="s">
        <v>17</v>
      </c>
      <c r="BQ1154" t="s">
        <v>0</v>
      </c>
      <c r="BR1154" t="s">
        <v>17</v>
      </c>
      <c r="BS1154" t="s">
        <v>17</v>
      </c>
      <c r="BT1154" t="s">
        <v>0</v>
      </c>
      <c r="BU1154" t="s">
        <v>0</v>
      </c>
      <c r="BV1154" t="s">
        <v>0</v>
      </c>
      <c r="BW1154" t="s">
        <v>0</v>
      </c>
      <c r="BX1154" t="s">
        <v>0</v>
      </c>
      <c r="BY1154" t="s">
        <v>0</v>
      </c>
      <c r="BZ1154" t="s">
        <v>0</v>
      </c>
      <c r="CA1154" t="s">
        <v>0</v>
      </c>
      <c r="CB1154" t="s">
        <v>0</v>
      </c>
    </row>
    <row r="1155" spans="1:80" x14ac:dyDescent="0.25">
      <c r="A1155" t="s">
        <v>504</v>
      </c>
      <c r="B1155" s="2">
        <v>46180</v>
      </c>
      <c r="C1155" s="2"/>
      <c r="D1155" s="2"/>
      <c r="E1155" t="s">
        <v>2</v>
      </c>
      <c r="F1155" t="s">
        <v>89</v>
      </c>
      <c r="G1155" t="s">
        <v>0</v>
      </c>
      <c r="H1155" t="s">
        <v>4</v>
      </c>
      <c r="I1155" t="s">
        <v>505</v>
      </c>
      <c r="J1155" t="s">
        <v>6</v>
      </c>
      <c r="K1155" t="s">
        <v>614</v>
      </c>
      <c r="L1155" t="s">
        <v>210</v>
      </c>
      <c r="M1155" t="s">
        <v>564</v>
      </c>
      <c r="N1155" t="s">
        <v>10</v>
      </c>
      <c r="O1155" t="s">
        <v>0</v>
      </c>
      <c r="P1155" t="s">
        <v>147</v>
      </c>
      <c r="Q1155" s="5">
        <v>1</v>
      </c>
      <c r="R1155" s="4">
        <v>246</v>
      </c>
      <c r="S1155" s="5">
        <v>1</v>
      </c>
      <c r="T1155" s="4">
        <v>246</v>
      </c>
      <c r="U1155" s="5">
        <v>1</v>
      </c>
      <c r="V1155" s="4">
        <v>246</v>
      </c>
      <c r="W1155" s="5">
        <v>1</v>
      </c>
      <c r="X1155" s="4">
        <v>246</v>
      </c>
      <c r="Y1155" s="4">
        <f t="shared" ref="Y1155:Y1177" si="36">T1155-V1155</f>
        <v>0</v>
      </c>
      <c r="Z1155" t="s">
        <v>0</v>
      </c>
      <c r="AA1155" t="s">
        <v>2</v>
      </c>
      <c r="AB1155" t="s">
        <v>12</v>
      </c>
      <c r="AC1155">
        <f>_xlfn.XLOOKUP(AB1155,'[1]GST Codes'!$A:$A,'[1]GST Codes'!$C:$C,0,0)</f>
        <v>18</v>
      </c>
      <c r="AD1155">
        <f t="shared" ref="AD1155:AD1177" si="37">Y1155+(Y1155*AC1155/100)</f>
        <v>0</v>
      </c>
      <c r="AE1155" t="s">
        <v>13</v>
      </c>
      <c r="AF1155" t="s">
        <v>0</v>
      </c>
      <c r="AG1155" t="s">
        <v>14</v>
      </c>
      <c r="AH1155" t="s">
        <v>15</v>
      </c>
      <c r="AI1155" t="s">
        <v>96</v>
      </c>
      <c r="AJ1155" t="s">
        <v>17</v>
      </c>
      <c r="AK1155" t="s">
        <v>18</v>
      </c>
      <c r="AL1155" t="s">
        <v>148</v>
      </c>
      <c r="AM1155" t="s">
        <v>508</v>
      </c>
      <c r="AN1155" t="s">
        <v>0</v>
      </c>
      <c r="AO1155" t="s">
        <v>0</v>
      </c>
      <c r="AP1155" t="s">
        <v>0</v>
      </c>
      <c r="AQ1155" s="5">
        <v>1</v>
      </c>
      <c r="AR1155" t="s">
        <v>147</v>
      </c>
      <c r="AS1155" t="s">
        <v>0</v>
      </c>
      <c r="AT1155" t="s">
        <v>17</v>
      </c>
      <c r="AU1155" s="4">
        <v>0</v>
      </c>
      <c r="AV1155" s="4">
        <v>0</v>
      </c>
      <c r="AW1155" s="4">
        <v>0</v>
      </c>
      <c r="AX1155" s="4">
        <v>0</v>
      </c>
      <c r="AY1155" s="5">
        <v>0</v>
      </c>
      <c r="AZ1155" s="5">
        <v>0</v>
      </c>
      <c r="BA1155" s="5">
        <v>0</v>
      </c>
      <c r="BB1155" s="2"/>
      <c r="BC1155" t="s">
        <v>0</v>
      </c>
      <c r="BD1155" s="5">
        <v>1</v>
      </c>
      <c r="BE1155" t="s">
        <v>0</v>
      </c>
      <c r="BF1155" t="s">
        <v>565</v>
      </c>
      <c r="BG1155" t="s">
        <v>17</v>
      </c>
      <c r="BH1155" t="s">
        <v>0</v>
      </c>
      <c r="BI1155" t="s">
        <v>147</v>
      </c>
      <c r="BJ1155" t="s">
        <v>0</v>
      </c>
      <c r="BK1155" t="s">
        <v>0</v>
      </c>
      <c r="BL1155" s="5">
        <v>0</v>
      </c>
      <c r="BM1155" t="s">
        <v>0</v>
      </c>
      <c r="BN1155" t="s">
        <v>0</v>
      </c>
      <c r="BO1155" t="s">
        <v>0</v>
      </c>
      <c r="BP1155" t="s">
        <v>17</v>
      </c>
      <c r="BQ1155" t="s">
        <v>0</v>
      </c>
      <c r="BR1155" t="s">
        <v>17</v>
      </c>
      <c r="BS1155" t="s">
        <v>17</v>
      </c>
      <c r="BT1155" t="s">
        <v>0</v>
      </c>
      <c r="BU1155" t="s">
        <v>0</v>
      </c>
      <c r="BV1155" t="s">
        <v>0</v>
      </c>
      <c r="BW1155" t="s">
        <v>0</v>
      </c>
      <c r="BX1155" t="s">
        <v>0</v>
      </c>
      <c r="BY1155" t="s">
        <v>0</v>
      </c>
      <c r="BZ1155" t="s">
        <v>0</v>
      </c>
      <c r="CA1155" t="s">
        <v>0</v>
      </c>
      <c r="CB1155" t="s">
        <v>0</v>
      </c>
    </row>
    <row r="1156" spans="1:80" x14ac:dyDescent="0.25">
      <c r="A1156" t="s">
        <v>504</v>
      </c>
      <c r="B1156" s="2">
        <v>46180</v>
      </c>
      <c r="C1156" s="2"/>
      <c r="D1156" s="2"/>
      <c r="E1156" t="s">
        <v>2</v>
      </c>
      <c r="F1156" t="s">
        <v>89</v>
      </c>
      <c r="G1156" t="s">
        <v>0</v>
      </c>
      <c r="H1156" t="s">
        <v>4</v>
      </c>
      <c r="I1156" t="s">
        <v>505</v>
      </c>
      <c r="J1156" t="s">
        <v>6</v>
      </c>
      <c r="K1156" t="s">
        <v>615</v>
      </c>
      <c r="L1156" t="s">
        <v>559</v>
      </c>
      <c r="M1156" t="s">
        <v>560</v>
      </c>
      <c r="N1156" t="s">
        <v>10</v>
      </c>
      <c r="O1156" t="s">
        <v>0</v>
      </c>
      <c r="P1156" t="s">
        <v>147</v>
      </c>
      <c r="Q1156" s="5">
        <v>1</v>
      </c>
      <c r="R1156" s="4">
        <v>387</v>
      </c>
      <c r="S1156" s="5">
        <v>1</v>
      </c>
      <c r="T1156" s="4">
        <v>387</v>
      </c>
      <c r="U1156" s="5">
        <v>1</v>
      </c>
      <c r="V1156" s="4">
        <v>387</v>
      </c>
      <c r="W1156" s="5">
        <v>1</v>
      </c>
      <c r="X1156" s="4">
        <v>387</v>
      </c>
      <c r="Y1156" s="4">
        <f t="shared" si="36"/>
        <v>0</v>
      </c>
      <c r="Z1156" t="s">
        <v>0</v>
      </c>
      <c r="AA1156" t="s">
        <v>2</v>
      </c>
      <c r="AB1156" t="s">
        <v>12</v>
      </c>
      <c r="AC1156">
        <f>_xlfn.XLOOKUP(AB1156,'[1]GST Codes'!$A:$A,'[1]GST Codes'!$C:$C,0,0)</f>
        <v>18</v>
      </c>
      <c r="AD1156">
        <f t="shared" si="37"/>
        <v>0</v>
      </c>
      <c r="AE1156" t="s">
        <v>13</v>
      </c>
      <c r="AF1156" t="s">
        <v>0</v>
      </c>
      <c r="AG1156" t="s">
        <v>14</v>
      </c>
      <c r="AH1156" t="s">
        <v>15</v>
      </c>
      <c r="AI1156" t="s">
        <v>96</v>
      </c>
      <c r="AJ1156" t="s">
        <v>17</v>
      </c>
      <c r="AK1156" t="s">
        <v>18</v>
      </c>
      <c r="AL1156" t="s">
        <v>148</v>
      </c>
      <c r="AM1156" t="s">
        <v>508</v>
      </c>
      <c r="AN1156" t="s">
        <v>0</v>
      </c>
      <c r="AO1156" t="s">
        <v>0</v>
      </c>
      <c r="AP1156" t="s">
        <v>0</v>
      </c>
      <c r="AQ1156" s="5">
        <v>1</v>
      </c>
      <c r="AR1156" t="s">
        <v>147</v>
      </c>
      <c r="AS1156" t="s">
        <v>0</v>
      </c>
      <c r="AT1156" t="s">
        <v>17</v>
      </c>
      <c r="AU1156" s="4">
        <v>0</v>
      </c>
      <c r="AV1156" s="4">
        <v>0</v>
      </c>
      <c r="AW1156" s="4">
        <v>0</v>
      </c>
      <c r="AX1156" s="4">
        <v>0</v>
      </c>
      <c r="AY1156" s="5">
        <v>0</v>
      </c>
      <c r="AZ1156" s="5">
        <v>0</v>
      </c>
      <c r="BA1156" s="5">
        <v>0</v>
      </c>
      <c r="BB1156" s="2"/>
      <c r="BC1156" t="s">
        <v>0</v>
      </c>
      <c r="BD1156" s="5">
        <v>1</v>
      </c>
      <c r="BE1156" t="s">
        <v>0</v>
      </c>
      <c r="BF1156" t="s">
        <v>561</v>
      </c>
      <c r="BG1156" t="s">
        <v>17</v>
      </c>
      <c r="BH1156" t="s">
        <v>0</v>
      </c>
      <c r="BI1156" t="s">
        <v>147</v>
      </c>
      <c r="BJ1156" t="s">
        <v>0</v>
      </c>
      <c r="BK1156" t="s">
        <v>0</v>
      </c>
      <c r="BL1156" s="5">
        <v>0</v>
      </c>
      <c r="BM1156" t="s">
        <v>0</v>
      </c>
      <c r="BN1156" t="s">
        <v>0</v>
      </c>
      <c r="BO1156" t="s">
        <v>0</v>
      </c>
      <c r="BP1156" t="s">
        <v>17</v>
      </c>
      <c r="BQ1156" t="s">
        <v>0</v>
      </c>
      <c r="BR1156" t="s">
        <v>17</v>
      </c>
      <c r="BS1156" t="s">
        <v>17</v>
      </c>
      <c r="BT1156" t="s">
        <v>0</v>
      </c>
      <c r="BU1156" t="s">
        <v>0</v>
      </c>
      <c r="BV1156" t="s">
        <v>0</v>
      </c>
      <c r="BW1156" t="s">
        <v>0</v>
      </c>
      <c r="BX1156" t="s">
        <v>0</v>
      </c>
      <c r="BY1156" t="s">
        <v>0</v>
      </c>
      <c r="BZ1156" t="s">
        <v>0</v>
      </c>
      <c r="CA1156" t="s">
        <v>0</v>
      </c>
      <c r="CB1156" t="s">
        <v>0</v>
      </c>
    </row>
    <row r="1157" spans="1:80" x14ac:dyDescent="0.25">
      <c r="A1157" t="s">
        <v>504</v>
      </c>
      <c r="B1157" s="2">
        <v>46180</v>
      </c>
      <c r="C1157" s="2"/>
      <c r="D1157" s="2"/>
      <c r="E1157" t="s">
        <v>2</v>
      </c>
      <c r="F1157" t="s">
        <v>89</v>
      </c>
      <c r="G1157" t="s">
        <v>0</v>
      </c>
      <c r="H1157" t="s">
        <v>4</v>
      </c>
      <c r="I1157" t="s">
        <v>505</v>
      </c>
      <c r="J1157" t="s">
        <v>6</v>
      </c>
      <c r="K1157" t="s">
        <v>616</v>
      </c>
      <c r="L1157" t="s">
        <v>536</v>
      </c>
      <c r="M1157" t="s">
        <v>537</v>
      </c>
      <c r="N1157" t="s">
        <v>10</v>
      </c>
      <c r="O1157" t="s">
        <v>0</v>
      </c>
      <c r="P1157" t="s">
        <v>147</v>
      </c>
      <c r="Q1157" s="5">
        <v>5</v>
      </c>
      <c r="R1157" s="4">
        <v>111</v>
      </c>
      <c r="S1157" s="5">
        <v>1</v>
      </c>
      <c r="T1157" s="4">
        <v>555</v>
      </c>
      <c r="U1157" s="5">
        <v>5</v>
      </c>
      <c r="V1157" s="4">
        <v>555</v>
      </c>
      <c r="W1157" s="5">
        <v>5</v>
      </c>
      <c r="X1157" s="4">
        <v>555</v>
      </c>
      <c r="Y1157" s="4">
        <f t="shared" si="36"/>
        <v>0</v>
      </c>
      <c r="Z1157" t="s">
        <v>0</v>
      </c>
      <c r="AA1157" t="s">
        <v>2</v>
      </c>
      <c r="AB1157" t="s">
        <v>12</v>
      </c>
      <c r="AC1157">
        <f>_xlfn.XLOOKUP(AB1157,'[1]GST Codes'!$A:$A,'[1]GST Codes'!$C:$C,0,0)</f>
        <v>18</v>
      </c>
      <c r="AD1157">
        <f t="shared" si="37"/>
        <v>0</v>
      </c>
      <c r="AE1157" t="s">
        <v>13</v>
      </c>
      <c r="AF1157" t="s">
        <v>0</v>
      </c>
      <c r="AG1157" t="s">
        <v>14</v>
      </c>
      <c r="AH1157" t="s">
        <v>15</v>
      </c>
      <c r="AI1157" t="s">
        <v>96</v>
      </c>
      <c r="AJ1157" t="s">
        <v>17</v>
      </c>
      <c r="AK1157" t="s">
        <v>18</v>
      </c>
      <c r="AL1157" t="s">
        <v>148</v>
      </c>
      <c r="AM1157" t="s">
        <v>508</v>
      </c>
      <c r="AN1157" t="s">
        <v>0</v>
      </c>
      <c r="AO1157" t="s">
        <v>0</v>
      </c>
      <c r="AP1157" t="s">
        <v>0</v>
      </c>
      <c r="AQ1157" s="5">
        <v>5</v>
      </c>
      <c r="AR1157" t="s">
        <v>147</v>
      </c>
      <c r="AS1157" t="s">
        <v>0</v>
      </c>
      <c r="AT1157" t="s">
        <v>17</v>
      </c>
      <c r="AU1157" s="4">
        <v>0</v>
      </c>
      <c r="AV1157" s="4">
        <v>0</v>
      </c>
      <c r="AW1157" s="4">
        <v>0</v>
      </c>
      <c r="AX1157" s="4">
        <v>0</v>
      </c>
      <c r="AY1157" s="5">
        <v>0</v>
      </c>
      <c r="AZ1157" s="5">
        <v>0</v>
      </c>
      <c r="BA1157" s="5">
        <v>0</v>
      </c>
      <c r="BB1157" s="2"/>
      <c r="BC1157" t="s">
        <v>0</v>
      </c>
      <c r="BD1157" s="5">
        <v>1</v>
      </c>
      <c r="BE1157" t="s">
        <v>0</v>
      </c>
      <c r="BF1157" t="s">
        <v>538</v>
      </c>
      <c r="BG1157" t="s">
        <v>17</v>
      </c>
      <c r="BH1157" t="s">
        <v>0</v>
      </c>
      <c r="BI1157" t="s">
        <v>147</v>
      </c>
      <c r="BJ1157" t="s">
        <v>0</v>
      </c>
      <c r="BK1157" t="s">
        <v>0</v>
      </c>
      <c r="BL1157" s="5">
        <v>0</v>
      </c>
      <c r="BM1157" t="s">
        <v>0</v>
      </c>
      <c r="BN1157" t="s">
        <v>0</v>
      </c>
      <c r="BO1157" t="s">
        <v>0</v>
      </c>
      <c r="BP1157" t="s">
        <v>17</v>
      </c>
      <c r="BQ1157" t="s">
        <v>0</v>
      </c>
      <c r="BR1157" t="s">
        <v>17</v>
      </c>
      <c r="BS1157" t="s">
        <v>17</v>
      </c>
      <c r="BT1157" t="s">
        <v>0</v>
      </c>
      <c r="BU1157" t="s">
        <v>0</v>
      </c>
      <c r="BV1157" t="s">
        <v>0</v>
      </c>
      <c r="BW1157" t="s">
        <v>0</v>
      </c>
      <c r="BX1157" t="s">
        <v>0</v>
      </c>
      <c r="BY1157" t="s">
        <v>0</v>
      </c>
      <c r="BZ1157" t="s">
        <v>0</v>
      </c>
      <c r="CA1157" t="s">
        <v>0</v>
      </c>
      <c r="CB1157" t="s">
        <v>0</v>
      </c>
    </row>
    <row r="1158" spans="1:80" x14ac:dyDescent="0.25">
      <c r="A1158" t="s">
        <v>504</v>
      </c>
      <c r="B1158" s="2">
        <v>46180</v>
      </c>
      <c r="C1158" s="2"/>
      <c r="D1158" s="2"/>
      <c r="E1158" t="s">
        <v>2</v>
      </c>
      <c r="F1158" t="s">
        <v>89</v>
      </c>
      <c r="G1158" t="s">
        <v>0</v>
      </c>
      <c r="H1158" t="s">
        <v>4</v>
      </c>
      <c r="I1158" t="s">
        <v>505</v>
      </c>
      <c r="J1158" t="s">
        <v>6</v>
      </c>
      <c r="K1158" t="s">
        <v>617</v>
      </c>
      <c r="L1158" t="s">
        <v>536</v>
      </c>
      <c r="M1158" t="s">
        <v>537</v>
      </c>
      <c r="N1158" t="s">
        <v>10</v>
      </c>
      <c r="O1158" t="s">
        <v>0</v>
      </c>
      <c r="P1158" t="s">
        <v>147</v>
      </c>
      <c r="Q1158" s="5">
        <v>2</v>
      </c>
      <c r="R1158" s="4">
        <v>125</v>
      </c>
      <c r="S1158" s="5">
        <v>1</v>
      </c>
      <c r="T1158" s="4">
        <v>250</v>
      </c>
      <c r="U1158" s="5">
        <v>2</v>
      </c>
      <c r="V1158" s="4">
        <v>250</v>
      </c>
      <c r="W1158" s="5">
        <v>2</v>
      </c>
      <c r="X1158" s="4">
        <v>250</v>
      </c>
      <c r="Y1158" s="4">
        <f t="shared" si="36"/>
        <v>0</v>
      </c>
      <c r="Z1158" t="s">
        <v>0</v>
      </c>
      <c r="AA1158" t="s">
        <v>2</v>
      </c>
      <c r="AB1158" t="s">
        <v>12</v>
      </c>
      <c r="AC1158">
        <f>_xlfn.XLOOKUP(AB1158,'[1]GST Codes'!$A:$A,'[1]GST Codes'!$C:$C,0,0)</f>
        <v>18</v>
      </c>
      <c r="AD1158">
        <f t="shared" si="37"/>
        <v>0</v>
      </c>
      <c r="AE1158" t="s">
        <v>13</v>
      </c>
      <c r="AF1158" t="s">
        <v>0</v>
      </c>
      <c r="AG1158" t="s">
        <v>14</v>
      </c>
      <c r="AH1158" t="s">
        <v>15</v>
      </c>
      <c r="AI1158" t="s">
        <v>96</v>
      </c>
      <c r="AJ1158" t="s">
        <v>17</v>
      </c>
      <c r="AK1158" t="s">
        <v>18</v>
      </c>
      <c r="AL1158" t="s">
        <v>148</v>
      </c>
      <c r="AM1158" t="s">
        <v>508</v>
      </c>
      <c r="AN1158" t="s">
        <v>0</v>
      </c>
      <c r="AO1158" t="s">
        <v>0</v>
      </c>
      <c r="AP1158" t="s">
        <v>0</v>
      </c>
      <c r="AQ1158" s="5">
        <v>2</v>
      </c>
      <c r="AR1158" t="s">
        <v>147</v>
      </c>
      <c r="AS1158" t="s">
        <v>0</v>
      </c>
      <c r="AT1158" t="s">
        <v>17</v>
      </c>
      <c r="AU1158" s="4">
        <v>0</v>
      </c>
      <c r="AV1158" s="4">
        <v>0</v>
      </c>
      <c r="AW1158" s="4">
        <v>0</v>
      </c>
      <c r="AX1158" s="4">
        <v>0</v>
      </c>
      <c r="AY1158" s="5">
        <v>0</v>
      </c>
      <c r="AZ1158" s="5">
        <v>0</v>
      </c>
      <c r="BA1158" s="5">
        <v>0</v>
      </c>
      <c r="BB1158" s="2"/>
      <c r="BC1158" t="s">
        <v>0</v>
      </c>
      <c r="BD1158" s="5">
        <v>1</v>
      </c>
      <c r="BE1158" t="s">
        <v>0</v>
      </c>
      <c r="BF1158" t="s">
        <v>538</v>
      </c>
      <c r="BG1158" t="s">
        <v>17</v>
      </c>
      <c r="BH1158" t="s">
        <v>0</v>
      </c>
      <c r="BI1158" t="s">
        <v>147</v>
      </c>
      <c r="BJ1158" t="s">
        <v>0</v>
      </c>
      <c r="BK1158" t="s">
        <v>0</v>
      </c>
      <c r="BL1158" s="5">
        <v>0</v>
      </c>
      <c r="BM1158" t="s">
        <v>0</v>
      </c>
      <c r="BN1158" t="s">
        <v>0</v>
      </c>
      <c r="BO1158" t="s">
        <v>0</v>
      </c>
      <c r="BP1158" t="s">
        <v>17</v>
      </c>
      <c r="BQ1158" t="s">
        <v>0</v>
      </c>
      <c r="BR1158" t="s">
        <v>17</v>
      </c>
      <c r="BS1158" t="s">
        <v>17</v>
      </c>
      <c r="BT1158" t="s">
        <v>0</v>
      </c>
      <c r="BU1158" t="s">
        <v>0</v>
      </c>
      <c r="BV1158" t="s">
        <v>0</v>
      </c>
      <c r="BW1158" t="s">
        <v>0</v>
      </c>
      <c r="BX1158" t="s">
        <v>0</v>
      </c>
      <c r="BY1158" t="s">
        <v>0</v>
      </c>
      <c r="BZ1158" t="s">
        <v>0</v>
      </c>
      <c r="CA1158" t="s">
        <v>0</v>
      </c>
      <c r="CB1158" t="s">
        <v>0</v>
      </c>
    </row>
    <row r="1159" spans="1:80" x14ac:dyDescent="0.25">
      <c r="A1159" t="s">
        <v>504</v>
      </c>
      <c r="B1159" s="2">
        <v>46180</v>
      </c>
      <c r="C1159" s="2"/>
      <c r="D1159" s="2"/>
      <c r="E1159" t="s">
        <v>2</v>
      </c>
      <c r="F1159" t="s">
        <v>89</v>
      </c>
      <c r="G1159" t="s">
        <v>0</v>
      </c>
      <c r="H1159" t="s">
        <v>4</v>
      </c>
      <c r="I1159" t="s">
        <v>505</v>
      </c>
      <c r="J1159" t="s">
        <v>6</v>
      </c>
      <c r="K1159" t="s">
        <v>618</v>
      </c>
      <c r="L1159" t="s">
        <v>536</v>
      </c>
      <c r="M1159" t="s">
        <v>537</v>
      </c>
      <c r="N1159" t="s">
        <v>10</v>
      </c>
      <c r="O1159" t="s">
        <v>0</v>
      </c>
      <c r="P1159" t="s">
        <v>147</v>
      </c>
      <c r="Q1159" s="5">
        <v>2</v>
      </c>
      <c r="R1159" s="4">
        <v>161</v>
      </c>
      <c r="S1159" s="5">
        <v>1</v>
      </c>
      <c r="T1159" s="4">
        <v>322</v>
      </c>
      <c r="U1159" s="5">
        <v>2</v>
      </c>
      <c r="V1159" s="4">
        <v>322</v>
      </c>
      <c r="W1159" s="5">
        <v>2</v>
      </c>
      <c r="X1159" s="4">
        <v>322</v>
      </c>
      <c r="Y1159" s="4">
        <f t="shared" si="36"/>
        <v>0</v>
      </c>
      <c r="Z1159" t="s">
        <v>0</v>
      </c>
      <c r="AA1159" t="s">
        <v>2</v>
      </c>
      <c r="AB1159" t="s">
        <v>12</v>
      </c>
      <c r="AC1159">
        <f>_xlfn.XLOOKUP(AB1159,'[1]GST Codes'!$A:$A,'[1]GST Codes'!$C:$C,0,0)</f>
        <v>18</v>
      </c>
      <c r="AD1159">
        <f t="shared" si="37"/>
        <v>0</v>
      </c>
      <c r="AE1159" t="s">
        <v>13</v>
      </c>
      <c r="AF1159" t="s">
        <v>0</v>
      </c>
      <c r="AG1159" t="s">
        <v>14</v>
      </c>
      <c r="AH1159" t="s">
        <v>15</v>
      </c>
      <c r="AI1159" t="s">
        <v>96</v>
      </c>
      <c r="AJ1159" t="s">
        <v>17</v>
      </c>
      <c r="AK1159" t="s">
        <v>18</v>
      </c>
      <c r="AL1159" t="s">
        <v>148</v>
      </c>
      <c r="AM1159" t="s">
        <v>508</v>
      </c>
      <c r="AN1159" t="s">
        <v>0</v>
      </c>
      <c r="AO1159" t="s">
        <v>0</v>
      </c>
      <c r="AP1159" t="s">
        <v>0</v>
      </c>
      <c r="AQ1159" s="5">
        <v>2</v>
      </c>
      <c r="AR1159" t="s">
        <v>147</v>
      </c>
      <c r="AS1159" t="s">
        <v>0</v>
      </c>
      <c r="AT1159" t="s">
        <v>17</v>
      </c>
      <c r="AU1159" s="4">
        <v>0</v>
      </c>
      <c r="AV1159" s="4">
        <v>0</v>
      </c>
      <c r="AW1159" s="4">
        <v>0</v>
      </c>
      <c r="AX1159" s="4">
        <v>0</v>
      </c>
      <c r="AY1159" s="5">
        <v>0</v>
      </c>
      <c r="AZ1159" s="5">
        <v>0</v>
      </c>
      <c r="BA1159" s="5">
        <v>0</v>
      </c>
      <c r="BB1159" s="2"/>
      <c r="BC1159" t="s">
        <v>0</v>
      </c>
      <c r="BD1159" s="5">
        <v>1</v>
      </c>
      <c r="BE1159" t="s">
        <v>0</v>
      </c>
      <c r="BF1159" t="s">
        <v>538</v>
      </c>
      <c r="BG1159" t="s">
        <v>17</v>
      </c>
      <c r="BH1159" t="s">
        <v>0</v>
      </c>
      <c r="BI1159" t="s">
        <v>147</v>
      </c>
      <c r="BJ1159" t="s">
        <v>0</v>
      </c>
      <c r="BK1159" t="s">
        <v>0</v>
      </c>
      <c r="BL1159" s="5">
        <v>0</v>
      </c>
      <c r="BM1159" t="s">
        <v>0</v>
      </c>
      <c r="BN1159" t="s">
        <v>0</v>
      </c>
      <c r="BO1159" t="s">
        <v>0</v>
      </c>
      <c r="BP1159" t="s">
        <v>17</v>
      </c>
      <c r="BQ1159" t="s">
        <v>0</v>
      </c>
      <c r="BR1159" t="s">
        <v>17</v>
      </c>
      <c r="BS1159" t="s">
        <v>17</v>
      </c>
      <c r="BT1159" t="s">
        <v>0</v>
      </c>
      <c r="BU1159" t="s">
        <v>0</v>
      </c>
      <c r="BV1159" t="s">
        <v>0</v>
      </c>
      <c r="BW1159" t="s">
        <v>0</v>
      </c>
      <c r="BX1159" t="s">
        <v>0</v>
      </c>
      <c r="BY1159" t="s">
        <v>0</v>
      </c>
      <c r="BZ1159" t="s">
        <v>0</v>
      </c>
      <c r="CA1159" t="s">
        <v>0</v>
      </c>
      <c r="CB1159" t="s">
        <v>0</v>
      </c>
    </row>
    <row r="1160" spans="1:80" x14ac:dyDescent="0.25">
      <c r="A1160" t="s">
        <v>504</v>
      </c>
      <c r="B1160" s="2">
        <v>46180</v>
      </c>
      <c r="C1160" s="2"/>
      <c r="D1160" s="2"/>
      <c r="E1160" t="s">
        <v>2</v>
      </c>
      <c r="F1160" t="s">
        <v>89</v>
      </c>
      <c r="G1160" t="s">
        <v>0</v>
      </c>
      <c r="H1160" t="s">
        <v>4</v>
      </c>
      <c r="I1160" t="s">
        <v>505</v>
      </c>
      <c r="J1160" t="s">
        <v>6</v>
      </c>
      <c r="K1160" t="s">
        <v>619</v>
      </c>
      <c r="L1160" t="s">
        <v>536</v>
      </c>
      <c r="M1160" t="s">
        <v>537</v>
      </c>
      <c r="N1160" t="s">
        <v>10</v>
      </c>
      <c r="O1160" t="s">
        <v>0</v>
      </c>
      <c r="P1160" t="s">
        <v>147</v>
      </c>
      <c r="Q1160" s="5">
        <v>1</v>
      </c>
      <c r="R1160" s="4">
        <v>100</v>
      </c>
      <c r="S1160" s="5">
        <v>1</v>
      </c>
      <c r="T1160" s="4">
        <v>100</v>
      </c>
      <c r="U1160" s="5">
        <v>1</v>
      </c>
      <c r="V1160" s="4">
        <v>100</v>
      </c>
      <c r="W1160" s="5">
        <v>1</v>
      </c>
      <c r="X1160" s="4">
        <v>100</v>
      </c>
      <c r="Y1160" s="4">
        <f t="shared" si="36"/>
        <v>0</v>
      </c>
      <c r="Z1160" t="s">
        <v>0</v>
      </c>
      <c r="AA1160" t="s">
        <v>2</v>
      </c>
      <c r="AB1160" t="s">
        <v>12</v>
      </c>
      <c r="AC1160">
        <f>_xlfn.XLOOKUP(AB1160,'[1]GST Codes'!$A:$A,'[1]GST Codes'!$C:$C,0,0)</f>
        <v>18</v>
      </c>
      <c r="AD1160">
        <f t="shared" si="37"/>
        <v>0</v>
      </c>
      <c r="AE1160" t="s">
        <v>13</v>
      </c>
      <c r="AF1160" t="s">
        <v>0</v>
      </c>
      <c r="AG1160" t="s">
        <v>14</v>
      </c>
      <c r="AH1160" t="s">
        <v>15</v>
      </c>
      <c r="AI1160" t="s">
        <v>96</v>
      </c>
      <c r="AJ1160" t="s">
        <v>17</v>
      </c>
      <c r="AK1160" t="s">
        <v>18</v>
      </c>
      <c r="AL1160" t="s">
        <v>148</v>
      </c>
      <c r="AM1160" t="s">
        <v>508</v>
      </c>
      <c r="AN1160" t="s">
        <v>0</v>
      </c>
      <c r="AO1160" t="s">
        <v>0</v>
      </c>
      <c r="AP1160" t="s">
        <v>0</v>
      </c>
      <c r="AQ1160" s="5">
        <v>1</v>
      </c>
      <c r="AR1160" t="s">
        <v>147</v>
      </c>
      <c r="AS1160" t="s">
        <v>0</v>
      </c>
      <c r="AT1160" t="s">
        <v>17</v>
      </c>
      <c r="AU1160" s="4">
        <v>0</v>
      </c>
      <c r="AV1160" s="4">
        <v>0</v>
      </c>
      <c r="AW1160" s="4">
        <v>0</v>
      </c>
      <c r="AX1160" s="4">
        <v>0</v>
      </c>
      <c r="AY1160" s="5">
        <v>0</v>
      </c>
      <c r="AZ1160" s="5">
        <v>0</v>
      </c>
      <c r="BA1160" s="5">
        <v>0</v>
      </c>
      <c r="BB1160" s="2"/>
      <c r="BC1160" t="s">
        <v>0</v>
      </c>
      <c r="BD1160" s="5">
        <v>1</v>
      </c>
      <c r="BE1160" t="s">
        <v>0</v>
      </c>
      <c r="BF1160" t="s">
        <v>538</v>
      </c>
      <c r="BG1160" t="s">
        <v>17</v>
      </c>
      <c r="BH1160" t="s">
        <v>0</v>
      </c>
      <c r="BI1160" t="s">
        <v>147</v>
      </c>
      <c r="BJ1160" t="s">
        <v>0</v>
      </c>
      <c r="BK1160" t="s">
        <v>0</v>
      </c>
      <c r="BL1160" s="5">
        <v>0</v>
      </c>
      <c r="BM1160" t="s">
        <v>0</v>
      </c>
      <c r="BN1160" t="s">
        <v>0</v>
      </c>
      <c r="BO1160" t="s">
        <v>0</v>
      </c>
      <c r="BP1160" t="s">
        <v>17</v>
      </c>
      <c r="BQ1160" t="s">
        <v>0</v>
      </c>
      <c r="BR1160" t="s">
        <v>17</v>
      </c>
      <c r="BS1160" t="s">
        <v>17</v>
      </c>
      <c r="BT1160" t="s">
        <v>0</v>
      </c>
      <c r="BU1160" t="s">
        <v>0</v>
      </c>
      <c r="BV1160" t="s">
        <v>0</v>
      </c>
      <c r="BW1160" t="s">
        <v>0</v>
      </c>
      <c r="BX1160" t="s">
        <v>0</v>
      </c>
      <c r="BY1160" t="s">
        <v>0</v>
      </c>
      <c r="BZ1160" t="s">
        <v>0</v>
      </c>
      <c r="CA1160" t="s">
        <v>0</v>
      </c>
      <c r="CB1160" t="s">
        <v>0</v>
      </c>
    </row>
    <row r="1161" spans="1:80" x14ac:dyDescent="0.25">
      <c r="A1161" t="s">
        <v>504</v>
      </c>
      <c r="B1161" s="2">
        <v>46180</v>
      </c>
      <c r="C1161" s="2"/>
      <c r="D1161" s="2"/>
      <c r="E1161" t="s">
        <v>2</v>
      </c>
      <c r="F1161" t="s">
        <v>89</v>
      </c>
      <c r="G1161" t="s">
        <v>0</v>
      </c>
      <c r="H1161" t="s">
        <v>4</v>
      </c>
      <c r="I1161" t="s">
        <v>505</v>
      </c>
      <c r="J1161" t="s">
        <v>6</v>
      </c>
      <c r="K1161" t="s">
        <v>620</v>
      </c>
      <c r="L1161" t="s">
        <v>536</v>
      </c>
      <c r="M1161" t="s">
        <v>537</v>
      </c>
      <c r="N1161" t="s">
        <v>10</v>
      </c>
      <c r="O1161" t="s">
        <v>0</v>
      </c>
      <c r="P1161" t="s">
        <v>147</v>
      </c>
      <c r="Q1161" s="5">
        <v>1</v>
      </c>
      <c r="R1161" s="4">
        <v>264</v>
      </c>
      <c r="S1161" s="5">
        <v>1</v>
      </c>
      <c r="T1161" s="4">
        <v>264</v>
      </c>
      <c r="U1161" s="5">
        <v>1</v>
      </c>
      <c r="V1161" s="4">
        <v>264</v>
      </c>
      <c r="W1161" s="5">
        <v>1</v>
      </c>
      <c r="X1161" s="4">
        <v>264</v>
      </c>
      <c r="Y1161" s="4">
        <f t="shared" si="36"/>
        <v>0</v>
      </c>
      <c r="Z1161" t="s">
        <v>0</v>
      </c>
      <c r="AA1161" t="s">
        <v>2</v>
      </c>
      <c r="AB1161" t="s">
        <v>12</v>
      </c>
      <c r="AC1161">
        <f>_xlfn.XLOOKUP(AB1161,'[1]GST Codes'!$A:$A,'[1]GST Codes'!$C:$C,0,0)</f>
        <v>18</v>
      </c>
      <c r="AD1161">
        <f t="shared" si="37"/>
        <v>0</v>
      </c>
      <c r="AE1161" t="s">
        <v>13</v>
      </c>
      <c r="AF1161" t="s">
        <v>0</v>
      </c>
      <c r="AG1161" t="s">
        <v>14</v>
      </c>
      <c r="AH1161" t="s">
        <v>15</v>
      </c>
      <c r="AI1161" t="s">
        <v>96</v>
      </c>
      <c r="AJ1161" t="s">
        <v>17</v>
      </c>
      <c r="AK1161" t="s">
        <v>18</v>
      </c>
      <c r="AL1161" t="s">
        <v>148</v>
      </c>
      <c r="AM1161" t="s">
        <v>508</v>
      </c>
      <c r="AN1161" t="s">
        <v>0</v>
      </c>
      <c r="AO1161" t="s">
        <v>0</v>
      </c>
      <c r="AP1161" t="s">
        <v>0</v>
      </c>
      <c r="AQ1161" s="5">
        <v>1</v>
      </c>
      <c r="AR1161" t="s">
        <v>147</v>
      </c>
      <c r="AS1161" t="s">
        <v>0</v>
      </c>
      <c r="AT1161" t="s">
        <v>17</v>
      </c>
      <c r="AU1161" s="4">
        <v>0</v>
      </c>
      <c r="AV1161" s="4">
        <v>0</v>
      </c>
      <c r="AW1161" s="4">
        <v>0</v>
      </c>
      <c r="AX1161" s="4">
        <v>0</v>
      </c>
      <c r="AY1161" s="5">
        <v>0</v>
      </c>
      <c r="AZ1161" s="5">
        <v>0</v>
      </c>
      <c r="BA1161" s="5">
        <v>0</v>
      </c>
      <c r="BB1161" s="2"/>
      <c r="BC1161" t="s">
        <v>0</v>
      </c>
      <c r="BD1161" s="5">
        <v>1</v>
      </c>
      <c r="BE1161" t="s">
        <v>0</v>
      </c>
      <c r="BF1161" t="s">
        <v>538</v>
      </c>
      <c r="BG1161" t="s">
        <v>17</v>
      </c>
      <c r="BH1161" t="s">
        <v>0</v>
      </c>
      <c r="BI1161" t="s">
        <v>147</v>
      </c>
      <c r="BJ1161" t="s">
        <v>0</v>
      </c>
      <c r="BK1161" t="s">
        <v>0</v>
      </c>
      <c r="BL1161" s="5">
        <v>0</v>
      </c>
      <c r="BM1161" t="s">
        <v>0</v>
      </c>
      <c r="BN1161" t="s">
        <v>0</v>
      </c>
      <c r="BO1161" t="s">
        <v>0</v>
      </c>
      <c r="BP1161" t="s">
        <v>17</v>
      </c>
      <c r="BQ1161" t="s">
        <v>0</v>
      </c>
      <c r="BR1161" t="s">
        <v>17</v>
      </c>
      <c r="BS1161" t="s">
        <v>17</v>
      </c>
      <c r="BT1161" t="s">
        <v>0</v>
      </c>
      <c r="BU1161" t="s">
        <v>0</v>
      </c>
      <c r="BV1161" t="s">
        <v>0</v>
      </c>
      <c r="BW1161" t="s">
        <v>0</v>
      </c>
      <c r="BX1161" t="s">
        <v>0</v>
      </c>
      <c r="BY1161" t="s">
        <v>0</v>
      </c>
      <c r="BZ1161" t="s">
        <v>0</v>
      </c>
      <c r="CA1161" t="s">
        <v>0</v>
      </c>
      <c r="CB1161" t="s">
        <v>0</v>
      </c>
    </row>
    <row r="1162" spans="1:80" x14ac:dyDescent="0.25">
      <c r="A1162" t="s">
        <v>504</v>
      </c>
      <c r="B1162" s="2">
        <v>46180</v>
      </c>
      <c r="C1162" s="2"/>
      <c r="D1162" s="2"/>
      <c r="E1162" t="s">
        <v>2</v>
      </c>
      <c r="F1162" t="s">
        <v>89</v>
      </c>
      <c r="G1162" t="s">
        <v>0</v>
      </c>
      <c r="H1162" t="s">
        <v>4</v>
      </c>
      <c r="I1162" t="s">
        <v>505</v>
      </c>
      <c r="J1162" t="s">
        <v>6</v>
      </c>
      <c r="K1162" t="s">
        <v>621</v>
      </c>
      <c r="L1162" t="s">
        <v>559</v>
      </c>
      <c r="M1162" t="s">
        <v>560</v>
      </c>
      <c r="N1162" t="s">
        <v>10</v>
      </c>
      <c r="O1162" t="s">
        <v>0</v>
      </c>
      <c r="P1162" t="s">
        <v>147</v>
      </c>
      <c r="Q1162" s="5">
        <v>8</v>
      </c>
      <c r="R1162" s="4">
        <v>136</v>
      </c>
      <c r="S1162" s="5">
        <v>1</v>
      </c>
      <c r="T1162" s="4">
        <v>1088</v>
      </c>
      <c r="U1162" s="5">
        <v>8</v>
      </c>
      <c r="V1162" s="4">
        <v>1088</v>
      </c>
      <c r="W1162" s="5">
        <v>8</v>
      </c>
      <c r="X1162" s="4">
        <v>1088</v>
      </c>
      <c r="Y1162" s="4">
        <f t="shared" si="36"/>
        <v>0</v>
      </c>
      <c r="Z1162" t="s">
        <v>0</v>
      </c>
      <c r="AA1162" t="s">
        <v>2</v>
      </c>
      <c r="AB1162" t="s">
        <v>12</v>
      </c>
      <c r="AC1162">
        <f>_xlfn.XLOOKUP(AB1162,'[1]GST Codes'!$A:$A,'[1]GST Codes'!$C:$C,0,0)</f>
        <v>18</v>
      </c>
      <c r="AD1162">
        <f t="shared" si="37"/>
        <v>0</v>
      </c>
      <c r="AE1162" t="s">
        <v>13</v>
      </c>
      <c r="AF1162" t="s">
        <v>0</v>
      </c>
      <c r="AG1162" t="s">
        <v>14</v>
      </c>
      <c r="AH1162" t="s">
        <v>15</v>
      </c>
      <c r="AI1162" t="s">
        <v>96</v>
      </c>
      <c r="AJ1162" t="s">
        <v>17</v>
      </c>
      <c r="AK1162" t="s">
        <v>18</v>
      </c>
      <c r="AL1162" t="s">
        <v>148</v>
      </c>
      <c r="AM1162" t="s">
        <v>508</v>
      </c>
      <c r="AN1162" t="s">
        <v>0</v>
      </c>
      <c r="AO1162" t="s">
        <v>0</v>
      </c>
      <c r="AP1162" t="s">
        <v>0</v>
      </c>
      <c r="AQ1162" s="5">
        <v>8</v>
      </c>
      <c r="AR1162" t="s">
        <v>147</v>
      </c>
      <c r="AS1162" t="s">
        <v>0</v>
      </c>
      <c r="AT1162" t="s">
        <v>17</v>
      </c>
      <c r="AU1162" s="4">
        <v>0</v>
      </c>
      <c r="AV1162" s="4">
        <v>0</v>
      </c>
      <c r="AW1162" s="4">
        <v>0</v>
      </c>
      <c r="AX1162" s="4">
        <v>0</v>
      </c>
      <c r="AY1162" s="5">
        <v>0</v>
      </c>
      <c r="AZ1162" s="5">
        <v>0</v>
      </c>
      <c r="BA1162" s="5">
        <v>0</v>
      </c>
      <c r="BB1162" s="2"/>
      <c r="BC1162" t="s">
        <v>0</v>
      </c>
      <c r="BD1162" s="5">
        <v>1</v>
      </c>
      <c r="BE1162" t="s">
        <v>0</v>
      </c>
      <c r="BF1162" t="s">
        <v>561</v>
      </c>
      <c r="BG1162" t="s">
        <v>17</v>
      </c>
      <c r="BH1162" t="s">
        <v>0</v>
      </c>
      <c r="BI1162" t="s">
        <v>147</v>
      </c>
      <c r="BJ1162" t="s">
        <v>0</v>
      </c>
      <c r="BK1162" t="s">
        <v>0</v>
      </c>
      <c r="BL1162" s="5">
        <v>0</v>
      </c>
      <c r="BM1162" t="s">
        <v>0</v>
      </c>
      <c r="BN1162" t="s">
        <v>0</v>
      </c>
      <c r="BO1162" t="s">
        <v>0</v>
      </c>
      <c r="BP1162" t="s">
        <v>17</v>
      </c>
      <c r="BQ1162" t="s">
        <v>0</v>
      </c>
      <c r="BR1162" t="s">
        <v>17</v>
      </c>
      <c r="BS1162" t="s">
        <v>17</v>
      </c>
      <c r="BT1162" t="s">
        <v>0</v>
      </c>
      <c r="BU1162" t="s">
        <v>0</v>
      </c>
      <c r="BV1162" t="s">
        <v>0</v>
      </c>
      <c r="BW1162" t="s">
        <v>0</v>
      </c>
      <c r="BX1162" t="s">
        <v>0</v>
      </c>
      <c r="BY1162" t="s">
        <v>0</v>
      </c>
      <c r="BZ1162" t="s">
        <v>0</v>
      </c>
      <c r="CA1162" t="s">
        <v>0</v>
      </c>
      <c r="CB1162" t="s">
        <v>0</v>
      </c>
    </row>
    <row r="1163" spans="1:80" x14ac:dyDescent="0.25">
      <c r="A1163" t="s">
        <v>504</v>
      </c>
      <c r="B1163" s="2">
        <v>46180</v>
      </c>
      <c r="C1163" s="2"/>
      <c r="D1163" s="2"/>
      <c r="E1163" t="s">
        <v>2</v>
      </c>
      <c r="F1163" t="s">
        <v>89</v>
      </c>
      <c r="G1163" t="s">
        <v>0</v>
      </c>
      <c r="H1163" t="s">
        <v>4</v>
      </c>
      <c r="I1163" t="s">
        <v>505</v>
      </c>
      <c r="J1163" t="s">
        <v>6</v>
      </c>
      <c r="K1163" t="s">
        <v>622</v>
      </c>
      <c r="L1163" t="s">
        <v>542</v>
      </c>
      <c r="M1163" t="s">
        <v>543</v>
      </c>
      <c r="N1163" t="s">
        <v>10</v>
      </c>
      <c r="O1163" t="s">
        <v>0</v>
      </c>
      <c r="P1163" t="s">
        <v>147</v>
      </c>
      <c r="Q1163" s="5">
        <v>5</v>
      </c>
      <c r="R1163" s="4">
        <v>132</v>
      </c>
      <c r="S1163" s="5">
        <v>1</v>
      </c>
      <c r="T1163" s="4">
        <v>660</v>
      </c>
      <c r="U1163" s="5">
        <v>5</v>
      </c>
      <c r="V1163" s="4">
        <v>660</v>
      </c>
      <c r="W1163" s="5">
        <v>5</v>
      </c>
      <c r="X1163" s="4">
        <v>660</v>
      </c>
      <c r="Y1163" s="4">
        <f t="shared" si="36"/>
        <v>0</v>
      </c>
      <c r="Z1163" t="s">
        <v>0</v>
      </c>
      <c r="AA1163" t="s">
        <v>2</v>
      </c>
      <c r="AB1163" t="s">
        <v>12</v>
      </c>
      <c r="AC1163">
        <f>_xlfn.XLOOKUP(AB1163,'[1]GST Codes'!$A:$A,'[1]GST Codes'!$C:$C,0,0)</f>
        <v>18</v>
      </c>
      <c r="AD1163">
        <f t="shared" si="37"/>
        <v>0</v>
      </c>
      <c r="AE1163" t="s">
        <v>13</v>
      </c>
      <c r="AF1163" t="s">
        <v>0</v>
      </c>
      <c r="AG1163" t="s">
        <v>14</v>
      </c>
      <c r="AH1163" t="s">
        <v>15</v>
      </c>
      <c r="AI1163" t="s">
        <v>96</v>
      </c>
      <c r="AJ1163" t="s">
        <v>17</v>
      </c>
      <c r="AK1163" t="s">
        <v>18</v>
      </c>
      <c r="AL1163" t="s">
        <v>148</v>
      </c>
      <c r="AM1163" t="s">
        <v>508</v>
      </c>
      <c r="AN1163" t="s">
        <v>0</v>
      </c>
      <c r="AO1163" t="s">
        <v>0</v>
      </c>
      <c r="AP1163" t="s">
        <v>0</v>
      </c>
      <c r="AQ1163" s="5">
        <v>5</v>
      </c>
      <c r="AR1163" t="s">
        <v>147</v>
      </c>
      <c r="AS1163" t="s">
        <v>0</v>
      </c>
      <c r="AT1163" t="s">
        <v>17</v>
      </c>
      <c r="AU1163" s="4">
        <v>0</v>
      </c>
      <c r="AV1163" s="4">
        <v>0</v>
      </c>
      <c r="AW1163" s="4">
        <v>0</v>
      </c>
      <c r="AX1163" s="4">
        <v>0</v>
      </c>
      <c r="AY1163" s="5">
        <v>0</v>
      </c>
      <c r="AZ1163" s="5">
        <v>0</v>
      </c>
      <c r="BA1163" s="5">
        <v>0</v>
      </c>
      <c r="BB1163" s="2"/>
      <c r="BC1163" t="s">
        <v>0</v>
      </c>
      <c r="BD1163" s="5">
        <v>1</v>
      </c>
      <c r="BE1163" t="s">
        <v>0</v>
      </c>
      <c r="BF1163" t="s">
        <v>544</v>
      </c>
      <c r="BG1163" t="s">
        <v>17</v>
      </c>
      <c r="BH1163" t="s">
        <v>0</v>
      </c>
      <c r="BI1163" t="s">
        <v>147</v>
      </c>
      <c r="BJ1163" t="s">
        <v>0</v>
      </c>
      <c r="BK1163" t="s">
        <v>0</v>
      </c>
      <c r="BL1163" s="5">
        <v>0</v>
      </c>
      <c r="BM1163" t="s">
        <v>0</v>
      </c>
      <c r="BN1163" t="s">
        <v>0</v>
      </c>
      <c r="BO1163" t="s">
        <v>0</v>
      </c>
      <c r="BP1163" t="s">
        <v>17</v>
      </c>
      <c r="BQ1163" t="s">
        <v>0</v>
      </c>
      <c r="BR1163" t="s">
        <v>17</v>
      </c>
      <c r="BS1163" t="s">
        <v>17</v>
      </c>
      <c r="BT1163" t="s">
        <v>0</v>
      </c>
      <c r="BU1163" t="s">
        <v>0</v>
      </c>
      <c r="BV1163" t="s">
        <v>0</v>
      </c>
      <c r="BW1163" t="s">
        <v>0</v>
      </c>
      <c r="BX1163" t="s">
        <v>0</v>
      </c>
      <c r="BY1163" t="s">
        <v>0</v>
      </c>
      <c r="BZ1163" t="s">
        <v>0</v>
      </c>
      <c r="CA1163" t="s">
        <v>0</v>
      </c>
      <c r="CB1163" t="s">
        <v>0</v>
      </c>
    </row>
    <row r="1164" spans="1:80" x14ac:dyDescent="0.25">
      <c r="A1164" t="s">
        <v>504</v>
      </c>
      <c r="B1164" s="2">
        <v>46180</v>
      </c>
      <c r="C1164" s="2"/>
      <c r="D1164" s="2"/>
      <c r="E1164" t="s">
        <v>2</v>
      </c>
      <c r="F1164" t="s">
        <v>89</v>
      </c>
      <c r="G1164" t="s">
        <v>0</v>
      </c>
      <c r="H1164" t="s">
        <v>4</v>
      </c>
      <c r="I1164" t="s">
        <v>505</v>
      </c>
      <c r="J1164" t="s">
        <v>6</v>
      </c>
      <c r="K1164" t="s">
        <v>623</v>
      </c>
      <c r="L1164" t="s">
        <v>182</v>
      </c>
      <c r="M1164" t="s">
        <v>183</v>
      </c>
      <c r="N1164" t="s">
        <v>10</v>
      </c>
      <c r="O1164" t="s">
        <v>0</v>
      </c>
      <c r="P1164" t="s">
        <v>147</v>
      </c>
      <c r="Q1164" s="5">
        <v>2</v>
      </c>
      <c r="R1164" s="4">
        <v>217</v>
      </c>
      <c r="S1164" s="5">
        <v>1</v>
      </c>
      <c r="T1164" s="4">
        <v>434</v>
      </c>
      <c r="U1164" s="5">
        <v>2</v>
      </c>
      <c r="V1164" s="4">
        <v>434</v>
      </c>
      <c r="W1164" s="5">
        <v>2</v>
      </c>
      <c r="X1164" s="4">
        <v>434</v>
      </c>
      <c r="Y1164" s="4">
        <f t="shared" si="36"/>
        <v>0</v>
      </c>
      <c r="Z1164" t="s">
        <v>0</v>
      </c>
      <c r="AA1164" t="s">
        <v>2</v>
      </c>
      <c r="AB1164" t="s">
        <v>12</v>
      </c>
      <c r="AC1164">
        <f>_xlfn.XLOOKUP(AB1164,'[1]GST Codes'!$A:$A,'[1]GST Codes'!$C:$C,0,0)</f>
        <v>18</v>
      </c>
      <c r="AD1164">
        <f t="shared" si="37"/>
        <v>0</v>
      </c>
      <c r="AE1164" t="s">
        <v>13</v>
      </c>
      <c r="AF1164" t="s">
        <v>0</v>
      </c>
      <c r="AG1164" t="s">
        <v>14</v>
      </c>
      <c r="AH1164" t="s">
        <v>15</v>
      </c>
      <c r="AI1164" t="s">
        <v>96</v>
      </c>
      <c r="AJ1164" t="s">
        <v>17</v>
      </c>
      <c r="AK1164" t="s">
        <v>18</v>
      </c>
      <c r="AL1164" t="s">
        <v>148</v>
      </c>
      <c r="AM1164" t="s">
        <v>508</v>
      </c>
      <c r="AN1164" t="s">
        <v>0</v>
      </c>
      <c r="AO1164" t="s">
        <v>0</v>
      </c>
      <c r="AP1164" t="s">
        <v>0</v>
      </c>
      <c r="AQ1164" s="5">
        <v>2</v>
      </c>
      <c r="AR1164" t="s">
        <v>147</v>
      </c>
      <c r="AS1164" t="s">
        <v>0</v>
      </c>
      <c r="AT1164" t="s">
        <v>17</v>
      </c>
      <c r="AU1164" s="4">
        <v>0</v>
      </c>
      <c r="AV1164" s="4">
        <v>0</v>
      </c>
      <c r="AW1164" s="4">
        <v>0</v>
      </c>
      <c r="AX1164" s="4">
        <v>0</v>
      </c>
      <c r="AY1164" s="5">
        <v>0</v>
      </c>
      <c r="AZ1164" s="5">
        <v>0</v>
      </c>
      <c r="BA1164" s="5">
        <v>0</v>
      </c>
      <c r="BB1164" s="2"/>
      <c r="BC1164" t="s">
        <v>0</v>
      </c>
      <c r="BD1164" s="5">
        <v>1</v>
      </c>
      <c r="BE1164" t="s">
        <v>0</v>
      </c>
      <c r="BF1164" t="s">
        <v>524</v>
      </c>
      <c r="BG1164" t="s">
        <v>17</v>
      </c>
      <c r="BH1164" t="s">
        <v>0</v>
      </c>
      <c r="BI1164" t="s">
        <v>147</v>
      </c>
      <c r="BJ1164" t="s">
        <v>0</v>
      </c>
      <c r="BK1164" t="s">
        <v>0</v>
      </c>
      <c r="BL1164" s="5">
        <v>0</v>
      </c>
      <c r="BM1164" t="s">
        <v>0</v>
      </c>
      <c r="BN1164" t="s">
        <v>0</v>
      </c>
      <c r="BO1164" t="s">
        <v>0</v>
      </c>
      <c r="BP1164" t="s">
        <v>17</v>
      </c>
      <c r="BQ1164" t="s">
        <v>0</v>
      </c>
      <c r="BR1164" t="s">
        <v>17</v>
      </c>
      <c r="BS1164" t="s">
        <v>17</v>
      </c>
      <c r="BT1164" t="s">
        <v>0</v>
      </c>
      <c r="BU1164" t="s">
        <v>0</v>
      </c>
      <c r="BV1164" t="s">
        <v>0</v>
      </c>
      <c r="BW1164" t="s">
        <v>0</v>
      </c>
      <c r="BX1164" t="s">
        <v>0</v>
      </c>
      <c r="BY1164" t="s">
        <v>0</v>
      </c>
      <c r="BZ1164" t="s">
        <v>0</v>
      </c>
      <c r="CA1164" t="s">
        <v>0</v>
      </c>
      <c r="CB1164" t="s">
        <v>0</v>
      </c>
    </row>
    <row r="1165" spans="1:80" x14ac:dyDescent="0.25">
      <c r="A1165" t="s">
        <v>504</v>
      </c>
      <c r="B1165" s="2">
        <v>46180</v>
      </c>
      <c r="C1165" s="2"/>
      <c r="D1165" s="2"/>
      <c r="E1165" t="s">
        <v>2</v>
      </c>
      <c r="F1165" t="s">
        <v>89</v>
      </c>
      <c r="G1165" t="s">
        <v>0</v>
      </c>
      <c r="H1165" t="s">
        <v>4</v>
      </c>
      <c r="I1165" t="s">
        <v>505</v>
      </c>
      <c r="J1165" t="s">
        <v>6</v>
      </c>
      <c r="K1165" t="s">
        <v>624</v>
      </c>
      <c r="L1165" t="s">
        <v>525</v>
      </c>
      <c r="M1165" t="s">
        <v>526</v>
      </c>
      <c r="N1165" t="s">
        <v>10</v>
      </c>
      <c r="O1165" t="s">
        <v>0</v>
      </c>
      <c r="P1165" t="s">
        <v>147</v>
      </c>
      <c r="Q1165" s="5">
        <v>2</v>
      </c>
      <c r="R1165" s="4">
        <v>268</v>
      </c>
      <c r="S1165" s="5">
        <v>1</v>
      </c>
      <c r="T1165" s="4">
        <v>536</v>
      </c>
      <c r="U1165" s="5">
        <v>2</v>
      </c>
      <c r="V1165" s="4">
        <v>536</v>
      </c>
      <c r="W1165" s="5">
        <v>2</v>
      </c>
      <c r="X1165" s="4">
        <v>536</v>
      </c>
      <c r="Y1165" s="4">
        <f t="shared" si="36"/>
        <v>0</v>
      </c>
      <c r="Z1165" t="s">
        <v>0</v>
      </c>
      <c r="AA1165" t="s">
        <v>2</v>
      </c>
      <c r="AB1165" t="s">
        <v>12</v>
      </c>
      <c r="AC1165">
        <f>_xlfn.XLOOKUP(AB1165,'[1]GST Codes'!$A:$A,'[1]GST Codes'!$C:$C,0,0)</f>
        <v>18</v>
      </c>
      <c r="AD1165">
        <f t="shared" si="37"/>
        <v>0</v>
      </c>
      <c r="AE1165" t="s">
        <v>13</v>
      </c>
      <c r="AF1165" t="s">
        <v>0</v>
      </c>
      <c r="AG1165" t="s">
        <v>14</v>
      </c>
      <c r="AH1165" t="s">
        <v>15</v>
      </c>
      <c r="AI1165" t="s">
        <v>96</v>
      </c>
      <c r="AJ1165" t="s">
        <v>17</v>
      </c>
      <c r="AK1165" t="s">
        <v>18</v>
      </c>
      <c r="AL1165" t="s">
        <v>148</v>
      </c>
      <c r="AM1165" t="s">
        <v>508</v>
      </c>
      <c r="AN1165" t="s">
        <v>0</v>
      </c>
      <c r="AO1165" t="s">
        <v>0</v>
      </c>
      <c r="AP1165" t="s">
        <v>0</v>
      </c>
      <c r="AQ1165" s="5">
        <v>2</v>
      </c>
      <c r="AR1165" t="s">
        <v>147</v>
      </c>
      <c r="AS1165" t="s">
        <v>0</v>
      </c>
      <c r="AT1165" t="s">
        <v>17</v>
      </c>
      <c r="AU1165" s="4">
        <v>0</v>
      </c>
      <c r="AV1165" s="4">
        <v>0</v>
      </c>
      <c r="AW1165" s="4">
        <v>0</v>
      </c>
      <c r="AX1165" s="4">
        <v>0</v>
      </c>
      <c r="AY1165" s="5">
        <v>0</v>
      </c>
      <c r="AZ1165" s="5">
        <v>0</v>
      </c>
      <c r="BA1165" s="5">
        <v>0</v>
      </c>
      <c r="BB1165" s="2"/>
      <c r="BC1165" t="s">
        <v>0</v>
      </c>
      <c r="BD1165" s="5">
        <v>1</v>
      </c>
      <c r="BE1165" t="s">
        <v>0</v>
      </c>
      <c r="BF1165" t="s">
        <v>527</v>
      </c>
      <c r="BG1165" t="s">
        <v>17</v>
      </c>
      <c r="BH1165" t="s">
        <v>0</v>
      </c>
      <c r="BI1165" t="s">
        <v>147</v>
      </c>
      <c r="BJ1165" t="s">
        <v>0</v>
      </c>
      <c r="BK1165" t="s">
        <v>0</v>
      </c>
      <c r="BL1165" s="5">
        <v>0</v>
      </c>
      <c r="BM1165" t="s">
        <v>0</v>
      </c>
      <c r="BN1165" t="s">
        <v>0</v>
      </c>
      <c r="BO1165" t="s">
        <v>0</v>
      </c>
      <c r="BP1165" t="s">
        <v>17</v>
      </c>
      <c r="BQ1165" t="s">
        <v>0</v>
      </c>
      <c r="BR1165" t="s">
        <v>17</v>
      </c>
      <c r="BS1165" t="s">
        <v>17</v>
      </c>
      <c r="BT1165" t="s">
        <v>0</v>
      </c>
      <c r="BU1165" t="s">
        <v>0</v>
      </c>
      <c r="BV1165" t="s">
        <v>0</v>
      </c>
      <c r="BW1165" t="s">
        <v>0</v>
      </c>
      <c r="BX1165" t="s">
        <v>0</v>
      </c>
      <c r="BY1165" t="s">
        <v>0</v>
      </c>
      <c r="BZ1165" t="s">
        <v>0</v>
      </c>
      <c r="CA1165" t="s">
        <v>0</v>
      </c>
      <c r="CB1165" t="s">
        <v>0</v>
      </c>
    </row>
    <row r="1166" spans="1:80" x14ac:dyDescent="0.25">
      <c r="A1166" t="s">
        <v>504</v>
      </c>
      <c r="B1166" s="2">
        <v>46180</v>
      </c>
      <c r="C1166" s="2"/>
      <c r="D1166" s="2"/>
      <c r="E1166" t="s">
        <v>2</v>
      </c>
      <c r="F1166" t="s">
        <v>89</v>
      </c>
      <c r="G1166" t="s">
        <v>0</v>
      </c>
      <c r="H1166" t="s">
        <v>4</v>
      </c>
      <c r="I1166" t="s">
        <v>505</v>
      </c>
      <c r="J1166" t="s">
        <v>6</v>
      </c>
      <c r="K1166" t="s">
        <v>625</v>
      </c>
      <c r="L1166" t="s">
        <v>194</v>
      </c>
      <c r="M1166" t="s">
        <v>195</v>
      </c>
      <c r="N1166" t="s">
        <v>10</v>
      </c>
      <c r="O1166" t="s">
        <v>0</v>
      </c>
      <c r="P1166" t="s">
        <v>147</v>
      </c>
      <c r="Q1166" s="5">
        <v>2</v>
      </c>
      <c r="R1166" s="4">
        <v>39</v>
      </c>
      <c r="S1166" s="5">
        <v>1</v>
      </c>
      <c r="T1166" s="4">
        <v>78</v>
      </c>
      <c r="U1166" s="5">
        <v>2</v>
      </c>
      <c r="V1166" s="4">
        <v>78</v>
      </c>
      <c r="W1166" s="5">
        <v>2</v>
      </c>
      <c r="X1166" s="4">
        <v>78</v>
      </c>
      <c r="Y1166" s="4">
        <f t="shared" si="36"/>
        <v>0</v>
      </c>
      <c r="Z1166" t="s">
        <v>0</v>
      </c>
      <c r="AA1166" t="s">
        <v>2</v>
      </c>
      <c r="AB1166" t="s">
        <v>12</v>
      </c>
      <c r="AC1166">
        <f>_xlfn.XLOOKUP(AB1166,'[1]GST Codes'!$A:$A,'[1]GST Codes'!$C:$C,0,0)</f>
        <v>18</v>
      </c>
      <c r="AD1166">
        <f t="shared" si="37"/>
        <v>0</v>
      </c>
      <c r="AE1166" t="s">
        <v>13</v>
      </c>
      <c r="AF1166" t="s">
        <v>0</v>
      </c>
      <c r="AG1166" t="s">
        <v>14</v>
      </c>
      <c r="AH1166" t="s">
        <v>15</v>
      </c>
      <c r="AI1166" t="s">
        <v>96</v>
      </c>
      <c r="AJ1166" t="s">
        <v>17</v>
      </c>
      <c r="AK1166" t="s">
        <v>18</v>
      </c>
      <c r="AL1166" t="s">
        <v>148</v>
      </c>
      <c r="AM1166" t="s">
        <v>508</v>
      </c>
      <c r="AN1166" t="s">
        <v>0</v>
      </c>
      <c r="AO1166" t="s">
        <v>0</v>
      </c>
      <c r="AP1166" t="s">
        <v>0</v>
      </c>
      <c r="AQ1166" s="5">
        <v>2</v>
      </c>
      <c r="AR1166" t="s">
        <v>147</v>
      </c>
      <c r="AS1166" t="s">
        <v>0</v>
      </c>
      <c r="AT1166" t="s">
        <v>17</v>
      </c>
      <c r="AU1166" s="4">
        <v>0</v>
      </c>
      <c r="AV1166" s="4">
        <v>0</v>
      </c>
      <c r="AW1166" s="4">
        <v>0</v>
      </c>
      <c r="AX1166" s="4">
        <v>0</v>
      </c>
      <c r="AY1166" s="5">
        <v>0</v>
      </c>
      <c r="AZ1166" s="5">
        <v>0</v>
      </c>
      <c r="BA1166" s="5">
        <v>0</v>
      </c>
      <c r="BB1166" s="2"/>
      <c r="BC1166" t="s">
        <v>0</v>
      </c>
      <c r="BD1166" s="5">
        <v>1</v>
      </c>
      <c r="BE1166" t="s">
        <v>0</v>
      </c>
      <c r="BF1166" t="s">
        <v>550</v>
      </c>
      <c r="BG1166" t="s">
        <v>17</v>
      </c>
      <c r="BH1166" t="s">
        <v>0</v>
      </c>
      <c r="BI1166" t="s">
        <v>147</v>
      </c>
      <c r="BJ1166" t="s">
        <v>0</v>
      </c>
      <c r="BK1166" t="s">
        <v>0</v>
      </c>
      <c r="BL1166" s="5">
        <v>0</v>
      </c>
      <c r="BM1166" t="s">
        <v>0</v>
      </c>
      <c r="BN1166" t="s">
        <v>0</v>
      </c>
      <c r="BO1166" t="s">
        <v>0</v>
      </c>
      <c r="BP1166" t="s">
        <v>17</v>
      </c>
      <c r="BQ1166" t="s">
        <v>0</v>
      </c>
      <c r="BR1166" t="s">
        <v>17</v>
      </c>
      <c r="BS1166" t="s">
        <v>17</v>
      </c>
      <c r="BT1166" t="s">
        <v>0</v>
      </c>
      <c r="BU1166" t="s">
        <v>0</v>
      </c>
      <c r="BV1166" t="s">
        <v>0</v>
      </c>
      <c r="BW1166" t="s">
        <v>0</v>
      </c>
      <c r="BX1166" t="s">
        <v>0</v>
      </c>
      <c r="BY1166" t="s">
        <v>0</v>
      </c>
      <c r="BZ1166" t="s">
        <v>0</v>
      </c>
      <c r="CA1166" t="s">
        <v>0</v>
      </c>
      <c r="CB1166" t="s">
        <v>0</v>
      </c>
    </row>
    <row r="1167" spans="1:80" x14ac:dyDescent="0.25">
      <c r="A1167" t="s">
        <v>504</v>
      </c>
      <c r="B1167" s="2">
        <v>46180</v>
      </c>
      <c r="C1167" s="2"/>
      <c r="D1167" s="2"/>
      <c r="E1167" t="s">
        <v>2</v>
      </c>
      <c r="F1167" t="s">
        <v>89</v>
      </c>
      <c r="G1167" t="s">
        <v>0</v>
      </c>
      <c r="H1167" t="s">
        <v>4</v>
      </c>
      <c r="I1167" t="s">
        <v>505</v>
      </c>
      <c r="J1167" t="s">
        <v>6</v>
      </c>
      <c r="K1167" t="s">
        <v>626</v>
      </c>
      <c r="L1167" t="s">
        <v>210</v>
      </c>
      <c r="M1167" t="s">
        <v>564</v>
      </c>
      <c r="N1167" t="s">
        <v>10</v>
      </c>
      <c r="O1167" t="s">
        <v>0</v>
      </c>
      <c r="P1167" t="s">
        <v>147</v>
      </c>
      <c r="Q1167" s="5">
        <v>1</v>
      </c>
      <c r="R1167" s="4">
        <v>205</v>
      </c>
      <c r="S1167" s="5">
        <v>1</v>
      </c>
      <c r="T1167" s="4">
        <v>205</v>
      </c>
      <c r="U1167" s="5">
        <v>1</v>
      </c>
      <c r="V1167" s="4">
        <v>205</v>
      </c>
      <c r="W1167" s="5">
        <v>1</v>
      </c>
      <c r="X1167" s="4">
        <v>205</v>
      </c>
      <c r="Y1167" s="4">
        <f t="shared" si="36"/>
        <v>0</v>
      </c>
      <c r="Z1167" t="s">
        <v>0</v>
      </c>
      <c r="AA1167" t="s">
        <v>2</v>
      </c>
      <c r="AB1167" t="s">
        <v>12</v>
      </c>
      <c r="AC1167">
        <f>_xlfn.XLOOKUP(AB1167,'[1]GST Codes'!$A:$A,'[1]GST Codes'!$C:$C,0,0)</f>
        <v>18</v>
      </c>
      <c r="AD1167">
        <f t="shared" si="37"/>
        <v>0</v>
      </c>
      <c r="AE1167" t="s">
        <v>13</v>
      </c>
      <c r="AF1167" t="s">
        <v>0</v>
      </c>
      <c r="AG1167" t="s">
        <v>14</v>
      </c>
      <c r="AH1167" t="s">
        <v>15</v>
      </c>
      <c r="AI1167" t="s">
        <v>96</v>
      </c>
      <c r="AJ1167" t="s">
        <v>17</v>
      </c>
      <c r="AK1167" t="s">
        <v>18</v>
      </c>
      <c r="AL1167" t="s">
        <v>148</v>
      </c>
      <c r="AM1167" t="s">
        <v>508</v>
      </c>
      <c r="AN1167" t="s">
        <v>0</v>
      </c>
      <c r="AO1167" t="s">
        <v>0</v>
      </c>
      <c r="AP1167" t="s">
        <v>0</v>
      </c>
      <c r="AQ1167" s="5">
        <v>1</v>
      </c>
      <c r="AR1167" t="s">
        <v>147</v>
      </c>
      <c r="AS1167" t="s">
        <v>0</v>
      </c>
      <c r="AT1167" t="s">
        <v>17</v>
      </c>
      <c r="AU1167" s="4">
        <v>0</v>
      </c>
      <c r="AV1167" s="4">
        <v>0</v>
      </c>
      <c r="AW1167" s="4">
        <v>0</v>
      </c>
      <c r="AX1167" s="4">
        <v>0</v>
      </c>
      <c r="AY1167" s="5">
        <v>0</v>
      </c>
      <c r="AZ1167" s="5">
        <v>0</v>
      </c>
      <c r="BA1167" s="5">
        <v>0</v>
      </c>
      <c r="BB1167" s="2"/>
      <c r="BC1167" t="s">
        <v>0</v>
      </c>
      <c r="BD1167" s="5">
        <v>1</v>
      </c>
      <c r="BE1167" t="s">
        <v>0</v>
      </c>
      <c r="BF1167" t="s">
        <v>565</v>
      </c>
      <c r="BG1167" t="s">
        <v>17</v>
      </c>
      <c r="BH1167" t="s">
        <v>0</v>
      </c>
      <c r="BI1167" t="s">
        <v>147</v>
      </c>
      <c r="BJ1167" t="s">
        <v>0</v>
      </c>
      <c r="BK1167" t="s">
        <v>0</v>
      </c>
      <c r="BL1167" s="5">
        <v>0</v>
      </c>
      <c r="BM1167" t="s">
        <v>0</v>
      </c>
      <c r="BN1167" t="s">
        <v>0</v>
      </c>
      <c r="BO1167" t="s">
        <v>0</v>
      </c>
      <c r="BP1167" t="s">
        <v>17</v>
      </c>
      <c r="BQ1167" t="s">
        <v>0</v>
      </c>
      <c r="BR1167" t="s">
        <v>17</v>
      </c>
      <c r="BS1167" t="s">
        <v>17</v>
      </c>
      <c r="BT1167" t="s">
        <v>0</v>
      </c>
      <c r="BU1167" t="s">
        <v>0</v>
      </c>
      <c r="BV1167" t="s">
        <v>0</v>
      </c>
      <c r="BW1167" t="s">
        <v>0</v>
      </c>
      <c r="BX1167" t="s">
        <v>0</v>
      </c>
      <c r="BY1167" t="s">
        <v>0</v>
      </c>
      <c r="BZ1167" t="s">
        <v>0</v>
      </c>
      <c r="CA1167" t="s">
        <v>0</v>
      </c>
      <c r="CB1167" t="s">
        <v>0</v>
      </c>
    </row>
    <row r="1168" spans="1:80" x14ac:dyDescent="0.25">
      <c r="A1168" t="s">
        <v>504</v>
      </c>
      <c r="B1168" s="2">
        <v>46180</v>
      </c>
      <c r="C1168" s="2"/>
      <c r="D1168" s="2"/>
      <c r="E1168" t="s">
        <v>2</v>
      </c>
      <c r="F1168" t="s">
        <v>89</v>
      </c>
      <c r="G1168" t="s">
        <v>0</v>
      </c>
      <c r="H1168" t="s">
        <v>4</v>
      </c>
      <c r="I1168" t="s">
        <v>505</v>
      </c>
      <c r="J1168" t="s">
        <v>6</v>
      </c>
      <c r="K1168" t="s">
        <v>627</v>
      </c>
      <c r="L1168" t="s">
        <v>536</v>
      </c>
      <c r="M1168" t="s">
        <v>537</v>
      </c>
      <c r="N1168" t="s">
        <v>10</v>
      </c>
      <c r="O1168" t="s">
        <v>0</v>
      </c>
      <c r="P1168" t="s">
        <v>147</v>
      </c>
      <c r="Q1168" s="5">
        <v>2</v>
      </c>
      <c r="R1168" s="4">
        <v>170</v>
      </c>
      <c r="S1168" s="5">
        <v>1</v>
      </c>
      <c r="T1168" s="4">
        <v>340</v>
      </c>
      <c r="U1168" s="5">
        <v>2</v>
      </c>
      <c r="V1168" s="4">
        <v>340</v>
      </c>
      <c r="W1168" s="5">
        <v>2</v>
      </c>
      <c r="X1168" s="4">
        <v>340</v>
      </c>
      <c r="Y1168" s="4">
        <f t="shared" si="36"/>
        <v>0</v>
      </c>
      <c r="Z1168" t="s">
        <v>0</v>
      </c>
      <c r="AA1168" t="s">
        <v>2</v>
      </c>
      <c r="AB1168" t="s">
        <v>12</v>
      </c>
      <c r="AC1168">
        <f>_xlfn.XLOOKUP(AB1168,'[1]GST Codes'!$A:$A,'[1]GST Codes'!$C:$C,0,0)</f>
        <v>18</v>
      </c>
      <c r="AD1168">
        <f t="shared" si="37"/>
        <v>0</v>
      </c>
      <c r="AE1168" t="s">
        <v>13</v>
      </c>
      <c r="AF1168" t="s">
        <v>0</v>
      </c>
      <c r="AG1168" t="s">
        <v>14</v>
      </c>
      <c r="AH1168" t="s">
        <v>15</v>
      </c>
      <c r="AI1168" t="s">
        <v>96</v>
      </c>
      <c r="AJ1168" t="s">
        <v>17</v>
      </c>
      <c r="AK1168" t="s">
        <v>18</v>
      </c>
      <c r="AL1168" t="s">
        <v>148</v>
      </c>
      <c r="AM1168" t="s">
        <v>508</v>
      </c>
      <c r="AN1168" t="s">
        <v>0</v>
      </c>
      <c r="AO1168" t="s">
        <v>0</v>
      </c>
      <c r="AP1168" t="s">
        <v>0</v>
      </c>
      <c r="AQ1168" s="5">
        <v>2</v>
      </c>
      <c r="AR1168" t="s">
        <v>147</v>
      </c>
      <c r="AS1168" t="s">
        <v>0</v>
      </c>
      <c r="AT1168" t="s">
        <v>17</v>
      </c>
      <c r="AU1168" s="4">
        <v>0</v>
      </c>
      <c r="AV1168" s="4">
        <v>0</v>
      </c>
      <c r="AW1168" s="4">
        <v>0</v>
      </c>
      <c r="AX1168" s="4">
        <v>0</v>
      </c>
      <c r="AY1168" s="5">
        <v>0</v>
      </c>
      <c r="AZ1168" s="5">
        <v>0</v>
      </c>
      <c r="BA1168" s="5">
        <v>0</v>
      </c>
      <c r="BB1168" s="2"/>
      <c r="BC1168" t="s">
        <v>0</v>
      </c>
      <c r="BD1168" s="5">
        <v>1</v>
      </c>
      <c r="BE1168" t="s">
        <v>0</v>
      </c>
      <c r="BF1168" t="s">
        <v>538</v>
      </c>
      <c r="BG1168" t="s">
        <v>17</v>
      </c>
      <c r="BH1168" t="s">
        <v>0</v>
      </c>
      <c r="BI1168" t="s">
        <v>147</v>
      </c>
      <c r="BJ1168" t="s">
        <v>0</v>
      </c>
      <c r="BK1168" t="s">
        <v>0</v>
      </c>
      <c r="BL1168" s="5">
        <v>0</v>
      </c>
      <c r="BM1168" t="s">
        <v>0</v>
      </c>
      <c r="BN1168" t="s">
        <v>0</v>
      </c>
      <c r="BO1168" t="s">
        <v>0</v>
      </c>
      <c r="BP1168" t="s">
        <v>17</v>
      </c>
      <c r="BQ1168" t="s">
        <v>0</v>
      </c>
      <c r="BR1168" t="s">
        <v>17</v>
      </c>
      <c r="BS1168" t="s">
        <v>17</v>
      </c>
      <c r="BT1168" t="s">
        <v>0</v>
      </c>
      <c r="BU1168" t="s">
        <v>0</v>
      </c>
      <c r="BV1168" t="s">
        <v>0</v>
      </c>
      <c r="BW1168" t="s">
        <v>0</v>
      </c>
      <c r="BX1168" t="s">
        <v>0</v>
      </c>
      <c r="BY1168" t="s">
        <v>0</v>
      </c>
      <c r="BZ1168" t="s">
        <v>0</v>
      </c>
      <c r="CA1168" t="s">
        <v>0</v>
      </c>
      <c r="CB1168" t="s">
        <v>0</v>
      </c>
    </row>
    <row r="1169" spans="1:80" x14ac:dyDescent="0.25">
      <c r="A1169" t="s">
        <v>504</v>
      </c>
      <c r="B1169" s="2">
        <v>46180</v>
      </c>
      <c r="C1169" s="2"/>
      <c r="D1169" s="2"/>
      <c r="E1169" t="s">
        <v>2</v>
      </c>
      <c r="F1169" t="s">
        <v>89</v>
      </c>
      <c r="G1169" t="s">
        <v>0</v>
      </c>
      <c r="H1169" t="s">
        <v>4</v>
      </c>
      <c r="I1169" t="s">
        <v>505</v>
      </c>
      <c r="J1169" t="s">
        <v>6</v>
      </c>
      <c r="K1169" t="s">
        <v>628</v>
      </c>
      <c r="L1169" t="s">
        <v>536</v>
      </c>
      <c r="M1169" t="s">
        <v>537</v>
      </c>
      <c r="N1169" t="s">
        <v>10</v>
      </c>
      <c r="O1169" t="s">
        <v>0</v>
      </c>
      <c r="P1169" t="s">
        <v>147</v>
      </c>
      <c r="Q1169" s="5">
        <v>5</v>
      </c>
      <c r="R1169" s="4">
        <v>176</v>
      </c>
      <c r="S1169" s="5">
        <v>1</v>
      </c>
      <c r="T1169" s="4">
        <v>880</v>
      </c>
      <c r="U1169" s="5">
        <v>5</v>
      </c>
      <c r="V1169" s="4">
        <v>880</v>
      </c>
      <c r="W1169" s="5">
        <v>5</v>
      </c>
      <c r="X1169" s="4">
        <v>880</v>
      </c>
      <c r="Y1169" s="4">
        <f t="shared" si="36"/>
        <v>0</v>
      </c>
      <c r="Z1169" t="s">
        <v>0</v>
      </c>
      <c r="AA1169" t="s">
        <v>2</v>
      </c>
      <c r="AB1169" t="s">
        <v>12</v>
      </c>
      <c r="AC1169">
        <f>_xlfn.XLOOKUP(AB1169,'[1]GST Codes'!$A:$A,'[1]GST Codes'!$C:$C,0,0)</f>
        <v>18</v>
      </c>
      <c r="AD1169">
        <f t="shared" si="37"/>
        <v>0</v>
      </c>
      <c r="AE1169" t="s">
        <v>13</v>
      </c>
      <c r="AF1169" t="s">
        <v>0</v>
      </c>
      <c r="AG1169" t="s">
        <v>14</v>
      </c>
      <c r="AH1169" t="s">
        <v>15</v>
      </c>
      <c r="AI1169" t="s">
        <v>96</v>
      </c>
      <c r="AJ1169" t="s">
        <v>17</v>
      </c>
      <c r="AK1169" t="s">
        <v>18</v>
      </c>
      <c r="AL1169" t="s">
        <v>148</v>
      </c>
      <c r="AM1169" t="s">
        <v>508</v>
      </c>
      <c r="AN1169" t="s">
        <v>0</v>
      </c>
      <c r="AO1169" t="s">
        <v>0</v>
      </c>
      <c r="AP1169" t="s">
        <v>0</v>
      </c>
      <c r="AQ1169" s="5">
        <v>5</v>
      </c>
      <c r="AR1169" t="s">
        <v>147</v>
      </c>
      <c r="AS1169" t="s">
        <v>0</v>
      </c>
      <c r="AT1169" t="s">
        <v>17</v>
      </c>
      <c r="AU1169" s="4">
        <v>0</v>
      </c>
      <c r="AV1169" s="4">
        <v>0</v>
      </c>
      <c r="AW1169" s="4">
        <v>0</v>
      </c>
      <c r="AX1169" s="4">
        <v>0</v>
      </c>
      <c r="AY1169" s="5">
        <v>0</v>
      </c>
      <c r="AZ1169" s="5">
        <v>0</v>
      </c>
      <c r="BA1169" s="5">
        <v>0</v>
      </c>
      <c r="BB1169" s="2"/>
      <c r="BC1169" t="s">
        <v>0</v>
      </c>
      <c r="BD1169" s="5">
        <v>1</v>
      </c>
      <c r="BE1169" t="s">
        <v>0</v>
      </c>
      <c r="BF1169" t="s">
        <v>538</v>
      </c>
      <c r="BG1169" t="s">
        <v>17</v>
      </c>
      <c r="BH1169" t="s">
        <v>0</v>
      </c>
      <c r="BI1169" t="s">
        <v>147</v>
      </c>
      <c r="BJ1169" t="s">
        <v>0</v>
      </c>
      <c r="BK1169" t="s">
        <v>0</v>
      </c>
      <c r="BL1169" s="5">
        <v>0</v>
      </c>
      <c r="BM1169" t="s">
        <v>0</v>
      </c>
      <c r="BN1169" t="s">
        <v>0</v>
      </c>
      <c r="BO1169" t="s">
        <v>0</v>
      </c>
      <c r="BP1169" t="s">
        <v>17</v>
      </c>
      <c r="BQ1169" t="s">
        <v>0</v>
      </c>
      <c r="BR1169" t="s">
        <v>17</v>
      </c>
      <c r="BS1169" t="s">
        <v>17</v>
      </c>
      <c r="BT1169" t="s">
        <v>0</v>
      </c>
      <c r="BU1169" t="s">
        <v>0</v>
      </c>
      <c r="BV1169" t="s">
        <v>0</v>
      </c>
      <c r="BW1169" t="s">
        <v>0</v>
      </c>
      <c r="BX1169" t="s">
        <v>0</v>
      </c>
      <c r="BY1169" t="s">
        <v>0</v>
      </c>
      <c r="BZ1169" t="s">
        <v>0</v>
      </c>
      <c r="CA1169" t="s">
        <v>0</v>
      </c>
      <c r="CB1169" t="s">
        <v>0</v>
      </c>
    </row>
    <row r="1170" spans="1:80" x14ac:dyDescent="0.25">
      <c r="A1170" t="s">
        <v>504</v>
      </c>
      <c r="B1170" s="2">
        <v>46180</v>
      </c>
      <c r="C1170" s="2"/>
      <c r="D1170" s="2"/>
      <c r="E1170" t="s">
        <v>2</v>
      </c>
      <c r="F1170" t="s">
        <v>89</v>
      </c>
      <c r="G1170" t="s">
        <v>0</v>
      </c>
      <c r="H1170" t="s">
        <v>4</v>
      </c>
      <c r="I1170" t="s">
        <v>505</v>
      </c>
      <c r="J1170" t="s">
        <v>6</v>
      </c>
      <c r="K1170" t="s">
        <v>629</v>
      </c>
      <c r="L1170" t="s">
        <v>536</v>
      </c>
      <c r="M1170" t="s">
        <v>537</v>
      </c>
      <c r="N1170" t="s">
        <v>10</v>
      </c>
      <c r="O1170" t="s">
        <v>0</v>
      </c>
      <c r="P1170" t="s">
        <v>147</v>
      </c>
      <c r="Q1170" s="5">
        <v>2</v>
      </c>
      <c r="R1170" s="4">
        <v>204</v>
      </c>
      <c r="S1170" s="5">
        <v>1</v>
      </c>
      <c r="T1170" s="4">
        <v>408</v>
      </c>
      <c r="U1170" s="5">
        <v>2</v>
      </c>
      <c r="V1170" s="4">
        <v>408</v>
      </c>
      <c r="W1170" s="5">
        <v>2</v>
      </c>
      <c r="X1170" s="4">
        <v>408</v>
      </c>
      <c r="Y1170" s="4">
        <f t="shared" si="36"/>
        <v>0</v>
      </c>
      <c r="Z1170" t="s">
        <v>0</v>
      </c>
      <c r="AA1170" t="s">
        <v>2</v>
      </c>
      <c r="AB1170" t="s">
        <v>12</v>
      </c>
      <c r="AC1170">
        <f>_xlfn.XLOOKUP(AB1170,'[1]GST Codes'!$A:$A,'[1]GST Codes'!$C:$C,0,0)</f>
        <v>18</v>
      </c>
      <c r="AD1170">
        <f t="shared" si="37"/>
        <v>0</v>
      </c>
      <c r="AE1170" t="s">
        <v>13</v>
      </c>
      <c r="AF1170" t="s">
        <v>0</v>
      </c>
      <c r="AG1170" t="s">
        <v>14</v>
      </c>
      <c r="AH1170" t="s">
        <v>15</v>
      </c>
      <c r="AI1170" t="s">
        <v>96</v>
      </c>
      <c r="AJ1170" t="s">
        <v>17</v>
      </c>
      <c r="AK1170" t="s">
        <v>18</v>
      </c>
      <c r="AL1170" t="s">
        <v>148</v>
      </c>
      <c r="AM1170" t="s">
        <v>508</v>
      </c>
      <c r="AN1170" t="s">
        <v>0</v>
      </c>
      <c r="AO1170" t="s">
        <v>0</v>
      </c>
      <c r="AP1170" t="s">
        <v>0</v>
      </c>
      <c r="AQ1170" s="5">
        <v>2</v>
      </c>
      <c r="AR1170" t="s">
        <v>147</v>
      </c>
      <c r="AS1170" t="s">
        <v>0</v>
      </c>
      <c r="AT1170" t="s">
        <v>17</v>
      </c>
      <c r="AU1170" s="4">
        <v>0</v>
      </c>
      <c r="AV1170" s="4">
        <v>0</v>
      </c>
      <c r="AW1170" s="4">
        <v>0</v>
      </c>
      <c r="AX1170" s="4">
        <v>0</v>
      </c>
      <c r="AY1170" s="5">
        <v>0</v>
      </c>
      <c r="AZ1170" s="5">
        <v>0</v>
      </c>
      <c r="BA1170" s="5">
        <v>0</v>
      </c>
      <c r="BB1170" s="2"/>
      <c r="BC1170" t="s">
        <v>0</v>
      </c>
      <c r="BD1170" s="5">
        <v>1</v>
      </c>
      <c r="BE1170" t="s">
        <v>0</v>
      </c>
      <c r="BF1170" t="s">
        <v>538</v>
      </c>
      <c r="BG1170" t="s">
        <v>17</v>
      </c>
      <c r="BH1170" t="s">
        <v>0</v>
      </c>
      <c r="BI1170" t="s">
        <v>147</v>
      </c>
      <c r="BJ1170" t="s">
        <v>0</v>
      </c>
      <c r="BK1170" t="s">
        <v>0</v>
      </c>
      <c r="BL1170" s="5">
        <v>0</v>
      </c>
      <c r="BM1170" t="s">
        <v>0</v>
      </c>
      <c r="BN1170" t="s">
        <v>0</v>
      </c>
      <c r="BO1170" t="s">
        <v>0</v>
      </c>
      <c r="BP1170" t="s">
        <v>17</v>
      </c>
      <c r="BQ1170" t="s">
        <v>0</v>
      </c>
      <c r="BR1170" t="s">
        <v>17</v>
      </c>
      <c r="BS1170" t="s">
        <v>17</v>
      </c>
      <c r="BT1170" t="s">
        <v>0</v>
      </c>
      <c r="BU1170" t="s">
        <v>0</v>
      </c>
      <c r="BV1170" t="s">
        <v>0</v>
      </c>
      <c r="BW1170" t="s">
        <v>0</v>
      </c>
      <c r="BX1170" t="s">
        <v>0</v>
      </c>
      <c r="BY1170" t="s">
        <v>0</v>
      </c>
      <c r="BZ1170" t="s">
        <v>0</v>
      </c>
      <c r="CA1170" t="s">
        <v>0</v>
      </c>
      <c r="CB1170" t="s">
        <v>0</v>
      </c>
    </row>
    <row r="1171" spans="1:80" x14ac:dyDescent="0.25">
      <c r="A1171" t="s">
        <v>504</v>
      </c>
      <c r="B1171" s="2">
        <v>46180</v>
      </c>
      <c r="C1171" s="2"/>
      <c r="D1171" s="2"/>
      <c r="E1171" t="s">
        <v>2</v>
      </c>
      <c r="F1171" t="s">
        <v>89</v>
      </c>
      <c r="G1171" t="s">
        <v>0</v>
      </c>
      <c r="H1171" t="s">
        <v>4</v>
      </c>
      <c r="I1171" t="s">
        <v>505</v>
      </c>
      <c r="J1171" t="s">
        <v>6</v>
      </c>
      <c r="K1171" t="s">
        <v>630</v>
      </c>
      <c r="L1171" t="s">
        <v>536</v>
      </c>
      <c r="M1171" t="s">
        <v>537</v>
      </c>
      <c r="N1171" t="s">
        <v>10</v>
      </c>
      <c r="O1171" t="s">
        <v>0</v>
      </c>
      <c r="P1171" t="s">
        <v>147</v>
      </c>
      <c r="Q1171" s="5">
        <v>2</v>
      </c>
      <c r="R1171" s="4">
        <v>233</v>
      </c>
      <c r="S1171" s="5">
        <v>1</v>
      </c>
      <c r="T1171" s="4">
        <v>466</v>
      </c>
      <c r="U1171" s="5">
        <v>2</v>
      </c>
      <c r="V1171" s="4">
        <v>466</v>
      </c>
      <c r="W1171" s="5">
        <v>2</v>
      </c>
      <c r="X1171" s="4">
        <v>466</v>
      </c>
      <c r="Y1171" s="4">
        <f t="shared" si="36"/>
        <v>0</v>
      </c>
      <c r="Z1171" t="s">
        <v>0</v>
      </c>
      <c r="AA1171" t="s">
        <v>2</v>
      </c>
      <c r="AB1171" t="s">
        <v>12</v>
      </c>
      <c r="AC1171">
        <f>_xlfn.XLOOKUP(AB1171,'[1]GST Codes'!$A:$A,'[1]GST Codes'!$C:$C,0,0)</f>
        <v>18</v>
      </c>
      <c r="AD1171">
        <f t="shared" si="37"/>
        <v>0</v>
      </c>
      <c r="AE1171" t="s">
        <v>13</v>
      </c>
      <c r="AF1171" t="s">
        <v>0</v>
      </c>
      <c r="AG1171" t="s">
        <v>14</v>
      </c>
      <c r="AH1171" t="s">
        <v>15</v>
      </c>
      <c r="AI1171" t="s">
        <v>96</v>
      </c>
      <c r="AJ1171" t="s">
        <v>17</v>
      </c>
      <c r="AK1171" t="s">
        <v>18</v>
      </c>
      <c r="AL1171" t="s">
        <v>148</v>
      </c>
      <c r="AM1171" t="s">
        <v>508</v>
      </c>
      <c r="AN1171" t="s">
        <v>0</v>
      </c>
      <c r="AO1171" t="s">
        <v>0</v>
      </c>
      <c r="AP1171" t="s">
        <v>0</v>
      </c>
      <c r="AQ1171" s="5">
        <v>2</v>
      </c>
      <c r="AR1171" t="s">
        <v>147</v>
      </c>
      <c r="AS1171" t="s">
        <v>0</v>
      </c>
      <c r="AT1171" t="s">
        <v>17</v>
      </c>
      <c r="AU1171" s="4">
        <v>0</v>
      </c>
      <c r="AV1171" s="4">
        <v>0</v>
      </c>
      <c r="AW1171" s="4">
        <v>0</v>
      </c>
      <c r="AX1171" s="4">
        <v>0</v>
      </c>
      <c r="AY1171" s="5">
        <v>0</v>
      </c>
      <c r="AZ1171" s="5">
        <v>0</v>
      </c>
      <c r="BA1171" s="5">
        <v>0</v>
      </c>
      <c r="BB1171" s="2"/>
      <c r="BC1171" t="s">
        <v>0</v>
      </c>
      <c r="BD1171" s="5">
        <v>1</v>
      </c>
      <c r="BE1171" t="s">
        <v>0</v>
      </c>
      <c r="BF1171" t="s">
        <v>538</v>
      </c>
      <c r="BG1171" t="s">
        <v>17</v>
      </c>
      <c r="BH1171" t="s">
        <v>0</v>
      </c>
      <c r="BI1171" t="s">
        <v>147</v>
      </c>
      <c r="BJ1171" t="s">
        <v>0</v>
      </c>
      <c r="BK1171" t="s">
        <v>0</v>
      </c>
      <c r="BL1171" s="5">
        <v>0</v>
      </c>
      <c r="BM1171" t="s">
        <v>0</v>
      </c>
      <c r="BN1171" t="s">
        <v>0</v>
      </c>
      <c r="BO1171" t="s">
        <v>0</v>
      </c>
      <c r="BP1171" t="s">
        <v>17</v>
      </c>
      <c r="BQ1171" t="s">
        <v>0</v>
      </c>
      <c r="BR1171" t="s">
        <v>17</v>
      </c>
      <c r="BS1171" t="s">
        <v>17</v>
      </c>
      <c r="BT1171" t="s">
        <v>0</v>
      </c>
      <c r="BU1171" t="s">
        <v>0</v>
      </c>
      <c r="BV1171" t="s">
        <v>0</v>
      </c>
      <c r="BW1171" t="s">
        <v>0</v>
      </c>
      <c r="BX1171" t="s">
        <v>0</v>
      </c>
      <c r="BY1171" t="s">
        <v>0</v>
      </c>
      <c r="BZ1171" t="s">
        <v>0</v>
      </c>
      <c r="CA1171" t="s">
        <v>0</v>
      </c>
      <c r="CB1171" t="s">
        <v>0</v>
      </c>
    </row>
    <row r="1172" spans="1:80" x14ac:dyDescent="0.25">
      <c r="A1172" t="s">
        <v>504</v>
      </c>
      <c r="B1172" s="2">
        <v>46180</v>
      </c>
      <c r="C1172" s="2"/>
      <c r="D1172" s="2"/>
      <c r="E1172" t="s">
        <v>2</v>
      </c>
      <c r="F1172" t="s">
        <v>89</v>
      </c>
      <c r="G1172" t="s">
        <v>0</v>
      </c>
      <c r="H1172" t="s">
        <v>4</v>
      </c>
      <c r="I1172" t="s">
        <v>505</v>
      </c>
      <c r="J1172" t="s">
        <v>6</v>
      </c>
      <c r="K1172" t="s">
        <v>631</v>
      </c>
      <c r="L1172" t="s">
        <v>536</v>
      </c>
      <c r="M1172" t="s">
        <v>537</v>
      </c>
      <c r="N1172" t="s">
        <v>10</v>
      </c>
      <c r="O1172" t="s">
        <v>0</v>
      </c>
      <c r="P1172" t="s">
        <v>147</v>
      </c>
      <c r="Q1172" s="5">
        <v>2</v>
      </c>
      <c r="R1172" s="4">
        <v>321</v>
      </c>
      <c r="S1172" s="5">
        <v>1</v>
      </c>
      <c r="T1172" s="4">
        <v>642</v>
      </c>
      <c r="U1172" s="5">
        <v>2</v>
      </c>
      <c r="V1172" s="4">
        <v>642</v>
      </c>
      <c r="W1172" s="5">
        <v>2</v>
      </c>
      <c r="X1172" s="4">
        <v>642</v>
      </c>
      <c r="Y1172" s="4">
        <f t="shared" si="36"/>
        <v>0</v>
      </c>
      <c r="Z1172" t="s">
        <v>0</v>
      </c>
      <c r="AA1172" t="s">
        <v>2</v>
      </c>
      <c r="AB1172" t="s">
        <v>12</v>
      </c>
      <c r="AC1172">
        <f>_xlfn.XLOOKUP(AB1172,'[1]GST Codes'!$A:$A,'[1]GST Codes'!$C:$C,0,0)</f>
        <v>18</v>
      </c>
      <c r="AD1172">
        <f t="shared" si="37"/>
        <v>0</v>
      </c>
      <c r="AE1172" t="s">
        <v>13</v>
      </c>
      <c r="AF1172" t="s">
        <v>0</v>
      </c>
      <c r="AG1172" t="s">
        <v>14</v>
      </c>
      <c r="AH1172" t="s">
        <v>15</v>
      </c>
      <c r="AI1172" t="s">
        <v>96</v>
      </c>
      <c r="AJ1172" t="s">
        <v>17</v>
      </c>
      <c r="AK1172" t="s">
        <v>18</v>
      </c>
      <c r="AL1172" t="s">
        <v>148</v>
      </c>
      <c r="AM1172" t="s">
        <v>508</v>
      </c>
      <c r="AN1172" t="s">
        <v>0</v>
      </c>
      <c r="AO1172" t="s">
        <v>0</v>
      </c>
      <c r="AP1172" t="s">
        <v>0</v>
      </c>
      <c r="AQ1172" s="5">
        <v>2</v>
      </c>
      <c r="AR1172" t="s">
        <v>147</v>
      </c>
      <c r="AS1172" t="s">
        <v>0</v>
      </c>
      <c r="AT1172" t="s">
        <v>17</v>
      </c>
      <c r="AU1172" s="4">
        <v>0</v>
      </c>
      <c r="AV1172" s="4">
        <v>0</v>
      </c>
      <c r="AW1172" s="4">
        <v>0</v>
      </c>
      <c r="AX1172" s="4">
        <v>0</v>
      </c>
      <c r="AY1172" s="5">
        <v>0</v>
      </c>
      <c r="AZ1172" s="5">
        <v>0</v>
      </c>
      <c r="BA1172" s="5">
        <v>0</v>
      </c>
      <c r="BB1172" s="2"/>
      <c r="BC1172" t="s">
        <v>0</v>
      </c>
      <c r="BD1172" s="5">
        <v>1</v>
      </c>
      <c r="BE1172" t="s">
        <v>0</v>
      </c>
      <c r="BF1172" t="s">
        <v>538</v>
      </c>
      <c r="BG1172" t="s">
        <v>17</v>
      </c>
      <c r="BH1172" t="s">
        <v>0</v>
      </c>
      <c r="BI1172" t="s">
        <v>147</v>
      </c>
      <c r="BJ1172" t="s">
        <v>0</v>
      </c>
      <c r="BK1172" t="s">
        <v>0</v>
      </c>
      <c r="BL1172" s="5">
        <v>0</v>
      </c>
      <c r="BM1172" t="s">
        <v>0</v>
      </c>
      <c r="BN1172" t="s">
        <v>0</v>
      </c>
      <c r="BO1172" t="s">
        <v>0</v>
      </c>
      <c r="BP1172" t="s">
        <v>17</v>
      </c>
      <c r="BQ1172" t="s">
        <v>0</v>
      </c>
      <c r="BR1172" t="s">
        <v>17</v>
      </c>
      <c r="BS1172" t="s">
        <v>17</v>
      </c>
      <c r="BT1172" t="s">
        <v>0</v>
      </c>
      <c r="BU1172" t="s">
        <v>0</v>
      </c>
      <c r="BV1172" t="s">
        <v>0</v>
      </c>
      <c r="BW1172" t="s">
        <v>0</v>
      </c>
      <c r="BX1172" t="s">
        <v>0</v>
      </c>
      <c r="BY1172" t="s">
        <v>0</v>
      </c>
      <c r="BZ1172" t="s">
        <v>0</v>
      </c>
      <c r="CA1172" t="s">
        <v>0</v>
      </c>
      <c r="CB1172" t="s">
        <v>0</v>
      </c>
    </row>
    <row r="1173" spans="1:80" x14ac:dyDescent="0.25">
      <c r="A1173" t="s">
        <v>504</v>
      </c>
      <c r="B1173" s="2">
        <v>46180</v>
      </c>
      <c r="C1173" s="2"/>
      <c r="D1173" s="2"/>
      <c r="E1173" t="s">
        <v>2</v>
      </c>
      <c r="F1173" t="s">
        <v>89</v>
      </c>
      <c r="G1173" t="s">
        <v>0</v>
      </c>
      <c r="H1173" t="s">
        <v>4</v>
      </c>
      <c r="I1173" t="s">
        <v>505</v>
      </c>
      <c r="J1173" t="s">
        <v>6</v>
      </c>
      <c r="K1173" t="s">
        <v>632</v>
      </c>
      <c r="L1173" t="s">
        <v>536</v>
      </c>
      <c r="M1173" t="s">
        <v>250</v>
      </c>
      <c r="N1173" t="s">
        <v>10</v>
      </c>
      <c r="O1173" t="s">
        <v>0</v>
      </c>
      <c r="P1173" t="s">
        <v>147</v>
      </c>
      <c r="Q1173" s="5">
        <v>1</v>
      </c>
      <c r="R1173" s="4">
        <v>22390</v>
      </c>
      <c r="S1173" s="5">
        <v>1</v>
      </c>
      <c r="T1173" s="4">
        <v>22390</v>
      </c>
      <c r="U1173" s="5">
        <v>1</v>
      </c>
      <c r="V1173" s="4">
        <v>22390</v>
      </c>
      <c r="W1173" s="5">
        <v>1</v>
      </c>
      <c r="X1173" s="4">
        <v>22390</v>
      </c>
      <c r="Y1173" s="4">
        <f t="shared" si="36"/>
        <v>0</v>
      </c>
      <c r="Z1173" t="s">
        <v>0</v>
      </c>
      <c r="AA1173" t="s">
        <v>2</v>
      </c>
      <c r="AB1173" t="s">
        <v>12</v>
      </c>
      <c r="AC1173">
        <f>_xlfn.XLOOKUP(AB1173,'[1]GST Codes'!$A:$A,'[1]GST Codes'!$C:$C,0,0)</f>
        <v>18</v>
      </c>
      <c r="AD1173">
        <f t="shared" si="37"/>
        <v>0</v>
      </c>
      <c r="AE1173" t="s">
        <v>13</v>
      </c>
      <c r="AF1173" t="s">
        <v>0</v>
      </c>
      <c r="AG1173" t="s">
        <v>14</v>
      </c>
      <c r="AH1173" t="s">
        <v>15</v>
      </c>
      <c r="AI1173" t="s">
        <v>96</v>
      </c>
      <c r="AJ1173" t="s">
        <v>17</v>
      </c>
      <c r="AK1173" t="s">
        <v>18</v>
      </c>
      <c r="AL1173" t="s">
        <v>148</v>
      </c>
      <c r="AM1173" t="s">
        <v>508</v>
      </c>
      <c r="AN1173" t="s">
        <v>0</v>
      </c>
      <c r="AO1173" t="s">
        <v>0</v>
      </c>
      <c r="AP1173" t="s">
        <v>0</v>
      </c>
      <c r="AQ1173" s="5">
        <v>1</v>
      </c>
      <c r="AR1173" t="s">
        <v>147</v>
      </c>
      <c r="AS1173" t="s">
        <v>0</v>
      </c>
      <c r="AT1173" t="s">
        <v>17</v>
      </c>
      <c r="AU1173" s="4">
        <v>0</v>
      </c>
      <c r="AV1173" s="4">
        <v>0</v>
      </c>
      <c r="AW1173" s="4">
        <v>0</v>
      </c>
      <c r="AX1173" s="4">
        <v>0</v>
      </c>
      <c r="AY1173" s="5">
        <v>0</v>
      </c>
      <c r="AZ1173" s="5">
        <v>0</v>
      </c>
      <c r="BA1173" s="5">
        <v>0</v>
      </c>
      <c r="BB1173" s="2"/>
      <c r="BC1173" t="s">
        <v>0</v>
      </c>
      <c r="BD1173" s="5">
        <v>1</v>
      </c>
      <c r="BE1173" t="s">
        <v>0</v>
      </c>
      <c r="BF1173" t="s">
        <v>538</v>
      </c>
      <c r="BG1173" t="s">
        <v>17</v>
      </c>
      <c r="BH1173" t="s">
        <v>0</v>
      </c>
      <c r="BI1173" t="s">
        <v>147</v>
      </c>
      <c r="BJ1173" t="s">
        <v>0</v>
      </c>
      <c r="BK1173" t="s">
        <v>0</v>
      </c>
      <c r="BL1173" s="5">
        <v>0</v>
      </c>
      <c r="BM1173" t="s">
        <v>0</v>
      </c>
      <c r="BN1173" t="s">
        <v>0</v>
      </c>
      <c r="BO1173" t="s">
        <v>0</v>
      </c>
      <c r="BP1173" t="s">
        <v>17</v>
      </c>
      <c r="BQ1173" t="s">
        <v>0</v>
      </c>
      <c r="BR1173" t="s">
        <v>17</v>
      </c>
      <c r="BS1173" t="s">
        <v>17</v>
      </c>
      <c r="BT1173" t="s">
        <v>0</v>
      </c>
      <c r="BU1173" t="s">
        <v>0</v>
      </c>
      <c r="BV1173" t="s">
        <v>0</v>
      </c>
      <c r="BW1173" t="s">
        <v>0</v>
      </c>
      <c r="BX1173" t="s">
        <v>0</v>
      </c>
      <c r="BY1173" t="s">
        <v>0</v>
      </c>
      <c r="BZ1173" t="s">
        <v>0</v>
      </c>
      <c r="CA1173" t="s">
        <v>0</v>
      </c>
      <c r="CB1173" t="s">
        <v>0</v>
      </c>
    </row>
    <row r="1174" spans="1:80" ht="13.95" customHeight="1" x14ac:dyDescent="0.25">
      <c r="A1174" t="s">
        <v>633</v>
      </c>
      <c r="B1174" s="2">
        <v>46112</v>
      </c>
      <c r="C1174" s="2">
        <v>46057</v>
      </c>
      <c r="D1174" s="2">
        <v>46077</v>
      </c>
      <c r="E1174" t="s">
        <v>2</v>
      </c>
      <c r="F1174" t="s">
        <v>47</v>
      </c>
      <c r="G1174" t="s">
        <v>0</v>
      </c>
      <c r="H1174" t="s">
        <v>4</v>
      </c>
      <c r="I1174" t="s">
        <v>634</v>
      </c>
      <c r="J1174" t="s">
        <v>6</v>
      </c>
      <c r="K1174" t="s">
        <v>7</v>
      </c>
      <c r="L1174" t="s">
        <v>436</v>
      </c>
      <c r="M1174" t="s">
        <v>635</v>
      </c>
      <c r="N1174" t="s">
        <v>10</v>
      </c>
      <c r="O1174" t="s">
        <v>0</v>
      </c>
      <c r="P1174" t="s">
        <v>147</v>
      </c>
      <c r="Q1174" s="5">
        <v>1</v>
      </c>
      <c r="R1174" s="4">
        <v>18900</v>
      </c>
      <c r="S1174" s="5">
        <v>1</v>
      </c>
      <c r="T1174" s="4">
        <v>18900</v>
      </c>
      <c r="U1174" s="5">
        <v>1</v>
      </c>
      <c r="V1174" s="4">
        <v>18900</v>
      </c>
      <c r="W1174" s="5">
        <v>1</v>
      </c>
      <c r="X1174" s="4">
        <v>18900</v>
      </c>
      <c r="Y1174" s="4">
        <f t="shared" si="36"/>
        <v>0</v>
      </c>
      <c r="Z1174" s="6" t="s">
        <v>0</v>
      </c>
      <c r="AA1174" t="s">
        <v>2</v>
      </c>
      <c r="AB1174" t="s">
        <v>103</v>
      </c>
      <c r="AC1174">
        <f>_xlfn.XLOOKUP(AB1174,'[1]GST Codes'!$A:$A,'[1]GST Codes'!$C:$C,0,0)</f>
        <v>18</v>
      </c>
      <c r="AD1174">
        <f t="shared" si="37"/>
        <v>0</v>
      </c>
      <c r="AE1174" t="s">
        <v>13</v>
      </c>
      <c r="AF1174" t="s">
        <v>0</v>
      </c>
      <c r="AG1174" t="s">
        <v>14</v>
      </c>
      <c r="AH1174" t="s">
        <v>15</v>
      </c>
      <c r="AI1174" t="s">
        <v>438</v>
      </c>
      <c r="AJ1174" t="s">
        <v>17</v>
      </c>
      <c r="AK1174" t="s">
        <v>18</v>
      </c>
      <c r="AL1174" t="s">
        <v>439</v>
      </c>
      <c r="AM1174" t="s">
        <v>634</v>
      </c>
      <c r="AN1174" t="s">
        <v>0</v>
      </c>
      <c r="AO1174" t="s">
        <v>0</v>
      </c>
      <c r="AP1174" t="s">
        <v>0</v>
      </c>
      <c r="AQ1174" s="5">
        <v>1</v>
      </c>
      <c r="AR1174" t="s">
        <v>147</v>
      </c>
      <c r="AS1174" t="s">
        <v>0</v>
      </c>
      <c r="AT1174" t="s">
        <v>17</v>
      </c>
      <c r="AU1174" s="4">
        <v>0</v>
      </c>
      <c r="AV1174" s="4">
        <v>0</v>
      </c>
      <c r="AW1174" s="4">
        <v>0</v>
      </c>
      <c r="AX1174" s="4">
        <v>0</v>
      </c>
      <c r="AY1174" s="5">
        <v>0</v>
      </c>
      <c r="AZ1174" s="5">
        <v>0</v>
      </c>
      <c r="BA1174" s="5">
        <v>0</v>
      </c>
      <c r="BB1174" s="2"/>
      <c r="BC1174" t="s">
        <v>0</v>
      </c>
      <c r="BD1174" s="5">
        <v>1</v>
      </c>
      <c r="BE1174" t="s">
        <v>0</v>
      </c>
      <c r="BF1174" t="s">
        <v>636</v>
      </c>
      <c r="BG1174" t="s">
        <v>17</v>
      </c>
      <c r="BH1174" t="s">
        <v>0</v>
      </c>
      <c r="BI1174" t="s">
        <v>147</v>
      </c>
      <c r="BJ1174" t="s">
        <v>0</v>
      </c>
      <c r="BK1174" t="s">
        <v>0</v>
      </c>
      <c r="BL1174" s="5">
        <v>0</v>
      </c>
      <c r="BM1174" t="s">
        <v>0</v>
      </c>
      <c r="BN1174" t="s">
        <v>0</v>
      </c>
      <c r="BO1174" t="s">
        <v>0</v>
      </c>
      <c r="BP1174" t="s">
        <v>17</v>
      </c>
      <c r="BQ1174" t="s">
        <v>0</v>
      </c>
      <c r="BR1174" t="s">
        <v>17</v>
      </c>
      <c r="BS1174" t="s">
        <v>17</v>
      </c>
      <c r="BT1174" t="s">
        <v>0</v>
      </c>
      <c r="BU1174" t="s">
        <v>0</v>
      </c>
      <c r="BV1174" t="s">
        <v>0</v>
      </c>
      <c r="BW1174" t="s">
        <v>0</v>
      </c>
      <c r="BX1174" t="s">
        <v>0</v>
      </c>
      <c r="BY1174" t="s">
        <v>0</v>
      </c>
      <c r="BZ1174" t="s">
        <v>0</v>
      </c>
      <c r="CA1174" t="s">
        <v>0</v>
      </c>
      <c r="CB1174" t="s">
        <v>0</v>
      </c>
    </row>
    <row r="1175" spans="1:80" ht="13.95" customHeight="1" x14ac:dyDescent="0.25">
      <c r="A1175" t="s">
        <v>633</v>
      </c>
      <c r="B1175" s="2">
        <v>46112</v>
      </c>
      <c r="C1175" s="2">
        <v>46057</v>
      </c>
      <c r="D1175" s="2">
        <v>46077</v>
      </c>
      <c r="E1175" t="s">
        <v>2</v>
      </c>
      <c r="F1175" t="s">
        <v>47</v>
      </c>
      <c r="G1175" t="s">
        <v>0</v>
      </c>
      <c r="H1175" t="s">
        <v>4</v>
      </c>
      <c r="I1175" t="s">
        <v>634</v>
      </c>
      <c r="J1175" t="s">
        <v>6</v>
      </c>
      <c r="K1175" t="s">
        <v>22</v>
      </c>
      <c r="L1175" t="s">
        <v>448</v>
      </c>
      <c r="M1175" t="s">
        <v>449</v>
      </c>
      <c r="N1175" t="s">
        <v>10</v>
      </c>
      <c r="O1175" t="s">
        <v>0</v>
      </c>
      <c r="P1175" t="s">
        <v>147</v>
      </c>
      <c r="Q1175" s="5">
        <v>5</v>
      </c>
      <c r="R1175" s="4">
        <v>2200</v>
      </c>
      <c r="S1175" s="5">
        <v>1</v>
      </c>
      <c r="T1175" s="4">
        <v>11000</v>
      </c>
      <c r="U1175" s="5">
        <v>0</v>
      </c>
      <c r="V1175" s="4">
        <v>0</v>
      </c>
      <c r="W1175" s="5">
        <v>0</v>
      </c>
      <c r="X1175" s="4">
        <v>0</v>
      </c>
      <c r="Y1175" s="4">
        <f t="shared" si="36"/>
        <v>11000</v>
      </c>
      <c r="Z1175" s="6" t="s">
        <v>0</v>
      </c>
      <c r="AA1175" t="s">
        <v>2</v>
      </c>
      <c r="AB1175" t="s">
        <v>103</v>
      </c>
      <c r="AC1175">
        <f>_xlfn.XLOOKUP(AB1175,'[1]GST Codes'!$A:$A,'[1]GST Codes'!$C:$C,0,0)</f>
        <v>18</v>
      </c>
      <c r="AD1175">
        <f t="shared" si="37"/>
        <v>12980</v>
      </c>
      <c r="AE1175" t="s">
        <v>13</v>
      </c>
      <c r="AF1175" t="s">
        <v>0</v>
      </c>
      <c r="AG1175" t="s">
        <v>14</v>
      </c>
      <c r="AH1175" t="s">
        <v>15</v>
      </c>
      <c r="AI1175" t="s">
        <v>438</v>
      </c>
      <c r="AJ1175" t="s">
        <v>17</v>
      </c>
      <c r="AK1175" t="s">
        <v>18</v>
      </c>
      <c r="AL1175" t="s">
        <v>439</v>
      </c>
      <c r="AM1175" t="s">
        <v>634</v>
      </c>
      <c r="AN1175" t="s">
        <v>0</v>
      </c>
      <c r="AO1175" t="s">
        <v>0</v>
      </c>
      <c r="AP1175" t="s">
        <v>0</v>
      </c>
      <c r="AQ1175" s="5">
        <v>5</v>
      </c>
      <c r="AR1175" t="s">
        <v>147</v>
      </c>
      <c r="AS1175" t="s">
        <v>0</v>
      </c>
      <c r="AT1175" t="s">
        <v>17</v>
      </c>
      <c r="AU1175" s="4">
        <v>0</v>
      </c>
      <c r="AV1175" s="4">
        <v>0</v>
      </c>
      <c r="AW1175" s="4">
        <v>0</v>
      </c>
      <c r="AX1175" s="4">
        <v>0</v>
      </c>
      <c r="AY1175" s="5">
        <v>0</v>
      </c>
      <c r="AZ1175" s="5">
        <v>0</v>
      </c>
      <c r="BA1175" s="5">
        <v>0</v>
      </c>
      <c r="BB1175" s="2"/>
      <c r="BC1175" t="s">
        <v>0</v>
      </c>
      <c r="BD1175" s="5">
        <v>1</v>
      </c>
      <c r="BE1175" t="s">
        <v>0</v>
      </c>
      <c r="BF1175" t="s">
        <v>637</v>
      </c>
      <c r="BG1175" t="s">
        <v>17</v>
      </c>
      <c r="BH1175" t="s">
        <v>0</v>
      </c>
      <c r="BI1175" t="s">
        <v>147</v>
      </c>
      <c r="BJ1175" t="s">
        <v>0</v>
      </c>
      <c r="BK1175" t="s">
        <v>0</v>
      </c>
      <c r="BL1175" s="5">
        <v>0</v>
      </c>
      <c r="BM1175" t="s">
        <v>0</v>
      </c>
      <c r="BN1175" t="s">
        <v>0</v>
      </c>
      <c r="BO1175" t="s">
        <v>0</v>
      </c>
      <c r="BP1175" t="s">
        <v>17</v>
      </c>
      <c r="BQ1175" t="s">
        <v>0</v>
      </c>
      <c r="BR1175" t="s">
        <v>17</v>
      </c>
      <c r="BS1175" t="s">
        <v>17</v>
      </c>
      <c r="BT1175" t="s">
        <v>0</v>
      </c>
      <c r="BU1175" t="s">
        <v>0</v>
      </c>
      <c r="BV1175" t="s">
        <v>0</v>
      </c>
      <c r="BW1175" t="s">
        <v>0</v>
      </c>
      <c r="BX1175" t="s">
        <v>0</v>
      </c>
      <c r="BY1175" t="s">
        <v>0</v>
      </c>
      <c r="BZ1175" t="s">
        <v>0</v>
      </c>
      <c r="CA1175" t="s">
        <v>0</v>
      </c>
      <c r="CB1175" t="s">
        <v>0</v>
      </c>
    </row>
    <row r="1176" spans="1:80" ht="13.95" customHeight="1" x14ac:dyDescent="0.25">
      <c r="A1176" t="s">
        <v>633</v>
      </c>
      <c r="B1176" s="2">
        <v>46112</v>
      </c>
      <c r="C1176" s="2">
        <v>46057</v>
      </c>
      <c r="D1176" s="2">
        <v>46077</v>
      </c>
      <c r="E1176" t="s">
        <v>2</v>
      </c>
      <c r="F1176" t="s">
        <v>47</v>
      </c>
      <c r="G1176" t="s">
        <v>0</v>
      </c>
      <c r="H1176" t="s">
        <v>4</v>
      </c>
      <c r="I1176" t="s">
        <v>634</v>
      </c>
      <c r="J1176" t="s">
        <v>6</v>
      </c>
      <c r="K1176" t="s">
        <v>26</v>
      </c>
      <c r="L1176" t="s">
        <v>448</v>
      </c>
      <c r="M1176" t="s">
        <v>449</v>
      </c>
      <c r="N1176" t="s">
        <v>10</v>
      </c>
      <c r="O1176" t="s">
        <v>0</v>
      </c>
      <c r="P1176" t="s">
        <v>147</v>
      </c>
      <c r="Q1176" s="5">
        <v>5</v>
      </c>
      <c r="R1176" s="4">
        <v>2200</v>
      </c>
      <c r="S1176" s="5">
        <v>1</v>
      </c>
      <c r="T1176" s="4">
        <v>11000</v>
      </c>
      <c r="U1176" s="5">
        <v>0</v>
      </c>
      <c r="V1176" s="4">
        <v>0</v>
      </c>
      <c r="W1176" s="5">
        <v>0</v>
      </c>
      <c r="X1176" s="4">
        <v>0</v>
      </c>
      <c r="Y1176" s="4">
        <f t="shared" si="36"/>
        <v>11000</v>
      </c>
      <c r="Z1176" s="6" t="s">
        <v>0</v>
      </c>
      <c r="AA1176" t="s">
        <v>2</v>
      </c>
      <c r="AB1176" t="s">
        <v>103</v>
      </c>
      <c r="AC1176">
        <f>_xlfn.XLOOKUP(AB1176,'[1]GST Codes'!$A:$A,'[1]GST Codes'!$C:$C,0,0)</f>
        <v>18</v>
      </c>
      <c r="AD1176">
        <f t="shared" si="37"/>
        <v>12980</v>
      </c>
      <c r="AE1176" t="s">
        <v>13</v>
      </c>
      <c r="AF1176" t="s">
        <v>0</v>
      </c>
      <c r="AG1176" t="s">
        <v>14</v>
      </c>
      <c r="AH1176" t="s">
        <v>15</v>
      </c>
      <c r="AI1176" t="s">
        <v>438</v>
      </c>
      <c r="AJ1176" t="s">
        <v>17</v>
      </c>
      <c r="AK1176" t="s">
        <v>18</v>
      </c>
      <c r="AL1176" t="s">
        <v>439</v>
      </c>
      <c r="AM1176" t="s">
        <v>634</v>
      </c>
      <c r="AN1176" t="s">
        <v>0</v>
      </c>
      <c r="AO1176" t="s">
        <v>0</v>
      </c>
      <c r="AP1176" t="s">
        <v>0</v>
      </c>
      <c r="AQ1176" s="5">
        <v>5</v>
      </c>
      <c r="AR1176" t="s">
        <v>147</v>
      </c>
      <c r="AS1176" t="s">
        <v>0</v>
      </c>
      <c r="AT1176" t="s">
        <v>17</v>
      </c>
      <c r="AU1176" s="4">
        <v>0</v>
      </c>
      <c r="AV1176" s="4">
        <v>0</v>
      </c>
      <c r="AW1176" s="4">
        <v>0</v>
      </c>
      <c r="AX1176" s="4">
        <v>0</v>
      </c>
      <c r="AY1176" s="5">
        <v>0</v>
      </c>
      <c r="AZ1176" s="5">
        <v>0</v>
      </c>
      <c r="BA1176" s="5">
        <v>0</v>
      </c>
      <c r="BB1176" s="2"/>
      <c r="BC1176" t="s">
        <v>0</v>
      </c>
      <c r="BD1176" s="5">
        <v>1</v>
      </c>
      <c r="BE1176" t="s">
        <v>0</v>
      </c>
      <c r="BF1176" t="s">
        <v>637</v>
      </c>
      <c r="BG1176" t="s">
        <v>17</v>
      </c>
      <c r="BH1176" t="s">
        <v>0</v>
      </c>
      <c r="BI1176" t="s">
        <v>147</v>
      </c>
      <c r="BJ1176" t="s">
        <v>0</v>
      </c>
      <c r="BK1176" t="s">
        <v>0</v>
      </c>
      <c r="BL1176" s="5">
        <v>0</v>
      </c>
      <c r="BM1176" t="s">
        <v>0</v>
      </c>
      <c r="BN1176" t="s">
        <v>0</v>
      </c>
      <c r="BO1176" t="s">
        <v>0</v>
      </c>
      <c r="BP1176" t="s">
        <v>17</v>
      </c>
      <c r="BQ1176" t="s">
        <v>0</v>
      </c>
      <c r="BR1176" t="s">
        <v>17</v>
      </c>
      <c r="BS1176" t="s">
        <v>17</v>
      </c>
      <c r="BT1176" t="s">
        <v>0</v>
      </c>
      <c r="BU1176" t="s">
        <v>0</v>
      </c>
      <c r="BV1176" t="s">
        <v>0</v>
      </c>
      <c r="BW1176" t="s">
        <v>0</v>
      </c>
      <c r="BX1176" t="s">
        <v>0</v>
      </c>
      <c r="BY1176" t="s">
        <v>0</v>
      </c>
      <c r="BZ1176" t="s">
        <v>0</v>
      </c>
      <c r="CA1176" t="s">
        <v>0</v>
      </c>
      <c r="CB1176" t="s">
        <v>0</v>
      </c>
    </row>
    <row r="1177" spans="1:80" ht="13.95" customHeight="1" x14ac:dyDescent="0.25">
      <c r="A1177" t="s">
        <v>638</v>
      </c>
      <c r="B1177" s="2">
        <v>46112</v>
      </c>
      <c r="C1177" s="2">
        <v>46069</v>
      </c>
      <c r="D1177" s="2">
        <v>46097</v>
      </c>
      <c r="E1177" t="s">
        <v>2</v>
      </c>
      <c r="F1177" t="s">
        <v>47</v>
      </c>
      <c r="G1177" t="s">
        <v>0</v>
      </c>
      <c r="H1177" t="s">
        <v>4</v>
      </c>
      <c r="I1177" t="s">
        <v>639</v>
      </c>
      <c r="J1177" t="s">
        <v>6</v>
      </c>
      <c r="K1177" t="s">
        <v>7</v>
      </c>
      <c r="L1177" t="s">
        <v>640</v>
      </c>
      <c r="M1177" t="s">
        <v>641</v>
      </c>
      <c r="N1177" t="s">
        <v>10</v>
      </c>
      <c r="O1177" t="s">
        <v>0</v>
      </c>
      <c r="P1177" t="s">
        <v>147</v>
      </c>
      <c r="Q1177" s="5">
        <v>1</v>
      </c>
      <c r="R1177" s="4">
        <v>249150</v>
      </c>
      <c r="S1177" s="5">
        <v>1</v>
      </c>
      <c r="T1177" s="4">
        <v>249150</v>
      </c>
      <c r="U1177" s="5">
        <v>0</v>
      </c>
      <c r="V1177" s="4">
        <v>0</v>
      </c>
      <c r="W1177" s="5">
        <v>0</v>
      </c>
      <c r="X1177" s="4">
        <v>0</v>
      </c>
      <c r="Y1177" s="4">
        <f t="shared" si="36"/>
        <v>249150</v>
      </c>
      <c r="Z1177" s="6" t="s">
        <v>0</v>
      </c>
      <c r="AA1177" t="s">
        <v>2</v>
      </c>
      <c r="AB1177" t="s">
        <v>103</v>
      </c>
      <c r="AC1177">
        <f>_xlfn.XLOOKUP(AB1177,'[1]GST Codes'!$A:$A,'[1]GST Codes'!$C:$C,0,0)</f>
        <v>18</v>
      </c>
      <c r="AD1177">
        <f t="shared" si="37"/>
        <v>293997</v>
      </c>
      <c r="AE1177" t="s">
        <v>13</v>
      </c>
      <c r="AF1177" t="s">
        <v>0</v>
      </c>
      <c r="AG1177" t="s">
        <v>14</v>
      </c>
      <c r="AH1177" t="s">
        <v>15</v>
      </c>
      <c r="AI1177" t="s">
        <v>438</v>
      </c>
      <c r="AJ1177" t="s">
        <v>17</v>
      </c>
      <c r="AK1177" t="s">
        <v>18</v>
      </c>
      <c r="AL1177" t="s">
        <v>642</v>
      </c>
      <c r="AM1177" t="s">
        <v>639</v>
      </c>
      <c r="AN1177" t="s">
        <v>0</v>
      </c>
      <c r="AO1177" t="s">
        <v>0</v>
      </c>
      <c r="AP1177" t="s">
        <v>0</v>
      </c>
      <c r="AQ1177" s="5">
        <v>1</v>
      </c>
      <c r="AR1177" t="s">
        <v>147</v>
      </c>
      <c r="AS1177" t="s">
        <v>0</v>
      </c>
      <c r="AT1177" t="s">
        <v>17</v>
      </c>
      <c r="AU1177" s="4">
        <v>0</v>
      </c>
      <c r="AV1177" s="4">
        <v>0</v>
      </c>
      <c r="AW1177" s="4">
        <v>0</v>
      </c>
      <c r="AX1177" s="4">
        <v>0</v>
      </c>
      <c r="AY1177" s="5">
        <v>0</v>
      </c>
      <c r="AZ1177" s="5">
        <v>0</v>
      </c>
      <c r="BA1177" s="5">
        <v>0</v>
      </c>
      <c r="BB1177" s="2"/>
      <c r="BC1177" t="s">
        <v>0</v>
      </c>
      <c r="BD1177" s="5">
        <v>1</v>
      </c>
      <c r="BE1177" t="s">
        <v>0</v>
      </c>
      <c r="BF1177" t="s">
        <v>643</v>
      </c>
      <c r="BG1177" t="s">
        <v>17</v>
      </c>
      <c r="BH1177" t="s">
        <v>0</v>
      </c>
      <c r="BI1177" t="s">
        <v>147</v>
      </c>
      <c r="BJ1177" t="s">
        <v>0</v>
      </c>
      <c r="BK1177" t="s">
        <v>0</v>
      </c>
      <c r="BL1177" s="5">
        <v>0</v>
      </c>
      <c r="BM1177" t="s">
        <v>0</v>
      </c>
      <c r="BN1177" t="s">
        <v>0</v>
      </c>
      <c r="BO1177" t="s">
        <v>0</v>
      </c>
      <c r="BP1177" t="s">
        <v>17</v>
      </c>
      <c r="BQ1177" t="s">
        <v>0</v>
      </c>
      <c r="BR1177" t="s">
        <v>17</v>
      </c>
      <c r="BS1177" t="s">
        <v>17</v>
      </c>
      <c r="BT1177" t="s">
        <v>0</v>
      </c>
      <c r="BU1177" t="s">
        <v>0</v>
      </c>
      <c r="BV1177" t="s">
        <v>0</v>
      </c>
      <c r="BW1177" t="s">
        <v>0</v>
      </c>
      <c r="BX1177" t="s">
        <v>0</v>
      </c>
      <c r="BY1177" t="s">
        <v>0</v>
      </c>
      <c r="BZ1177" t="s">
        <v>0</v>
      </c>
      <c r="CA1177" t="s">
        <v>0</v>
      </c>
      <c r="CB1177" t="s">
        <v>0</v>
      </c>
    </row>
  </sheetData>
  <autoFilter ref="A1:CB1177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2026-06-19T07:00:33Z</dcterms:modified>
  <cp:category/>
</cp:coreProperties>
</file>