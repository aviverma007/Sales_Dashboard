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ilestones CRM\Till May-26\"/>
    </mc:Choice>
  </mc:AlternateContent>
  <xr:revisionPtr revIDLastSave="0" documentId="13_ncr:1_{D48C9C25-C95F-4E63-A3CA-B226FC224CE7}" xr6:coauthVersionLast="47" xr6:coauthVersionMax="47" xr10:uidLastSave="{00000000-0000-0000-0000-000000000000}"/>
  <bookViews>
    <workbookView xWindow="-110" yWindow="-110" windowWidth="19420" windowHeight="10300" activeTab="1" xr2:uid="{717DAC09-61D3-4262-BE82-6B1D9CCC4A78}"/>
  </bookViews>
  <sheets>
    <sheet name="% Progress" sheetId="3" r:id="rId1"/>
    <sheet name="01.06.26 Revised" sheetId="1" r:id="rId2"/>
    <sheet name="Revised CRM milestones" sheetId="2" r:id="rId3"/>
  </sheets>
  <definedNames>
    <definedName name="_xlnm.Print_Area" localSheetId="1">'01.06.26 Revised'!$A$1:$AD$58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AD56" i="1"/>
  <c r="AC56" i="1"/>
  <c r="AB56" i="1"/>
  <c r="AD55" i="1"/>
  <c r="AC55" i="1"/>
  <c r="AB55" i="1"/>
  <c r="Y56" i="1"/>
  <c r="X56" i="1"/>
  <c r="W56" i="1"/>
  <c r="Y55" i="1"/>
  <c r="X55" i="1"/>
  <c r="W55" i="1"/>
  <c r="T56" i="1"/>
  <c r="S56" i="1"/>
  <c r="R56" i="1"/>
  <c r="T55" i="1"/>
  <c r="S55" i="1"/>
  <c r="R55" i="1"/>
  <c r="O56" i="1"/>
  <c r="N56" i="1"/>
  <c r="M56" i="1"/>
  <c r="O55" i="1"/>
  <c r="N55" i="1"/>
  <c r="M55" i="1"/>
  <c r="H57" i="1"/>
  <c r="J56" i="1"/>
  <c r="I56" i="1"/>
  <c r="H56" i="1"/>
  <c r="J55" i="1"/>
  <c r="I55" i="1"/>
  <c r="H55" i="1"/>
  <c r="C54" i="1"/>
  <c r="E28" i="3"/>
  <c r="E27" i="3"/>
  <c r="D57" i="3"/>
  <c r="C57" i="3"/>
  <c r="E26" i="3"/>
  <c r="E25" i="3"/>
  <c r="E24" i="3"/>
  <c r="E23" i="3"/>
  <c r="E22" i="3"/>
  <c r="E21" i="3"/>
  <c r="E20" i="3"/>
  <c r="E19" i="3"/>
  <c r="E18" i="3"/>
  <c r="E17" i="3"/>
  <c r="E16" i="3"/>
  <c r="E15" i="3"/>
  <c r="M57" i="1" l="1"/>
  <c r="R57" i="1" s="1"/>
  <c r="W57" i="1" s="1"/>
  <c r="AB57" i="1" s="1"/>
  <c r="C55" i="1"/>
  <c r="E54" i="1"/>
  <c r="F14" i="2"/>
  <c r="AC23" i="1"/>
  <c r="AC24" i="1"/>
  <c r="AC34" i="1"/>
  <c r="AC35" i="1"/>
  <c r="AC36" i="1"/>
  <c r="AC37" i="1"/>
  <c r="AC39" i="1"/>
  <c r="AC40" i="1"/>
  <c r="AC41" i="1"/>
  <c r="AC42" i="1"/>
  <c r="AC43" i="1"/>
  <c r="AC44" i="1"/>
  <c r="AC45" i="1"/>
  <c r="AC46" i="1"/>
  <c r="AC47" i="1"/>
  <c r="AC48" i="1"/>
  <c r="AC25" i="1"/>
  <c r="S26" i="1"/>
  <c r="X26" i="1" s="1"/>
  <c r="S27" i="1"/>
  <c r="AC27" i="1" s="1"/>
  <c r="S28" i="1"/>
  <c r="AC28" i="1" s="1"/>
  <c r="AC29" i="1"/>
  <c r="S30" i="1"/>
  <c r="AC30" i="1" s="1"/>
  <c r="S31" i="1"/>
  <c r="AC31" i="1" s="1"/>
  <c r="S32" i="1"/>
  <c r="AC38" i="1"/>
  <c r="S41" i="1"/>
  <c r="S42" i="1"/>
  <c r="S43" i="1"/>
  <c r="S44" i="1"/>
  <c r="S45" i="1"/>
  <c r="S46" i="1"/>
  <c r="S49" i="1"/>
  <c r="I28" i="1"/>
  <c r="I29" i="1"/>
  <c r="I30" i="1"/>
  <c r="I38" i="1"/>
  <c r="I49" i="1"/>
  <c r="I50" i="1"/>
  <c r="G58" i="1"/>
  <c r="L58" i="1" s="1"/>
  <c r="Q58" i="1" s="1"/>
  <c r="V58" i="1" s="1"/>
  <c r="AA58" i="1" s="1"/>
  <c r="H14" i="1"/>
  <c r="J14" i="1" s="1"/>
  <c r="H15" i="1" s="1"/>
  <c r="J15" i="1" s="1"/>
  <c r="H16" i="1" s="1"/>
  <c r="J16" i="1" s="1"/>
  <c r="H17" i="1" s="1"/>
  <c r="J17" i="1" s="1"/>
  <c r="H18" i="1" s="1"/>
  <c r="C14" i="1"/>
  <c r="E14" i="1" s="1"/>
  <c r="C15" i="1" s="1"/>
  <c r="E15" i="1" s="1"/>
  <c r="C16" i="1" s="1"/>
  <c r="E16" i="1" s="1"/>
  <c r="C17" i="1" s="1"/>
  <c r="E17" i="1" s="1"/>
  <c r="C18" i="1" s="1"/>
  <c r="I13" i="1"/>
  <c r="D13" i="1"/>
  <c r="S12" i="1"/>
  <c r="H12" i="1"/>
  <c r="J12" i="1" s="1"/>
  <c r="H13" i="1" s="1"/>
  <c r="R11" i="1"/>
  <c r="T11" i="1" s="1"/>
  <c r="R12" i="1" s="1"/>
  <c r="N11" i="1"/>
  <c r="M11" i="1"/>
  <c r="I11" i="1"/>
  <c r="C11" i="1"/>
  <c r="E11" i="1" s="1"/>
  <c r="C12" i="1" s="1"/>
  <c r="E12" i="1" s="1"/>
  <c r="C13" i="1" s="1"/>
  <c r="AB10" i="1"/>
  <c r="AD10" i="1" s="1"/>
  <c r="AB11" i="1" s="1"/>
  <c r="AD11" i="1" s="1"/>
  <c r="AB12" i="1" s="1"/>
  <c r="AD12" i="1" s="1"/>
  <c r="AB13" i="1" s="1"/>
  <c r="AD13" i="1" s="1"/>
  <c r="AB14" i="1" s="1"/>
  <c r="AD14" i="1" s="1"/>
  <c r="AB15" i="1" s="1"/>
  <c r="AD15" i="1" s="1"/>
  <c r="AB16" i="1" s="1"/>
  <c r="AD16" i="1" s="1"/>
  <c r="AB17" i="1" s="1"/>
  <c r="AD17" i="1" s="1"/>
  <c r="AB18" i="1" s="1"/>
  <c r="W10" i="1"/>
  <c r="Y10" i="1" s="1"/>
  <c r="W11" i="1" s="1"/>
  <c r="Y11" i="1" s="1"/>
  <c r="W12" i="1" s="1"/>
  <c r="Y12" i="1" s="1"/>
  <c r="W13" i="1" s="1"/>
  <c r="Y13" i="1" s="1"/>
  <c r="W14" i="1" s="1"/>
  <c r="Y14" i="1" s="1"/>
  <c r="W15" i="1" s="1"/>
  <c r="Y15" i="1" s="1"/>
  <c r="W16" i="1" s="1"/>
  <c r="Y16" i="1" s="1"/>
  <c r="W17" i="1" s="1"/>
  <c r="Y17" i="1" s="1"/>
  <c r="W18" i="1" s="1"/>
  <c r="S10" i="1"/>
  <c r="N10" i="1"/>
  <c r="H10" i="1"/>
  <c r="I10" i="1" s="1"/>
  <c r="D10" i="1"/>
  <c r="AC9" i="1"/>
  <c r="X9" i="1"/>
  <c r="S9" i="1"/>
  <c r="N9" i="1"/>
  <c r="I9" i="1"/>
  <c r="D9" i="1"/>
  <c r="AC8" i="1"/>
  <c r="X8" i="1"/>
  <c r="S8" i="1"/>
  <c r="N8" i="1"/>
  <c r="I8" i="1"/>
  <c r="D8" i="1"/>
  <c r="AC7" i="1"/>
  <c r="X7" i="1"/>
  <c r="S7" i="1"/>
  <c r="N7" i="1"/>
  <c r="I7" i="1"/>
  <c r="D7" i="1"/>
  <c r="G3" i="1"/>
  <c r="D3" i="1"/>
  <c r="E55" i="1" l="1"/>
  <c r="C56" i="1"/>
  <c r="E56" i="1" s="1"/>
  <c r="E57" i="1" s="1"/>
  <c r="AC26" i="1"/>
  <c r="T12" i="1"/>
  <c r="R13" i="1" s="1"/>
  <c r="T13" i="1" s="1"/>
  <c r="R14" i="1" s="1"/>
  <c r="T14" i="1" s="1"/>
  <c r="R15" i="1" s="1"/>
  <c r="T15" i="1" s="1"/>
  <c r="R16" i="1" s="1"/>
  <c r="T16" i="1" s="1"/>
  <c r="R17" i="1" s="1"/>
  <c r="T17" i="1" s="1"/>
  <c r="R18" i="1" s="1"/>
  <c r="AD18" i="1"/>
  <c r="AB19" i="1" s="1"/>
  <c r="AD19" i="1" s="1"/>
  <c r="AB20" i="1" s="1"/>
  <c r="AD20" i="1" s="1"/>
  <c r="AB21" i="1" s="1"/>
  <c r="AD21" i="1" s="1"/>
  <c r="AB22" i="1" s="1"/>
  <c r="AD22" i="1" s="1"/>
  <c r="AB23" i="1" s="1"/>
  <c r="AD23" i="1" s="1"/>
  <c r="AB24" i="1" s="1"/>
  <c r="AD24" i="1" s="1"/>
  <c r="Y18" i="1"/>
  <c r="W19" i="1" s="1"/>
  <c r="Y19" i="1" s="1"/>
  <c r="W20" i="1" s="1"/>
  <c r="Y20" i="1" s="1"/>
  <c r="W21" i="1" s="1"/>
  <c r="Y21" i="1" s="1"/>
  <c r="W22" i="1" s="1"/>
  <c r="Y22" i="1" s="1"/>
  <c r="W23" i="1" s="1"/>
  <c r="Y23" i="1" s="1"/>
  <c r="W24" i="1" s="1"/>
  <c r="Y24" i="1" s="1"/>
  <c r="W25" i="1" s="1"/>
  <c r="Y25" i="1" s="1"/>
  <c r="E18" i="1"/>
  <c r="C19" i="1" s="1"/>
  <c r="E19" i="1" s="1"/>
  <c r="C20" i="1" s="1"/>
  <c r="E20" i="1" s="1"/>
  <c r="C21" i="1" s="1"/>
  <c r="E21" i="1" s="1"/>
  <c r="C22" i="1" s="1"/>
  <c r="E22" i="1" s="1"/>
  <c r="C23" i="1" s="1"/>
  <c r="E23" i="1" s="1"/>
  <c r="C24" i="1" s="1"/>
  <c r="E24" i="1" s="1"/>
  <c r="C25" i="1" s="1"/>
  <c r="E25" i="1" s="1"/>
  <c r="C26" i="1" s="1"/>
  <c r="E26" i="1" s="1"/>
  <c r="J18" i="1"/>
  <c r="H19" i="1" s="1"/>
  <c r="J19" i="1" s="1"/>
  <c r="H20" i="1" s="1"/>
  <c r="J20" i="1" s="1"/>
  <c r="H21" i="1" s="1"/>
  <c r="J21" i="1" s="1"/>
  <c r="H22" i="1" s="1"/>
  <c r="J22" i="1" s="1"/>
  <c r="H23" i="1" s="1"/>
  <c r="J23" i="1" s="1"/>
  <c r="H24" i="1" s="1"/>
  <c r="J24" i="1" s="1"/>
  <c r="H25" i="1" s="1"/>
  <c r="J25" i="1" s="1"/>
  <c r="H26" i="1" s="1"/>
  <c r="J26" i="1" s="1"/>
  <c r="O11" i="1"/>
  <c r="M12" i="1" s="1"/>
  <c r="O12" i="1" s="1"/>
  <c r="M13" i="1" s="1"/>
  <c r="O13" i="1" s="1"/>
  <c r="M14" i="1" s="1"/>
  <c r="O14" i="1" s="1"/>
  <c r="M15" i="1" s="1"/>
  <c r="O15" i="1" s="1"/>
  <c r="M16" i="1" s="1"/>
  <c r="O16" i="1" s="1"/>
  <c r="M17" i="1" s="1"/>
  <c r="O17" i="1" s="1"/>
  <c r="M18" i="1" s="1"/>
  <c r="J57" i="1" l="1"/>
  <c r="O57" i="1" s="1"/>
  <c r="T57" i="1" s="1"/>
  <c r="Y57" i="1" s="1"/>
  <c r="AD57" i="1" s="1"/>
  <c r="H58" i="1"/>
  <c r="M58" i="1" s="1"/>
  <c r="R58" i="1" s="1"/>
  <c r="W58" i="1" s="1"/>
  <c r="AB58" i="1" s="1"/>
  <c r="C27" i="1"/>
  <c r="E27" i="1" s="1"/>
  <c r="C28" i="1" s="1"/>
  <c r="E28" i="1" s="1"/>
  <c r="C29" i="1" s="1"/>
  <c r="E29" i="1" s="1"/>
  <c r="C30" i="1" s="1"/>
  <c r="E30" i="1" s="1"/>
  <c r="C31" i="1" s="1"/>
  <c r="E31" i="1" s="1"/>
  <c r="C32" i="1" s="1"/>
  <c r="E32" i="1" s="1"/>
  <c r="C33" i="1" s="1"/>
  <c r="E33" i="1" s="1"/>
  <c r="C34" i="1" s="1"/>
  <c r="E34" i="1" s="1"/>
  <c r="C35" i="1" s="1"/>
  <c r="E35" i="1" s="1"/>
  <c r="C36" i="1" s="1"/>
  <c r="E36" i="1" s="1"/>
  <c r="C37" i="1" s="1"/>
  <c r="E37" i="1" s="1"/>
  <c r="C38" i="1" s="1"/>
  <c r="E38" i="1" s="1"/>
  <c r="C39" i="1" s="1"/>
  <c r="E39" i="1" s="1"/>
  <c r="C40" i="1" s="1"/>
  <c r="E40" i="1" s="1"/>
  <c r="C41" i="1" s="1"/>
  <c r="E41" i="1" s="1"/>
  <c r="C42" i="1" s="1"/>
  <c r="E42" i="1" s="1"/>
  <c r="C43" i="1" s="1"/>
  <c r="E43" i="1" s="1"/>
  <c r="C44" i="1" s="1"/>
  <c r="E44" i="1" s="1"/>
  <c r="C45" i="1" s="1"/>
  <c r="E45" i="1" s="1"/>
  <c r="C46" i="1" s="1"/>
  <c r="E46" i="1" s="1"/>
  <c r="C47" i="1" s="1"/>
  <c r="E47" i="1" s="1"/>
  <c r="C48" i="1" s="1"/>
  <c r="E48" i="1" s="1"/>
  <c r="C49" i="1" s="1"/>
  <c r="E49" i="1" s="1"/>
  <c r="C50" i="1" s="1"/>
  <c r="E50" i="1" s="1"/>
  <c r="H12" i="2"/>
  <c r="H27" i="1"/>
  <c r="J27" i="1" s="1"/>
  <c r="H28" i="1" s="1"/>
  <c r="J28" i="1" s="1"/>
  <c r="H29" i="1" s="1"/>
  <c r="J29" i="1" s="1"/>
  <c r="H30" i="1" s="1"/>
  <c r="J30" i="1" s="1"/>
  <c r="H31" i="1" s="1"/>
  <c r="J31" i="1" s="1"/>
  <c r="H32" i="1" s="1"/>
  <c r="J32" i="1" s="1"/>
  <c r="H33" i="1" s="1"/>
  <c r="J33" i="1" s="1"/>
  <c r="H34" i="1" s="1"/>
  <c r="J34" i="1" s="1"/>
  <c r="H35" i="1" s="1"/>
  <c r="J35" i="1" s="1"/>
  <c r="H36" i="1" s="1"/>
  <c r="J36" i="1" s="1"/>
  <c r="H37" i="1" s="1"/>
  <c r="J37" i="1" s="1"/>
  <c r="H38" i="1" s="1"/>
  <c r="J38" i="1" s="1"/>
  <c r="H39" i="1" s="1"/>
  <c r="J39" i="1" s="1"/>
  <c r="H40" i="1" s="1"/>
  <c r="J40" i="1" s="1"/>
  <c r="H41" i="1" s="1"/>
  <c r="J41" i="1" s="1"/>
  <c r="H42" i="1" s="1"/>
  <c r="J42" i="1" s="1"/>
  <c r="H43" i="1" s="1"/>
  <c r="J43" i="1" s="1"/>
  <c r="H44" i="1" s="1"/>
  <c r="J44" i="1" s="1"/>
  <c r="H45" i="1" s="1"/>
  <c r="J45" i="1" s="1"/>
  <c r="H46" i="1" s="1"/>
  <c r="J46" i="1" s="1"/>
  <c r="H47" i="1" s="1"/>
  <c r="J47" i="1" s="1"/>
  <c r="H48" i="1" s="1"/>
  <c r="J48" i="1" s="1"/>
  <c r="H49" i="1" s="1"/>
  <c r="J49" i="1" s="1"/>
  <c r="H50" i="1" s="1"/>
  <c r="J50" i="1" s="1"/>
  <c r="G12" i="2"/>
  <c r="AB25" i="1"/>
  <c r="AD25" i="1" s="1"/>
  <c r="AB26" i="1" s="1"/>
  <c r="AD26" i="1" s="1"/>
  <c r="AB53" i="1"/>
  <c r="W26" i="1"/>
  <c r="Y26" i="1" s="1"/>
  <c r="W53" i="1"/>
  <c r="T18" i="1"/>
  <c r="R19" i="1" s="1"/>
  <c r="T19" i="1" s="1"/>
  <c r="R20" i="1" s="1"/>
  <c r="T20" i="1" s="1"/>
  <c r="R21" i="1" s="1"/>
  <c r="T21" i="1" s="1"/>
  <c r="R22" i="1" s="1"/>
  <c r="T22" i="1" s="1"/>
  <c r="R23" i="1" s="1"/>
  <c r="T23" i="1" s="1"/>
  <c r="R24" i="1" s="1"/>
  <c r="T24" i="1" s="1"/>
  <c r="R25" i="1" s="1"/>
  <c r="T25" i="1" s="1"/>
  <c r="R26" i="1" s="1"/>
  <c r="T26" i="1" s="1"/>
  <c r="O18" i="1"/>
  <c r="M19" i="1" s="1"/>
  <c r="O19" i="1" s="1"/>
  <c r="M20" i="1" s="1"/>
  <c r="O20" i="1" s="1"/>
  <c r="M21" i="1" s="1"/>
  <c r="O21" i="1" s="1"/>
  <c r="M22" i="1" s="1"/>
  <c r="O22" i="1" s="1"/>
  <c r="M23" i="1" s="1"/>
  <c r="O23" i="1" s="1"/>
  <c r="M24" i="1" s="1"/>
  <c r="O24" i="1" s="1"/>
  <c r="M25" i="1" s="1"/>
  <c r="O25" i="1" s="1"/>
  <c r="M26" i="1" s="1"/>
  <c r="O26" i="1" s="1"/>
  <c r="C12" i="2" s="1"/>
  <c r="C51" i="1" l="1"/>
  <c r="E51" i="1" s="1"/>
  <c r="C52" i="1" s="1"/>
  <c r="E52" i="1" s="1"/>
  <c r="C53" i="1" s="1"/>
  <c r="E53" i="1" s="1"/>
  <c r="G18" i="2" s="1"/>
  <c r="G16" i="2"/>
  <c r="H51" i="1"/>
  <c r="J51" i="1" s="1"/>
  <c r="H52" i="1" s="1"/>
  <c r="J52" i="1" s="1"/>
  <c r="H53" i="1" s="1"/>
  <c r="J53" i="1" s="1"/>
  <c r="H16" i="2"/>
  <c r="H54" i="1"/>
  <c r="R27" i="1"/>
  <c r="T27" i="1" s="1"/>
  <c r="D12" i="2"/>
  <c r="AB27" i="1"/>
  <c r="AD27" i="1" s="1"/>
  <c r="AB28" i="1" s="1"/>
  <c r="AD28" i="1" s="1"/>
  <c r="AB29" i="1" s="1"/>
  <c r="AD29" i="1" s="1"/>
  <c r="AB30" i="1" s="1"/>
  <c r="AD30" i="1" s="1"/>
  <c r="AB31" i="1" s="1"/>
  <c r="AD31" i="1" s="1"/>
  <c r="AB32" i="1" s="1"/>
  <c r="AD32" i="1" s="1"/>
  <c r="AB33" i="1" s="1"/>
  <c r="AD33" i="1" s="1"/>
  <c r="AB34" i="1" s="1"/>
  <c r="AD34" i="1" s="1"/>
  <c r="AB35" i="1" s="1"/>
  <c r="AD35" i="1" s="1"/>
  <c r="AB36" i="1" s="1"/>
  <c r="AD36" i="1" s="1"/>
  <c r="AB37" i="1" s="1"/>
  <c r="AD37" i="1" s="1"/>
  <c r="AB38" i="1" s="1"/>
  <c r="AD38" i="1" s="1"/>
  <c r="AB39" i="1" s="1"/>
  <c r="AD39" i="1" s="1"/>
  <c r="AB40" i="1" s="1"/>
  <c r="AD40" i="1" s="1"/>
  <c r="AB41" i="1" s="1"/>
  <c r="AD41" i="1" s="1"/>
  <c r="AB42" i="1" s="1"/>
  <c r="AD42" i="1" s="1"/>
  <c r="AB43" i="1" s="1"/>
  <c r="AD43" i="1" s="1"/>
  <c r="AB44" i="1" s="1"/>
  <c r="AD44" i="1" s="1"/>
  <c r="AB45" i="1" s="1"/>
  <c r="AD45" i="1" s="1"/>
  <c r="AB46" i="1" s="1"/>
  <c r="AD46" i="1" s="1"/>
  <c r="AB47" i="1" s="1"/>
  <c r="AD47" i="1" s="1"/>
  <c r="AB48" i="1" s="1"/>
  <c r="AD48" i="1" s="1"/>
  <c r="AB49" i="1" s="1"/>
  <c r="AD49" i="1" s="1"/>
  <c r="F12" i="2"/>
  <c r="W27" i="1"/>
  <c r="Y27" i="1" s="1"/>
  <c r="W28" i="1" s="1"/>
  <c r="Y28" i="1" s="1"/>
  <c r="W29" i="1" s="1"/>
  <c r="Y29" i="1" s="1"/>
  <c r="W30" i="1" s="1"/>
  <c r="Y30" i="1" s="1"/>
  <c r="W31" i="1" s="1"/>
  <c r="Y31" i="1" s="1"/>
  <c r="W32" i="1" s="1"/>
  <c r="Y32" i="1" s="1"/>
  <c r="W33" i="1" s="1"/>
  <c r="Y33" i="1" s="1"/>
  <c r="W34" i="1" s="1"/>
  <c r="Y34" i="1" s="1"/>
  <c r="W35" i="1" s="1"/>
  <c r="Y35" i="1" s="1"/>
  <c r="W36" i="1" s="1"/>
  <c r="Y36" i="1" s="1"/>
  <c r="W37" i="1" s="1"/>
  <c r="Y37" i="1" s="1"/>
  <c r="W38" i="1" s="1"/>
  <c r="Y38" i="1" s="1"/>
  <c r="W39" i="1" s="1"/>
  <c r="Y39" i="1" s="1"/>
  <c r="W40" i="1" s="1"/>
  <c r="Y40" i="1" s="1"/>
  <c r="W41" i="1" s="1"/>
  <c r="Y41" i="1" s="1"/>
  <c r="W42" i="1" s="1"/>
  <c r="Y42" i="1" s="1"/>
  <c r="W43" i="1" s="1"/>
  <c r="Y43" i="1" s="1"/>
  <c r="W44" i="1" s="1"/>
  <c r="Y44" i="1" s="1"/>
  <c r="W45" i="1" s="1"/>
  <c r="Y45" i="1" s="1"/>
  <c r="W46" i="1" s="1"/>
  <c r="Y46" i="1" s="1"/>
  <c r="W47" i="1" s="1"/>
  <c r="Y47" i="1" s="1"/>
  <c r="W48" i="1" s="1"/>
  <c r="Y48" i="1" s="1"/>
  <c r="W49" i="1" s="1"/>
  <c r="Y49" i="1" s="1"/>
  <c r="E12" i="2"/>
  <c r="AD53" i="1"/>
  <c r="Y53" i="1"/>
  <c r="M27" i="1"/>
  <c r="O27" i="1" s="1"/>
  <c r="M28" i="1" s="1"/>
  <c r="O28" i="1" s="1"/>
  <c r="M29" i="1" s="1"/>
  <c r="O29" i="1" s="1"/>
  <c r="M30" i="1" s="1"/>
  <c r="O30" i="1" s="1"/>
  <c r="M31" i="1" s="1"/>
  <c r="O31" i="1" s="1"/>
  <c r="M32" i="1" s="1"/>
  <c r="O32" i="1" s="1"/>
  <c r="M33" i="1" s="1"/>
  <c r="O33" i="1" s="1"/>
  <c r="M34" i="1" s="1"/>
  <c r="O34" i="1" s="1"/>
  <c r="M35" i="1" s="1"/>
  <c r="O35" i="1" s="1"/>
  <c r="M36" i="1" s="1"/>
  <c r="O36" i="1" s="1"/>
  <c r="M53" i="1"/>
  <c r="J54" i="1" l="1"/>
  <c r="H18" i="2"/>
  <c r="AB50" i="1"/>
  <c r="AD50" i="1" s="1"/>
  <c r="AB51" i="1" s="1"/>
  <c r="AD51" i="1" s="1"/>
  <c r="AB52" i="1" s="1"/>
  <c r="AD52" i="1" s="1"/>
  <c r="F18" i="2" s="1"/>
  <c r="F16" i="2"/>
  <c r="W50" i="1"/>
  <c r="Y50" i="1" s="1"/>
  <c r="W51" i="1" s="1"/>
  <c r="Y51" i="1" s="1"/>
  <c r="W52" i="1" s="1"/>
  <c r="Y52" i="1" s="1"/>
  <c r="E18" i="2" s="1"/>
  <c r="E16" i="2"/>
  <c r="R28" i="1"/>
  <c r="T28" i="1" s="1"/>
  <c r="R53" i="1"/>
  <c r="T53" i="1" s="1"/>
  <c r="M37" i="1"/>
  <c r="O37" i="1" s="1"/>
  <c r="M38" i="1" s="1"/>
  <c r="O38" i="1" s="1"/>
  <c r="M39" i="1" s="1"/>
  <c r="O39" i="1" s="1"/>
  <c r="M40" i="1" s="1"/>
  <c r="O40" i="1" s="1"/>
  <c r="M41" i="1" s="1"/>
  <c r="O41" i="1" s="1"/>
  <c r="M42" i="1" s="1"/>
  <c r="O42" i="1" s="1"/>
  <c r="M43" i="1" s="1"/>
  <c r="O43" i="1" s="1"/>
  <c r="M44" i="1" s="1"/>
  <c r="O44" i="1" s="1"/>
  <c r="M45" i="1" s="1"/>
  <c r="O45" i="1" s="1"/>
  <c r="M46" i="1" s="1"/>
  <c r="O46" i="1" s="1"/>
  <c r="M47" i="1" s="1"/>
  <c r="O47" i="1" s="1"/>
  <c r="M48" i="1" s="1"/>
  <c r="O48" i="1" s="1"/>
  <c r="M49" i="1" s="1"/>
  <c r="O49" i="1" s="1"/>
  <c r="C14" i="2"/>
  <c r="O53" i="1"/>
  <c r="R29" i="1" l="1"/>
  <c r="T29" i="1" s="1"/>
  <c r="R30" i="1" s="1"/>
  <c r="T30" i="1" s="1"/>
  <c r="R31" i="1" s="1"/>
  <c r="T31" i="1" s="1"/>
  <c r="R32" i="1" s="1"/>
  <c r="T32" i="1" s="1"/>
  <c r="R33" i="1" s="1"/>
  <c r="T33" i="1" s="1"/>
  <c r="R34" i="1" s="1"/>
  <c r="T34" i="1" s="1"/>
  <c r="R35" i="1" s="1"/>
  <c r="T35" i="1" s="1"/>
  <c r="R36" i="1" s="1"/>
  <c r="T36" i="1" s="1"/>
  <c r="M50" i="1"/>
  <c r="O50" i="1" s="1"/>
  <c r="M51" i="1" s="1"/>
  <c r="O51" i="1" s="1"/>
  <c r="M52" i="1" s="1"/>
  <c r="O52" i="1" s="1"/>
  <c r="C18" i="2" s="1"/>
  <c r="C16" i="2"/>
  <c r="D14" i="2" l="1"/>
  <c r="R37" i="1"/>
  <c r="T37" i="1" s="1"/>
  <c r="R38" i="1" s="1"/>
  <c r="T38" i="1" s="1"/>
  <c r="R39" i="1" s="1"/>
  <c r="T39" i="1" s="1"/>
  <c r="R40" i="1" s="1"/>
  <c r="T40" i="1" s="1"/>
  <c r="R41" i="1" s="1"/>
  <c r="T41" i="1" s="1"/>
  <c r="R42" i="1" s="1"/>
  <c r="T42" i="1" s="1"/>
  <c r="R43" i="1" s="1"/>
  <c r="T43" i="1" s="1"/>
  <c r="R44" i="1" s="1"/>
  <c r="T44" i="1" s="1"/>
  <c r="R45" i="1" s="1"/>
  <c r="T45" i="1" s="1"/>
  <c r="R46" i="1" s="1"/>
  <c r="T46" i="1" s="1"/>
  <c r="R47" i="1" s="1"/>
  <c r="T47" i="1" s="1"/>
  <c r="R48" i="1" s="1"/>
  <c r="T48" i="1" s="1"/>
  <c r="R49" i="1" s="1"/>
  <c r="T49" i="1" s="1"/>
  <c r="D16" i="2" l="1"/>
  <c r="R50" i="1"/>
  <c r="T50" i="1" s="1"/>
  <c r="R51" i="1" s="1"/>
  <c r="T51" i="1" s="1"/>
  <c r="R52" i="1" s="1"/>
  <c r="T52" i="1" s="1"/>
  <c r="D18" i="2" s="1"/>
  <c r="C21" i="2"/>
  <c r="C20" i="2"/>
</calcChain>
</file>

<file path=xl/sharedStrings.xml><?xml version="1.0" encoding="utf-8"?>
<sst xmlns="http://schemas.openxmlformats.org/spreadsheetml/2006/main" count="416" uniqueCount="142">
  <si>
    <t>THE EDITION GROUP HOUSING SEC 66</t>
  </si>
  <si>
    <t xml:space="preserve">START DATE </t>
  </si>
  <si>
    <t>No. of days</t>
  </si>
  <si>
    <t>END DATE</t>
  </si>
  <si>
    <t>Structure Schedule_66</t>
  </si>
  <si>
    <t>Tower 6</t>
  </si>
  <si>
    <t>Tower 5</t>
  </si>
  <si>
    <t>Tower 1</t>
  </si>
  <si>
    <t>Tower 2</t>
  </si>
  <si>
    <t>Tower 3</t>
  </si>
  <si>
    <t>Tower 4</t>
  </si>
  <si>
    <t>Actual
/Anticipated Start</t>
  </si>
  <si>
    <t>Actual
/Anticipated Finish</t>
  </si>
  <si>
    <t>Surface Levelling &amp; Dressing, Raft</t>
  </si>
  <si>
    <t>Basement 3</t>
  </si>
  <si>
    <t>Basement 2</t>
  </si>
  <si>
    <t>Basement 1</t>
  </si>
  <si>
    <t>Stilt Floor</t>
  </si>
  <si>
    <t>1st Floor</t>
  </si>
  <si>
    <t>2nd Floor</t>
  </si>
  <si>
    <t>3rd Floor</t>
  </si>
  <si>
    <t>4th Floor</t>
  </si>
  <si>
    <t>5th Floor</t>
  </si>
  <si>
    <t>6th Floor</t>
  </si>
  <si>
    <t>7th Floor</t>
  </si>
  <si>
    <t>8th Floor</t>
  </si>
  <si>
    <t>9th Floor</t>
  </si>
  <si>
    <t>10th Floor</t>
  </si>
  <si>
    <t>11th Floor</t>
  </si>
  <si>
    <t>12th Floor</t>
  </si>
  <si>
    <t>13th Floor</t>
  </si>
  <si>
    <t>14th Floor</t>
  </si>
  <si>
    <t>15th Floor</t>
  </si>
  <si>
    <t>16th Floor</t>
  </si>
  <si>
    <t>17th Floor</t>
  </si>
  <si>
    <t>18th Floor</t>
  </si>
  <si>
    <t>19th Floor</t>
  </si>
  <si>
    <t>20th Floor</t>
  </si>
  <si>
    <t>21st Floor</t>
  </si>
  <si>
    <t>22nd Floor</t>
  </si>
  <si>
    <t>23rd Floor</t>
  </si>
  <si>
    <t>24th Floor</t>
  </si>
  <si>
    <t>25th Floor</t>
  </si>
  <si>
    <t>26th Floor</t>
  </si>
  <si>
    <t>27th Floor</t>
  </si>
  <si>
    <t>28th Floor</t>
  </si>
  <si>
    <t>29th Floor</t>
  </si>
  <si>
    <t>30th Floor</t>
  </si>
  <si>
    <t>31st Floor</t>
  </si>
  <si>
    <t>32nd Floor</t>
  </si>
  <si>
    <t>33rd Floor</t>
  </si>
  <si>
    <t>34th Floor</t>
  </si>
  <si>
    <t>35th Floor</t>
  </si>
  <si>
    <t>36th Floor</t>
  </si>
  <si>
    <t>37th Floor</t>
  </si>
  <si>
    <t>38th Floor</t>
  </si>
  <si>
    <t>39th Floor</t>
  </si>
  <si>
    <t>40th Floor</t>
  </si>
  <si>
    <t>41st Floor</t>
  </si>
  <si>
    <t>Terrace Floor</t>
  </si>
  <si>
    <t>Block Work</t>
  </si>
  <si>
    <t xml:space="preserve">Block Works </t>
  </si>
  <si>
    <t>Gypsum Plaster/ Plaster Works</t>
  </si>
  <si>
    <t>Tiling Works</t>
  </si>
  <si>
    <t>Application of OC</t>
  </si>
  <si>
    <t xml:space="preserve">Milestone </t>
  </si>
  <si>
    <t xml:space="preserve">Tower 2 </t>
  </si>
  <si>
    <t>On Application of Booking</t>
  </si>
  <si>
    <t xml:space="preserve">As per customer booking </t>
  </si>
  <si>
    <t>Within 30 days of Booking less : Booking amount</t>
  </si>
  <si>
    <t>Start of Excavation</t>
  </si>
  <si>
    <t xml:space="preserve">On Completion of Ground floor Slab </t>
  </si>
  <si>
    <t>On Completion of 5th floor Slab</t>
  </si>
  <si>
    <t>On Completion of 15th floor Slab</t>
  </si>
  <si>
    <t>On Completion of 25th floor Slab</t>
  </si>
  <si>
    <t>On Completion of Structure</t>
  </si>
  <si>
    <t>On Application of Occupation Certificate</t>
  </si>
  <si>
    <t xml:space="preserve">Projected Completion </t>
  </si>
  <si>
    <t>On Offer of Possession</t>
  </si>
  <si>
    <t xml:space="preserve">After OC </t>
  </si>
  <si>
    <t xml:space="preserve">Start of Handover </t>
  </si>
  <si>
    <t xml:space="preserve">Completion Till Below Penthouse </t>
  </si>
  <si>
    <t>Milestone</t>
  </si>
  <si>
    <t>Edition 66</t>
  </si>
  <si>
    <t>Total Slabs  (includes mumty slabs, machine room slabs, mezzanine floors of penthouse)</t>
  </si>
  <si>
    <t xml:space="preserve">Achieved Slabs </t>
  </si>
  <si>
    <t xml:space="preserve">Achieved % </t>
  </si>
  <si>
    <t>Bulk Excavation</t>
  </si>
  <si>
    <t>_</t>
  </si>
  <si>
    <t>Local Excavation</t>
  </si>
  <si>
    <t>PCC</t>
  </si>
  <si>
    <t>Tower Foundation/Raft</t>
  </si>
  <si>
    <t>Retaining Wall</t>
  </si>
  <si>
    <t>3rd basement Floor Slab</t>
  </si>
  <si>
    <t>2nd Basement Floor Slab</t>
  </si>
  <si>
    <t>1st Basement Floor Slab</t>
  </si>
  <si>
    <t>Ground Slab</t>
  </si>
  <si>
    <t>1st Floor Slab</t>
  </si>
  <si>
    <t>2nd Floor Slab</t>
  </si>
  <si>
    <t>3rd Floor Slab</t>
  </si>
  <si>
    <t>4th Floor Slab</t>
  </si>
  <si>
    <t>5th Floor Slab</t>
  </si>
  <si>
    <t>6th Floor Slab</t>
  </si>
  <si>
    <t>7th Floor Slab</t>
  </si>
  <si>
    <t>8th Floor Slab</t>
  </si>
  <si>
    <t>9th Floor Slab</t>
  </si>
  <si>
    <t>10th Floor Slab</t>
  </si>
  <si>
    <t>11th Floor Slab</t>
  </si>
  <si>
    <t>12th Floor Slab</t>
  </si>
  <si>
    <t>13th Floor Slab</t>
  </si>
  <si>
    <t>14th Floor Slab</t>
  </si>
  <si>
    <t>15th Floor Slab</t>
  </si>
  <si>
    <t>16th Floor Slab</t>
  </si>
  <si>
    <t>17th Floor Slab</t>
  </si>
  <si>
    <t>18th Floor Slab</t>
  </si>
  <si>
    <t>19th Floor Slab</t>
  </si>
  <si>
    <t>20th Floor Slab</t>
  </si>
  <si>
    <t>21st Floor Slab</t>
  </si>
  <si>
    <t>22nd Floor Slab</t>
  </si>
  <si>
    <t>23rd Floor Slab</t>
  </si>
  <si>
    <t>24th Floor Slab</t>
  </si>
  <si>
    <t>25th Floor Slab</t>
  </si>
  <si>
    <t>26th Floor Slab</t>
  </si>
  <si>
    <t>27th Floor Slab</t>
  </si>
  <si>
    <t>28th Floor Slab</t>
  </si>
  <si>
    <t>29th Floor Slab</t>
  </si>
  <si>
    <t>30th Floor Slab</t>
  </si>
  <si>
    <t>31st Floor Slab</t>
  </si>
  <si>
    <t>32nd Floor Slab</t>
  </si>
  <si>
    <t>33rd Floor Slab</t>
  </si>
  <si>
    <t>34th Floor Slab</t>
  </si>
  <si>
    <t>35th Floor Slab</t>
  </si>
  <si>
    <t>36th Floor Slab</t>
  </si>
  <si>
    <t>37th Floor Slab</t>
  </si>
  <si>
    <t>38th Floor Slab</t>
  </si>
  <si>
    <t>39th Floor Slab</t>
  </si>
  <si>
    <t>40th Floor Slab</t>
  </si>
  <si>
    <t>41st Floor Slab</t>
  </si>
  <si>
    <t>Terrace Floor Slab</t>
  </si>
  <si>
    <t xml:space="preserve">Mummty </t>
  </si>
  <si>
    <t xml:space="preserve">Machine Room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</si>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</sst>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0.00"/>
    <numFmt numFmtId="165" formatCode="0;[Red]0"/>
    <numFmt numFmtId="166" formatCode="[$-409]d/mmm/yy;@"/>
  </numFmts>
  <fonts count="17" x14ac:knownFonts="1">
    <font>
      <sz val="11"/>
      <color theme="1"/>
      <name val="Calibri"/>
      <family val="2"/>
      <scheme val="minor"/>
    </font>
    <font>
      <sz val="12"/>
      <color rgb="FF000000"/>
      <name val="Poppins"/>
    </font>
    <font>
      <sz val="11"/>
      <color theme="1"/>
      <name val="Poppins"/>
    </font>
    <font>
      <i/>
      <sz val="14"/>
      <color rgb="FF000000"/>
      <name val="Poppins"/>
    </font>
    <font>
      <sz val="14"/>
      <color rgb="FF000000"/>
      <name val="Poppins"/>
    </font>
    <font>
      <i/>
      <sz val="12"/>
      <color rgb="FF000000"/>
      <name val="Poppins"/>
    </font>
    <font>
      <strike/>
      <sz val="12"/>
      <color rgb="FF000000"/>
      <name val="Poppins"/>
    </font>
    <font>
      <b/>
      <sz val="11"/>
      <color theme="1"/>
      <name val="Poppins"/>
    </font>
    <font>
      <sz val="11"/>
      <color rgb="FF363636"/>
      <name val="Poppins"/>
    </font>
    <font>
      <b/>
      <sz val="11"/>
      <color rgb="FF000000"/>
      <name val="Poppins"/>
    </font>
    <font>
      <sz val="11"/>
      <color rgb="FF000000"/>
      <name val="Poppins"/>
    </font>
    <font>
      <sz val="10"/>
      <color rgb="FF363636"/>
      <name val="Poppins"/>
    </font>
    <font>
      <sz val="8"/>
      <color rgb="FF000000"/>
      <name val="Poppins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1BBCC"/>
      </left>
      <right style="medium">
        <color indexed="64"/>
      </right>
      <top/>
      <bottom style="thin">
        <color rgb="FFB1BBCC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1BBCC"/>
      </left>
      <right style="medium">
        <color indexed="64"/>
      </right>
      <top style="thin">
        <color rgb="FFB1BBCC"/>
      </top>
      <bottom style="thin">
        <color rgb="FFB1BB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1BBCC"/>
      </left>
      <right style="medium">
        <color indexed="64"/>
      </right>
      <top style="thin">
        <color rgb="FFB1BBCC"/>
      </top>
      <bottom/>
      <diagonal/>
    </border>
    <border>
      <left style="thin">
        <color rgb="FFB1BBCC"/>
      </left>
      <right style="thin">
        <color rgb="FFB1BBCC"/>
      </right>
      <top style="medium">
        <color indexed="64"/>
      </top>
      <bottom style="medium">
        <color indexed="64"/>
      </bottom>
      <diagonal/>
    </border>
    <border>
      <left style="thin">
        <color rgb="FFB1BB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B1BBCC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65">
    <xf numFmtId="0" fontId="0" fillId="0" borderId="0" xfId="0"/>
    <xf numFmtId="17" fontId="1" fillId="10" borderId="37" xfId="0" applyNumberFormat="1" applyFont="1" applyFill="1" applyBorder="1" applyAlignment="1">
      <alignment horizontal="center" vertical="center" wrapText="1" readingOrder="1"/>
    </xf>
    <xf numFmtId="0" fontId="2" fillId="0" borderId="0" xfId="0" applyFont="1"/>
    <xf numFmtId="0" fontId="3" fillId="9" borderId="37" xfId="0" applyFont="1" applyFill="1" applyBorder="1" applyAlignment="1">
      <alignment horizontal="left" vertical="center" wrapText="1" readingOrder="1"/>
    </xf>
    <xf numFmtId="0" fontId="4" fillId="9" borderId="37" xfId="0" applyFont="1" applyFill="1" applyBorder="1" applyAlignment="1">
      <alignment horizontal="center" vertical="center" wrapText="1" readingOrder="1"/>
    </xf>
    <xf numFmtId="0" fontId="5" fillId="9" borderId="37" xfId="0" applyFont="1" applyFill="1" applyBorder="1" applyAlignment="1">
      <alignment horizontal="left" vertical="center" wrapText="1" readingOrder="1"/>
    </xf>
    <xf numFmtId="17" fontId="6" fillId="10" borderId="38" xfId="0" applyNumberFormat="1" applyFont="1" applyFill="1" applyBorder="1" applyAlignment="1">
      <alignment horizontal="center" vertical="center" wrapText="1" readingOrder="1"/>
    </xf>
    <xf numFmtId="17" fontId="1" fillId="10" borderId="39" xfId="0" applyNumberFormat="1" applyFont="1" applyFill="1" applyBorder="1" applyAlignment="1">
      <alignment horizontal="center" vertical="center" wrapText="1" readingOrder="1"/>
    </xf>
    <xf numFmtId="17" fontId="6" fillId="0" borderId="37" xfId="0" applyNumberFormat="1" applyFont="1" applyBorder="1" applyAlignment="1">
      <alignment horizontal="center" vertical="center" wrapText="1" readingOrder="1"/>
    </xf>
    <xf numFmtId="17" fontId="6" fillId="0" borderId="38" xfId="0" applyNumberFormat="1" applyFont="1" applyBorder="1" applyAlignment="1">
      <alignment horizontal="center" vertical="center" wrapText="1" readingOrder="1"/>
    </xf>
    <xf numFmtId="17" fontId="1" fillId="0" borderId="39" xfId="0" applyNumberFormat="1" applyFont="1" applyBorder="1" applyAlignment="1">
      <alignment horizontal="center" vertical="center" wrapText="1" readingOrder="1"/>
    </xf>
    <xf numFmtId="17" fontId="1" fillId="11" borderId="39" xfId="0" applyNumberFormat="1" applyFont="1" applyFill="1" applyBorder="1" applyAlignment="1">
      <alignment horizontal="center" vertical="center" wrapText="1" readingOrder="1"/>
    </xf>
    <xf numFmtId="17" fontId="1" fillId="11" borderId="45" xfId="0" applyNumberFormat="1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8" fillId="4" borderId="1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4" borderId="14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14" fontId="9" fillId="5" borderId="14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14" fontId="9" fillId="5" borderId="18" xfId="0" applyNumberFormat="1" applyFont="1" applyFill="1" applyBorder="1" applyAlignment="1">
      <alignment horizontal="center" vertical="center" wrapText="1"/>
    </xf>
    <xf numFmtId="14" fontId="10" fillId="6" borderId="0" xfId="0" applyNumberFormat="1" applyFont="1" applyFill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 wrapText="1"/>
    </xf>
    <xf numFmtId="0" fontId="12" fillId="6" borderId="14" xfId="0" applyFont="1" applyFill="1" applyBorder="1" applyAlignment="1">
      <alignment vertical="center" wrapText="1"/>
    </xf>
    <xf numFmtId="0" fontId="2" fillId="0" borderId="19" xfId="0" applyFont="1" applyBorder="1" applyAlignment="1">
      <alignment horizontal="center" vertical="center"/>
    </xf>
    <xf numFmtId="14" fontId="9" fillId="5" borderId="20" xfId="0" applyNumberFormat="1" applyFont="1" applyFill="1" applyBorder="1" applyAlignment="1">
      <alignment horizontal="center" vertical="center" wrapText="1"/>
    </xf>
    <xf numFmtId="164" fontId="2" fillId="5" borderId="21" xfId="0" applyNumberFormat="1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vertical="center" wrapText="1"/>
    </xf>
    <xf numFmtId="14" fontId="10" fillId="6" borderId="25" xfId="0" applyNumberFormat="1" applyFont="1" applyFill="1" applyBorder="1" applyAlignment="1">
      <alignment horizontal="center" vertical="center" wrapText="1"/>
    </xf>
    <xf numFmtId="0" fontId="12" fillId="6" borderId="23" xfId="0" applyFont="1" applyFill="1" applyBorder="1" applyAlignment="1">
      <alignment vertical="center" wrapText="1"/>
    </xf>
    <xf numFmtId="0" fontId="12" fillId="6" borderId="10" xfId="0" applyFont="1" applyFill="1" applyBorder="1" applyAlignment="1">
      <alignment vertical="center" wrapText="1"/>
    </xf>
    <xf numFmtId="0" fontId="2" fillId="7" borderId="17" xfId="0" applyFont="1" applyFill="1" applyBorder="1" applyAlignment="1">
      <alignment horizontal="center" vertical="center"/>
    </xf>
    <xf numFmtId="14" fontId="10" fillId="7" borderId="14" xfId="0" applyNumberFormat="1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/>
    </xf>
    <xf numFmtId="14" fontId="9" fillId="7" borderId="14" xfId="0" applyNumberFormat="1" applyFont="1" applyFill="1" applyBorder="1" applyAlignment="1">
      <alignment horizontal="center" vertical="center" wrapText="1"/>
    </xf>
    <xf numFmtId="14" fontId="10" fillId="6" borderId="14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4" fontId="9" fillId="6" borderId="14" xfId="0" applyNumberFormat="1" applyFont="1" applyFill="1" applyBorder="1" applyAlignment="1">
      <alignment horizontal="center" vertical="center" wrapText="1"/>
    </xf>
    <xf numFmtId="14" fontId="10" fillId="0" borderId="14" xfId="0" applyNumberFormat="1" applyFont="1" applyBorder="1" applyAlignment="1">
      <alignment horizontal="center" vertical="center" wrapText="1"/>
    </xf>
    <xf numFmtId="14" fontId="9" fillId="0" borderId="14" xfId="0" applyNumberFormat="1" applyFont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/>
    </xf>
    <xf numFmtId="14" fontId="9" fillId="6" borderId="20" xfId="0" applyNumberFormat="1" applyFont="1" applyFill="1" applyBorder="1" applyAlignment="1">
      <alignment horizontal="center" vertical="center" wrapText="1"/>
    </xf>
    <xf numFmtId="164" fontId="2" fillId="0" borderId="21" xfId="0" applyNumberFormat="1" applyFont="1" applyBorder="1" applyAlignment="1">
      <alignment horizontal="center" vertical="center"/>
    </xf>
    <xf numFmtId="14" fontId="9" fillId="6" borderId="22" xfId="0" applyNumberFormat="1" applyFont="1" applyFill="1" applyBorder="1" applyAlignment="1">
      <alignment horizontal="center" vertical="center" wrapText="1"/>
    </xf>
    <xf numFmtId="14" fontId="10" fillId="6" borderId="20" xfId="0" applyNumberFormat="1" applyFont="1" applyFill="1" applyBorder="1" applyAlignment="1">
      <alignment horizontal="center" vertical="center" wrapText="1"/>
    </xf>
    <xf numFmtId="14" fontId="10" fillId="0" borderId="20" xfId="0" applyNumberFormat="1" applyFont="1" applyBorder="1" applyAlignment="1">
      <alignment horizontal="center" vertical="center" wrapText="1"/>
    </xf>
    <xf numFmtId="14" fontId="9" fillId="0" borderId="20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4" fontId="9" fillId="6" borderId="23" xfId="0" applyNumberFormat="1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14" fontId="9" fillId="6" borderId="2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14" fontId="10" fillId="7" borderId="23" xfId="0" applyNumberFormat="1" applyFont="1" applyFill="1" applyBorder="1" applyAlignment="1">
      <alignment horizontal="center" vertical="center" wrapText="1"/>
    </xf>
    <xf numFmtId="164" fontId="2" fillId="7" borderId="3" xfId="0" applyNumberFormat="1" applyFont="1" applyFill="1" applyBorder="1" applyAlignment="1">
      <alignment horizontal="center" vertical="center"/>
    </xf>
    <xf numFmtId="14" fontId="9" fillId="7" borderId="23" xfId="0" applyNumberFormat="1" applyFont="1" applyFill="1" applyBorder="1" applyAlignment="1">
      <alignment horizontal="center" vertical="center" wrapText="1"/>
    </xf>
    <xf numFmtId="14" fontId="10" fillId="6" borderId="23" xfId="0" applyNumberFormat="1" applyFont="1" applyFill="1" applyBorder="1" applyAlignment="1">
      <alignment horizontal="center" vertical="center" wrapText="1"/>
    </xf>
    <xf numFmtId="14" fontId="10" fillId="0" borderId="23" xfId="0" applyNumberFormat="1" applyFont="1" applyBorder="1" applyAlignment="1">
      <alignment horizontal="center" vertical="center" wrapText="1"/>
    </xf>
    <xf numFmtId="14" fontId="9" fillId="0" borderId="23" xfId="0" applyNumberFormat="1" applyFont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14" fontId="9" fillId="6" borderId="10" xfId="0" applyNumberFormat="1" applyFont="1" applyFill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/>
    </xf>
    <xf numFmtId="14" fontId="9" fillId="6" borderId="12" xfId="0" applyNumberFormat="1" applyFont="1" applyFill="1" applyBorder="1" applyAlignment="1">
      <alignment horizontal="center" vertical="center" wrapText="1"/>
    </xf>
    <xf numFmtId="14" fontId="10" fillId="6" borderId="10" xfId="0" applyNumberFormat="1" applyFont="1" applyFill="1" applyBorder="1" applyAlignment="1">
      <alignment horizontal="center" vertical="center" wrapText="1"/>
    </xf>
    <xf numFmtId="14" fontId="10" fillId="0" borderId="10" xfId="0" applyNumberFormat="1" applyFont="1" applyBorder="1" applyAlignment="1">
      <alignment horizontal="center" vertical="center" wrapText="1"/>
    </xf>
    <xf numFmtId="14" fontId="9" fillId="0" borderId="10" xfId="0" applyNumberFormat="1" applyFont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14" fontId="9" fillId="6" borderId="18" xfId="0" applyNumberFormat="1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2" fillId="6" borderId="46" xfId="0" applyFont="1" applyFill="1" applyBorder="1" applyAlignment="1">
      <alignment vertical="center" wrapText="1"/>
    </xf>
    <xf numFmtId="14" fontId="10" fillId="5" borderId="14" xfId="0" applyNumberFormat="1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14" fontId="9" fillId="7" borderId="24" xfId="0" applyNumberFormat="1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vertical="center" wrapText="1"/>
    </xf>
    <xf numFmtId="14" fontId="10" fillId="6" borderId="11" xfId="0" applyNumberFormat="1" applyFont="1" applyFill="1" applyBorder="1" applyAlignment="1">
      <alignment horizontal="center" vertical="center" wrapText="1"/>
    </xf>
    <xf numFmtId="14" fontId="2" fillId="0" borderId="28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17" xfId="0" applyFont="1" applyBorder="1" applyAlignment="1">
      <alignment horizontal="center"/>
    </xf>
    <xf numFmtId="14" fontId="10" fillId="6" borderId="29" xfId="0" applyNumberFormat="1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wrapText="1"/>
    </xf>
    <xf numFmtId="14" fontId="10" fillId="6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5" fontId="2" fillId="0" borderId="1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165" fontId="2" fillId="8" borderId="1" xfId="0" applyNumberFormat="1" applyFont="1" applyFill="1" applyBorder="1" applyAlignment="1">
      <alignment horizontal="center" vertical="center"/>
    </xf>
    <xf numFmtId="15" fontId="2" fillId="0" borderId="13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14" fontId="10" fillId="6" borderId="21" xfId="0" applyNumberFormat="1" applyFont="1" applyFill="1" applyBorder="1" applyAlignment="1">
      <alignment horizontal="center" vertical="center" wrapText="1"/>
    </xf>
    <xf numFmtId="165" fontId="2" fillId="0" borderId="21" xfId="0" applyNumberFormat="1" applyFont="1" applyBorder="1" applyAlignment="1">
      <alignment horizontal="center" vertical="center"/>
    </xf>
    <xf numFmtId="14" fontId="10" fillId="6" borderId="30" xfId="0" applyNumberFormat="1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/>
    </xf>
    <xf numFmtId="15" fontId="2" fillId="0" borderId="32" xfId="0" applyNumberFormat="1" applyFont="1" applyBorder="1" applyAlignment="1">
      <alignment horizontal="center" vertical="center"/>
    </xf>
    <xf numFmtId="165" fontId="2" fillId="0" borderId="32" xfId="0" applyNumberFormat="1" applyFont="1" applyBorder="1" applyAlignment="1">
      <alignment horizontal="center" vertical="center"/>
    </xf>
    <xf numFmtId="14" fontId="10" fillId="6" borderId="33" xfId="0" applyNumberFormat="1" applyFont="1" applyFill="1" applyBorder="1" applyAlignment="1">
      <alignment horizontal="center" vertical="center" wrapText="1"/>
    </xf>
    <xf numFmtId="166" fontId="10" fillId="6" borderId="31" xfId="0" applyNumberFormat="1" applyFont="1" applyFill="1" applyBorder="1" applyAlignment="1">
      <alignment horizontal="center" vertical="center" wrapText="1"/>
    </xf>
    <xf numFmtId="0" fontId="5" fillId="9" borderId="34" xfId="0" applyFont="1" applyFill="1" applyBorder="1" applyAlignment="1">
      <alignment horizontal="left" vertical="center" wrapText="1" readingOrder="1"/>
    </xf>
    <xf numFmtId="17" fontId="6" fillId="0" borderId="36" xfId="0" applyNumberFormat="1" applyFont="1" applyBorder="1" applyAlignment="1">
      <alignment horizontal="center" vertical="center" wrapText="1" readingOrder="1"/>
    </xf>
    <xf numFmtId="17" fontId="1" fillId="10" borderId="36" xfId="0" applyNumberFormat="1" applyFont="1" applyFill="1" applyBorder="1" applyAlignment="1">
      <alignment horizontal="center" vertical="center" wrapText="1" readingOrder="1"/>
    </xf>
    <xf numFmtId="17" fontId="6" fillId="0" borderId="42" xfId="0" applyNumberFormat="1" applyFont="1" applyBorder="1" applyAlignment="1">
      <alignment horizontal="center" vertical="center" wrapText="1" readingOrder="1"/>
    </xf>
    <xf numFmtId="17" fontId="1" fillId="0" borderId="45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4" fillId="12" borderId="6" xfId="0" applyFont="1" applyFill="1" applyBorder="1" applyAlignment="1">
      <alignment horizontal="center" vertical="center" wrapText="1"/>
    </xf>
    <xf numFmtId="0" fontId="14" fillId="12" borderId="50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9" fontId="16" fillId="0" borderId="1" xfId="0" applyNumberFormat="1" applyFont="1" applyBorder="1" applyAlignment="1">
      <alignment horizontal="center" vertical="center"/>
    </xf>
    <xf numFmtId="9" fontId="0" fillId="0" borderId="0" xfId="1" applyFont="1"/>
    <xf numFmtId="0" fontId="16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/>
    <xf numFmtId="0" fontId="15" fillId="0" borderId="21" xfId="0" applyFont="1" applyBorder="1"/>
    <xf numFmtId="0" fontId="15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wrapText="1"/>
    </xf>
    <xf numFmtId="0" fontId="16" fillId="13" borderId="51" xfId="0" applyFont="1" applyFill="1" applyBorder="1"/>
    <xf numFmtId="0" fontId="16" fillId="13" borderId="5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0" fontId="14" fillId="12" borderId="6" xfId="0" applyFont="1" applyFill="1" applyBorder="1" applyAlignment="1">
      <alignment horizontal="center" vertical="center" wrapText="1"/>
    </xf>
    <xf numFmtId="0" fontId="14" fillId="12" borderId="49" xfId="0" applyFont="1" applyFill="1" applyBorder="1" applyAlignment="1">
      <alignment horizontal="center" vertical="center" wrapText="1"/>
    </xf>
    <xf numFmtId="0" fontId="14" fillId="12" borderId="47" xfId="0" applyFont="1" applyFill="1" applyBorder="1" applyAlignment="1">
      <alignment horizontal="center" vertical="center" wrapText="1"/>
    </xf>
    <xf numFmtId="0" fontId="14" fillId="12" borderId="5" xfId="0" applyFont="1" applyFill="1" applyBorder="1" applyAlignment="1">
      <alignment horizontal="center" vertical="center" wrapText="1"/>
    </xf>
    <xf numFmtId="0" fontId="14" fillId="12" borderId="48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1" fillId="0" borderId="34" xfId="0" applyFont="1" applyBorder="1" applyAlignment="1">
      <alignment horizontal="center" vertical="center" wrapText="1" readingOrder="1"/>
    </xf>
    <xf numFmtId="0" fontId="1" fillId="0" borderId="35" xfId="0" applyFont="1" applyBorder="1" applyAlignment="1">
      <alignment horizontal="center" vertical="center" wrapText="1" readingOrder="1"/>
    </xf>
    <xf numFmtId="0" fontId="1" fillId="0" borderId="36" xfId="0" applyFont="1" applyBorder="1" applyAlignment="1">
      <alignment horizontal="center" vertical="center" wrapText="1" readingOrder="1"/>
    </xf>
    <xf numFmtId="0" fontId="5" fillId="9" borderId="40" xfId="0" applyFont="1" applyFill="1" applyBorder="1" applyAlignment="1">
      <alignment horizontal="left" vertical="center" wrapText="1" readingOrder="1"/>
    </xf>
    <xf numFmtId="0" fontId="5" fillId="9" borderId="43" xfId="0" applyFont="1" applyFill="1" applyBorder="1" applyAlignment="1">
      <alignment horizontal="left" vertical="center" wrapText="1" readingOrder="1"/>
    </xf>
    <xf numFmtId="17" fontId="1" fillId="10" borderId="42" xfId="0" applyNumberFormat="1" applyFont="1" applyFill="1" applyBorder="1" applyAlignment="1">
      <alignment horizontal="center" vertical="center" wrapText="1" readingOrder="1"/>
    </xf>
    <xf numFmtId="17" fontId="1" fillId="10" borderId="45" xfId="0" applyNumberFormat="1" applyFont="1" applyFill="1" applyBorder="1" applyAlignment="1">
      <alignment horizontal="center" vertical="center" wrapText="1" readingOrder="1"/>
    </xf>
    <xf numFmtId="17" fontId="1" fillId="10" borderId="38" xfId="0" applyNumberFormat="1" applyFont="1" applyFill="1" applyBorder="1" applyAlignment="1">
      <alignment horizontal="center" vertical="center" wrapText="1" readingOrder="1"/>
    </xf>
    <xf numFmtId="17" fontId="1" fillId="10" borderId="39" xfId="0" applyNumberFormat="1" applyFont="1" applyFill="1" applyBorder="1" applyAlignment="1">
      <alignment horizontal="center" vertical="center" wrapText="1" readingOrder="1"/>
    </xf>
    <xf numFmtId="17" fontId="1" fillId="11" borderId="35" xfId="0" applyNumberFormat="1" applyFont="1" applyFill="1" applyBorder="1" applyAlignment="1">
      <alignment horizontal="center" vertical="center" wrapText="1" readingOrder="1"/>
    </xf>
    <xf numFmtId="17" fontId="1" fillId="11" borderId="36" xfId="0" applyNumberFormat="1" applyFont="1" applyFill="1" applyBorder="1" applyAlignment="1">
      <alignment horizontal="center" vertical="center" wrapText="1" readingOrder="1"/>
    </xf>
    <xf numFmtId="0" fontId="1" fillId="11" borderId="35" xfId="0" applyFont="1" applyFill="1" applyBorder="1" applyAlignment="1">
      <alignment horizontal="center" vertical="center" wrapText="1" readingOrder="1"/>
    </xf>
    <xf numFmtId="0" fontId="1" fillId="11" borderId="36" xfId="0" applyFont="1" applyFill="1" applyBorder="1" applyAlignment="1">
      <alignment horizontal="center" vertical="center" wrapText="1" readingOrder="1"/>
    </xf>
    <xf numFmtId="17" fontId="6" fillId="11" borderId="41" xfId="0" applyNumberFormat="1" applyFont="1" applyFill="1" applyBorder="1" applyAlignment="1">
      <alignment horizontal="center" vertical="center" wrapText="1" readingOrder="1"/>
    </xf>
    <xf numFmtId="17" fontId="6" fillId="11" borderId="42" xfId="0" applyNumberFormat="1" applyFont="1" applyFill="1" applyBorder="1" applyAlignment="1">
      <alignment horizontal="center" vertical="center" wrapText="1" readingOrder="1"/>
    </xf>
    <xf numFmtId="17" fontId="1" fillId="11" borderId="44" xfId="0" applyNumberFormat="1" applyFont="1" applyFill="1" applyBorder="1" applyAlignment="1">
      <alignment horizontal="center" vertical="center" wrapText="1" readingOrder="1"/>
    </xf>
    <xf numFmtId="17" fontId="1" fillId="11" borderId="45" xfId="0" applyNumberFormat="1" applyFont="1" applyFill="1" applyBorder="1" applyAlignment="1">
      <alignment horizontal="center" vertical="center" wrapText="1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E05F-9408-4230-9606-97038CB42FDD}">
  <dimension ref="B1:F57"/>
  <sheetViews>
    <sheetView topLeftCell="B1" zoomScale="70" zoomScaleNormal="70" workbookViewId="0">
      <pane ySplit="3" topLeftCell="A18" activePane="bottomLeft" state="frozen"/>
      <selection pane="bottomLeft" activeCell="D20" sqref="D20"/>
    </sheetView>
  </sheetViews>
  <sheetFormatPr defaultColWidth="37.26953125" defaultRowHeight="14.5" x14ac:dyDescent="0.35"/>
  <cols>
    <col min="1" max="1" width="5.54296875" customWidth="1"/>
    <col min="2" max="2" width="39.453125" customWidth="1"/>
    <col min="3" max="5" width="19.1796875" style="116" customWidth="1"/>
  </cols>
  <sheetData>
    <row r="1" spans="2:6" ht="15" thickBot="1" x14ac:dyDescent="0.4"/>
    <row r="2" spans="2:6" ht="33.75" customHeight="1" thickBot="1" x14ac:dyDescent="0.4">
      <c r="B2" s="132" t="s">
        <v>82</v>
      </c>
      <c r="C2" s="134" t="s">
        <v>83</v>
      </c>
      <c r="D2" s="135"/>
      <c r="E2" s="136"/>
    </row>
    <row r="3" spans="2:6" ht="93" x14ac:dyDescent="0.35">
      <c r="B3" s="133"/>
      <c r="C3" s="117" t="s">
        <v>84</v>
      </c>
      <c r="D3" s="117" t="s">
        <v>85</v>
      </c>
      <c r="E3" s="118" t="s">
        <v>86</v>
      </c>
    </row>
    <row r="4" spans="2:6" ht="21" customHeight="1" x14ac:dyDescent="0.35">
      <c r="B4" s="119" t="s">
        <v>87</v>
      </c>
      <c r="C4" s="137" t="s">
        <v>88</v>
      </c>
      <c r="D4" s="137"/>
      <c r="E4" s="121">
        <v>0.99</v>
      </c>
    </row>
    <row r="5" spans="2:6" ht="21" customHeight="1" x14ac:dyDescent="0.35">
      <c r="B5" s="119" t="s">
        <v>89</v>
      </c>
      <c r="C5" s="137"/>
      <c r="D5" s="137"/>
      <c r="E5" s="121">
        <v>0.7</v>
      </c>
    </row>
    <row r="6" spans="2:6" ht="21" customHeight="1" x14ac:dyDescent="0.35">
      <c r="B6" s="119" t="s">
        <v>90</v>
      </c>
      <c r="C6" s="137" t="s">
        <v>88</v>
      </c>
      <c r="D6" s="137"/>
      <c r="E6" s="121">
        <v>0.7</v>
      </c>
    </row>
    <row r="7" spans="2:6" ht="21" customHeight="1" x14ac:dyDescent="0.35">
      <c r="B7" s="119" t="s">
        <v>91</v>
      </c>
      <c r="C7" s="120">
        <v>6</v>
      </c>
      <c r="D7" s="120">
        <v>6</v>
      </c>
      <c r="E7" s="121">
        <v>1</v>
      </c>
    </row>
    <row r="8" spans="2:6" ht="21" customHeight="1" x14ac:dyDescent="0.35">
      <c r="B8" s="119" t="s">
        <v>92</v>
      </c>
      <c r="C8" s="137" t="s">
        <v>88</v>
      </c>
      <c r="D8" s="137"/>
      <c r="E8" s="121">
        <v>0.3</v>
      </c>
    </row>
    <row r="9" spans="2:6" ht="21" customHeight="1" x14ac:dyDescent="0.35">
      <c r="B9" s="119" t="s">
        <v>93</v>
      </c>
      <c r="C9" s="120">
        <v>6</v>
      </c>
      <c r="D9" s="120">
        <v>6</v>
      </c>
      <c r="E9" s="121">
        <v>1</v>
      </c>
      <c r="F9" s="122"/>
    </row>
    <row r="10" spans="2:6" ht="21" customHeight="1" x14ac:dyDescent="0.35">
      <c r="B10" s="119" t="s">
        <v>94</v>
      </c>
      <c r="C10" s="120">
        <v>6</v>
      </c>
      <c r="D10" s="120">
        <v>6</v>
      </c>
      <c r="E10" s="121">
        <v>1</v>
      </c>
    </row>
    <row r="11" spans="2:6" ht="21" customHeight="1" x14ac:dyDescent="0.35">
      <c r="B11" s="119" t="s">
        <v>95</v>
      </c>
      <c r="C11" s="120">
        <v>6</v>
      </c>
      <c r="D11" s="120">
        <v>6</v>
      </c>
      <c r="E11" s="121">
        <v>1</v>
      </c>
    </row>
    <row r="12" spans="2:6" ht="21" customHeight="1" x14ac:dyDescent="0.35">
      <c r="B12" s="119" t="s">
        <v>96</v>
      </c>
      <c r="C12" s="120">
        <v>6</v>
      </c>
      <c r="D12" s="120">
        <v>6</v>
      </c>
      <c r="E12" s="121">
        <v>1</v>
      </c>
    </row>
    <row r="13" spans="2:6" ht="21" customHeight="1" x14ac:dyDescent="0.35">
      <c r="B13" s="119" t="s">
        <v>97</v>
      </c>
      <c r="C13" s="120">
        <v>6</v>
      </c>
      <c r="D13" s="120">
        <v>6</v>
      </c>
      <c r="E13" s="121">
        <v>1</v>
      </c>
    </row>
    <row r="14" spans="2:6" ht="21" customHeight="1" x14ac:dyDescent="0.35">
      <c r="B14" s="119" t="s">
        <v>98</v>
      </c>
      <c r="C14" s="120">
        <v>6</v>
      </c>
      <c r="D14" s="120">
        <v>6</v>
      </c>
      <c r="E14" s="121">
        <v>1</v>
      </c>
    </row>
    <row r="15" spans="2:6" ht="21" customHeight="1" x14ac:dyDescent="0.35">
      <c r="B15" s="119" t="s">
        <v>99</v>
      </c>
      <c r="C15" s="120">
        <v>6</v>
      </c>
      <c r="D15" s="120">
        <v>6</v>
      </c>
      <c r="E15" s="121">
        <f>D15/C15</f>
        <v>1</v>
      </c>
    </row>
    <row r="16" spans="2:6" ht="21" customHeight="1" x14ac:dyDescent="0.35">
      <c r="B16" s="119" t="s">
        <v>100</v>
      </c>
      <c r="C16" s="120">
        <v>6</v>
      </c>
      <c r="D16" s="120">
        <v>6</v>
      </c>
      <c r="E16" s="121">
        <f t="shared" ref="E16:E28" si="0">D16/C16</f>
        <v>1</v>
      </c>
    </row>
    <row r="17" spans="2:5" ht="21" customHeight="1" x14ac:dyDescent="0.35">
      <c r="B17" s="119" t="s">
        <v>101</v>
      </c>
      <c r="C17" s="120">
        <v>6</v>
      </c>
      <c r="D17" s="120">
        <v>6</v>
      </c>
      <c r="E17" s="121">
        <f t="shared" si="0"/>
        <v>1</v>
      </c>
    </row>
    <row r="18" spans="2:5" ht="21" customHeight="1" x14ac:dyDescent="0.35">
      <c r="B18" s="119" t="s">
        <v>102</v>
      </c>
      <c r="C18" s="120">
        <v>6</v>
      </c>
      <c r="D18" s="120">
        <v>6</v>
      </c>
      <c r="E18" s="121">
        <f t="shared" si="0"/>
        <v>1</v>
      </c>
    </row>
    <row r="19" spans="2:5" ht="21" customHeight="1" x14ac:dyDescent="0.35">
      <c r="B19" s="119" t="s">
        <v>103</v>
      </c>
      <c r="C19" s="120">
        <v>6</v>
      </c>
      <c r="D19" s="120">
        <v>6</v>
      </c>
      <c r="E19" s="121">
        <f t="shared" si="0"/>
        <v>1</v>
      </c>
    </row>
    <row r="20" spans="2:5" ht="21" customHeight="1" x14ac:dyDescent="0.35">
      <c r="B20" s="119" t="s">
        <v>104</v>
      </c>
      <c r="C20" s="120">
        <v>6</v>
      </c>
      <c r="D20" s="120">
        <v>6</v>
      </c>
      <c r="E20" s="121">
        <f t="shared" si="0"/>
        <v>1</v>
      </c>
    </row>
    <row r="21" spans="2:5" ht="21" customHeight="1" x14ac:dyDescent="0.35">
      <c r="B21" s="119" t="s">
        <v>105</v>
      </c>
      <c r="C21" s="120">
        <v>6</v>
      </c>
      <c r="D21" s="120">
        <v>6</v>
      </c>
      <c r="E21" s="121">
        <f t="shared" si="0"/>
        <v>1</v>
      </c>
    </row>
    <row r="22" spans="2:5" ht="21" customHeight="1" x14ac:dyDescent="0.35">
      <c r="B22" s="119" t="s">
        <v>106</v>
      </c>
      <c r="C22" s="120">
        <v>6</v>
      </c>
      <c r="D22" s="120">
        <v>6</v>
      </c>
      <c r="E22" s="121">
        <f t="shared" si="0"/>
        <v>1</v>
      </c>
    </row>
    <row r="23" spans="2:5" ht="21" customHeight="1" x14ac:dyDescent="0.35">
      <c r="B23" s="119" t="s">
        <v>107</v>
      </c>
      <c r="C23" s="120">
        <v>6</v>
      </c>
      <c r="D23" s="120">
        <v>5</v>
      </c>
      <c r="E23" s="121">
        <f t="shared" si="0"/>
        <v>0.83333333333333337</v>
      </c>
    </row>
    <row r="24" spans="2:5" ht="21" customHeight="1" x14ac:dyDescent="0.35">
      <c r="B24" s="119" t="s">
        <v>108</v>
      </c>
      <c r="C24" s="120">
        <v>6</v>
      </c>
      <c r="D24" s="120">
        <v>4</v>
      </c>
      <c r="E24" s="121">
        <f t="shared" si="0"/>
        <v>0.66666666666666663</v>
      </c>
    </row>
    <row r="25" spans="2:5" ht="21" customHeight="1" x14ac:dyDescent="0.35">
      <c r="B25" s="119" t="s">
        <v>109</v>
      </c>
      <c r="C25" s="120">
        <v>6</v>
      </c>
      <c r="D25" s="120">
        <v>3</v>
      </c>
      <c r="E25" s="121">
        <f t="shared" si="0"/>
        <v>0.5</v>
      </c>
    </row>
    <row r="26" spans="2:5" ht="21" customHeight="1" x14ac:dyDescent="0.35">
      <c r="B26" s="119" t="s">
        <v>110</v>
      </c>
      <c r="C26" s="120">
        <v>6</v>
      </c>
      <c r="D26" s="120">
        <v>2</v>
      </c>
      <c r="E26" s="121">
        <f t="shared" si="0"/>
        <v>0.33333333333333331</v>
      </c>
    </row>
    <row r="27" spans="2:5" ht="21" customHeight="1" x14ac:dyDescent="0.35">
      <c r="B27" s="119" t="s">
        <v>111</v>
      </c>
      <c r="C27" s="120">
        <v>6</v>
      </c>
      <c r="D27" s="131">
        <v>2</v>
      </c>
      <c r="E27" s="121">
        <f t="shared" si="0"/>
        <v>0.33333333333333331</v>
      </c>
    </row>
    <row r="28" spans="2:5" ht="21" customHeight="1" x14ac:dyDescent="0.35">
      <c r="B28" s="119" t="s">
        <v>112</v>
      </c>
      <c r="C28" s="120">
        <v>6</v>
      </c>
      <c r="D28" s="131">
        <v>1</v>
      </c>
      <c r="E28" s="121">
        <f t="shared" si="0"/>
        <v>0.16666666666666666</v>
      </c>
    </row>
    <row r="29" spans="2:5" ht="21" customHeight="1" x14ac:dyDescent="0.35">
      <c r="B29" s="119" t="s">
        <v>113</v>
      </c>
      <c r="C29" s="120">
        <v>6</v>
      </c>
      <c r="D29" s="123"/>
      <c r="E29" s="124"/>
    </row>
    <row r="30" spans="2:5" ht="21" customHeight="1" x14ac:dyDescent="0.35">
      <c r="B30" s="119" t="s">
        <v>114</v>
      </c>
      <c r="C30" s="120">
        <v>6</v>
      </c>
      <c r="D30" s="123"/>
      <c r="E30" s="124"/>
    </row>
    <row r="31" spans="2:5" ht="21" customHeight="1" x14ac:dyDescent="0.35">
      <c r="B31" s="119" t="s">
        <v>115</v>
      </c>
      <c r="C31" s="120">
        <v>6</v>
      </c>
      <c r="D31" s="123"/>
      <c r="E31" s="124"/>
    </row>
    <row r="32" spans="2:5" ht="21" customHeight="1" x14ac:dyDescent="0.35">
      <c r="B32" s="119" t="s">
        <v>116</v>
      </c>
      <c r="C32" s="120">
        <v>6</v>
      </c>
      <c r="D32" s="123"/>
      <c r="E32" s="124"/>
    </row>
    <row r="33" spans="2:5" ht="21" customHeight="1" x14ac:dyDescent="0.35">
      <c r="B33" s="119" t="s">
        <v>117</v>
      </c>
      <c r="C33" s="120">
        <v>6</v>
      </c>
      <c r="D33" s="123"/>
      <c r="E33" s="124"/>
    </row>
    <row r="34" spans="2:5" ht="21" customHeight="1" x14ac:dyDescent="0.35">
      <c r="B34" s="119" t="s">
        <v>118</v>
      </c>
      <c r="C34" s="120">
        <v>6</v>
      </c>
      <c r="D34" s="123"/>
      <c r="E34" s="124"/>
    </row>
    <row r="35" spans="2:5" ht="21" customHeight="1" x14ac:dyDescent="0.35">
      <c r="B35" s="119" t="s">
        <v>119</v>
      </c>
      <c r="C35" s="120">
        <v>6</v>
      </c>
      <c r="D35" s="123"/>
      <c r="E35" s="124"/>
    </row>
    <row r="36" spans="2:5" ht="21" customHeight="1" x14ac:dyDescent="0.35">
      <c r="B36" s="119" t="s">
        <v>120</v>
      </c>
      <c r="C36" s="120">
        <v>6</v>
      </c>
      <c r="D36" s="123"/>
      <c r="E36" s="124"/>
    </row>
    <row r="37" spans="2:5" ht="21" customHeight="1" x14ac:dyDescent="0.35">
      <c r="B37" s="119" t="s">
        <v>121</v>
      </c>
      <c r="C37" s="120">
        <v>6</v>
      </c>
      <c r="D37" s="123"/>
      <c r="E37" s="124"/>
    </row>
    <row r="38" spans="2:5" ht="21" customHeight="1" x14ac:dyDescent="0.35">
      <c r="B38" s="119" t="s">
        <v>122</v>
      </c>
      <c r="C38" s="120">
        <v>6</v>
      </c>
      <c r="D38" s="123"/>
      <c r="E38" s="124"/>
    </row>
    <row r="39" spans="2:5" ht="21" customHeight="1" x14ac:dyDescent="0.35">
      <c r="B39" s="119" t="s">
        <v>123</v>
      </c>
      <c r="C39" s="120">
        <v>6</v>
      </c>
      <c r="D39" s="123"/>
      <c r="E39" s="124"/>
    </row>
    <row r="40" spans="2:5" ht="21" customHeight="1" x14ac:dyDescent="0.35">
      <c r="B40" s="119" t="s">
        <v>124</v>
      </c>
      <c r="C40" s="120">
        <v>6</v>
      </c>
      <c r="D40" s="123"/>
      <c r="E40" s="124"/>
    </row>
    <row r="41" spans="2:5" ht="21" customHeight="1" x14ac:dyDescent="0.35">
      <c r="B41" s="119" t="s">
        <v>125</v>
      </c>
      <c r="C41" s="120">
        <v>6</v>
      </c>
      <c r="D41" s="123"/>
      <c r="E41" s="124"/>
    </row>
    <row r="42" spans="2:5" ht="21" customHeight="1" x14ac:dyDescent="0.35">
      <c r="B42" s="119" t="s">
        <v>126</v>
      </c>
      <c r="C42" s="120">
        <v>6</v>
      </c>
      <c r="D42" s="123"/>
      <c r="E42" s="124"/>
    </row>
    <row r="43" spans="2:5" ht="18" customHeight="1" x14ac:dyDescent="0.45">
      <c r="B43" s="125" t="s">
        <v>127</v>
      </c>
      <c r="C43" s="120">
        <v>6</v>
      </c>
      <c r="D43" s="124"/>
      <c r="E43" s="124"/>
    </row>
    <row r="44" spans="2:5" ht="18" customHeight="1" x14ac:dyDescent="0.45">
      <c r="B44" s="125" t="s">
        <v>128</v>
      </c>
      <c r="C44" s="120">
        <v>6</v>
      </c>
      <c r="D44" s="124"/>
      <c r="E44" s="124"/>
    </row>
    <row r="45" spans="2:5" ht="18" customHeight="1" x14ac:dyDescent="0.45">
      <c r="B45" s="125" t="s">
        <v>129</v>
      </c>
      <c r="C45" s="120">
        <v>6</v>
      </c>
      <c r="D45" s="124"/>
      <c r="E45" s="124"/>
    </row>
    <row r="46" spans="2:5" ht="18" customHeight="1" x14ac:dyDescent="0.45">
      <c r="B46" s="125" t="s">
        <v>130</v>
      </c>
      <c r="C46" s="120">
        <v>6</v>
      </c>
      <c r="D46" s="124"/>
      <c r="E46" s="124"/>
    </row>
    <row r="47" spans="2:5" ht="18" customHeight="1" x14ac:dyDescent="0.45">
      <c r="B47" s="125" t="s">
        <v>131</v>
      </c>
      <c r="C47" s="120">
        <v>6</v>
      </c>
      <c r="D47" s="124"/>
      <c r="E47" s="124"/>
    </row>
    <row r="48" spans="2:5" ht="18" customHeight="1" x14ac:dyDescent="0.45">
      <c r="B48" s="125" t="s">
        <v>132</v>
      </c>
      <c r="C48" s="120">
        <v>6</v>
      </c>
      <c r="D48" s="124"/>
      <c r="E48" s="124"/>
    </row>
    <row r="49" spans="2:5" ht="18" customHeight="1" x14ac:dyDescent="0.45">
      <c r="B49" s="125" t="s">
        <v>133</v>
      </c>
      <c r="C49" s="120">
        <v>6</v>
      </c>
      <c r="D49" s="124"/>
      <c r="E49" s="124"/>
    </row>
    <row r="50" spans="2:5" ht="18" customHeight="1" x14ac:dyDescent="0.45">
      <c r="B50" s="125" t="s">
        <v>134</v>
      </c>
      <c r="C50" s="120">
        <v>6</v>
      </c>
      <c r="D50" s="124"/>
      <c r="E50" s="124"/>
    </row>
    <row r="51" spans="2:5" ht="18" customHeight="1" x14ac:dyDescent="0.45">
      <c r="B51" s="125" t="s">
        <v>135</v>
      </c>
      <c r="C51" s="120">
        <v>6</v>
      </c>
      <c r="D51" s="124"/>
      <c r="E51" s="124"/>
    </row>
    <row r="52" spans="2:5" ht="18" customHeight="1" x14ac:dyDescent="0.45">
      <c r="B52" s="125" t="s">
        <v>136</v>
      </c>
      <c r="C52" s="120">
        <v>6</v>
      </c>
      <c r="D52" s="124"/>
      <c r="E52" s="124"/>
    </row>
    <row r="53" spans="2:5" ht="18" customHeight="1" x14ac:dyDescent="0.45">
      <c r="B53" s="125" t="s">
        <v>137</v>
      </c>
      <c r="C53" s="120">
        <v>2</v>
      </c>
      <c r="D53" s="124"/>
      <c r="E53" s="124"/>
    </row>
    <row r="54" spans="2:5" ht="18" customHeight="1" x14ac:dyDescent="0.45">
      <c r="B54" s="126" t="s">
        <v>138</v>
      </c>
      <c r="C54" s="120">
        <v>6</v>
      </c>
      <c r="D54" s="127"/>
      <c r="E54" s="127"/>
    </row>
    <row r="55" spans="2:5" ht="18" customHeight="1" x14ac:dyDescent="0.45">
      <c r="B55" s="126" t="s">
        <v>139</v>
      </c>
      <c r="C55" s="120">
        <v>6</v>
      </c>
      <c r="D55" s="126"/>
      <c r="E55" s="126"/>
    </row>
    <row r="56" spans="2:5" ht="18" customHeight="1" x14ac:dyDescent="0.45">
      <c r="B56" s="126" t="s">
        <v>140</v>
      </c>
      <c r="C56" s="128">
        <v>6</v>
      </c>
      <c r="D56" s="126"/>
      <c r="E56" s="126"/>
    </row>
    <row r="57" spans="2:5" ht="18.5" x14ac:dyDescent="0.45">
      <c r="B57" s="129" t="s">
        <v>141</v>
      </c>
      <c r="C57" s="130">
        <f>SUM(C9:C56)+C7</f>
        <v>290</v>
      </c>
      <c r="D57" s="130">
        <f>SUM(D9:D56)+D7</f>
        <v>107</v>
      </c>
      <c r="E57" s="129"/>
    </row>
  </sheetData>
  <mergeCells count="5">
    <mergeCell ref="B2:B3"/>
    <mergeCell ref="C2:E2"/>
    <mergeCell ref="C4:D5"/>
    <mergeCell ref="C6:D6"/>
    <mergeCell ref="C8:D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CC82-6B17-4ECF-A6C6-5020416ED2A5}">
  <sheetPr>
    <pageSetUpPr fitToPage="1"/>
  </sheetPr>
  <dimension ref="B1:AD59"/>
  <sheetViews>
    <sheetView tabSelected="1" topLeftCell="L41" zoomScale="54" zoomScaleNormal="70" zoomScaleSheetLayoutView="40" workbookViewId="0">
      <selection activeCell="AC58" sqref="AC58"/>
    </sheetView>
  </sheetViews>
  <sheetFormatPr defaultColWidth="8.7265625" defaultRowHeight="21.5" x14ac:dyDescent="0.9"/>
  <cols>
    <col min="1" max="1" width="3.453125" style="2" customWidth="1"/>
    <col min="2" max="2" width="17.81640625" style="2" bestFit="1" customWidth="1"/>
    <col min="3" max="3" width="15.7265625" style="15" bestFit="1" customWidth="1"/>
    <col min="4" max="4" width="14.453125" style="2" bestFit="1" customWidth="1"/>
    <col min="5" max="5" width="15.7265625" style="15" bestFit="1" customWidth="1"/>
    <col min="6" max="6" width="6.453125" style="2" customWidth="1"/>
    <col min="7" max="7" width="23.81640625" style="2" bestFit="1" customWidth="1"/>
    <col min="8" max="8" width="15.7265625" style="15" bestFit="1" customWidth="1"/>
    <col min="9" max="9" width="14.453125" style="2" bestFit="1" customWidth="1"/>
    <col min="10" max="10" width="15.7265625" style="15" bestFit="1" customWidth="1"/>
    <col min="11" max="11" width="4.453125" style="2" customWidth="1"/>
    <col min="12" max="12" width="17.81640625" style="2" bestFit="1" customWidth="1"/>
    <col min="13" max="13" width="15.7265625" style="15" bestFit="1" customWidth="1"/>
    <col min="14" max="14" width="14.453125" style="2" bestFit="1" customWidth="1"/>
    <col min="15" max="15" width="15.7265625" style="15" bestFit="1" customWidth="1"/>
    <col min="16" max="16" width="10.08984375" style="2" customWidth="1"/>
    <col min="17" max="17" width="17.81640625" style="2" bestFit="1" customWidth="1"/>
    <col min="18" max="18" width="15.7265625" style="15" bestFit="1" customWidth="1"/>
    <col min="19" max="19" width="14.453125" style="2" bestFit="1" customWidth="1"/>
    <col min="20" max="20" width="15.7265625" style="15" bestFit="1" customWidth="1"/>
    <col min="21" max="21" width="3.81640625" style="2" customWidth="1"/>
    <col min="22" max="22" width="17.81640625" style="15" bestFit="1" customWidth="1"/>
    <col min="23" max="23" width="15.7265625" style="15" bestFit="1" customWidth="1"/>
    <col min="24" max="24" width="14.453125" style="2" bestFit="1" customWidth="1"/>
    <col min="25" max="25" width="15.7265625" style="15" bestFit="1" customWidth="1"/>
    <col min="26" max="26" width="3.81640625" style="2" customWidth="1"/>
    <col min="27" max="27" width="17.81640625" style="2" bestFit="1" customWidth="1"/>
    <col min="28" max="28" width="15.7265625" style="15" bestFit="1" customWidth="1"/>
    <col min="29" max="29" width="14.453125" style="2" bestFit="1" customWidth="1"/>
    <col min="30" max="30" width="15.7265625" style="15" bestFit="1" customWidth="1"/>
    <col min="31" max="16384" width="8.7265625" style="2"/>
  </cols>
  <sheetData>
    <row r="1" spans="2:30" x14ac:dyDescent="0.9">
      <c r="B1" s="141" t="s">
        <v>0</v>
      </c>
      <c r="C1" s="141"/>
      <c r="D1" s="141"/>
      <c r="E1" s="141"/>
      <c r="F1" s="13"/>
      <c r="G1" s="14"/>
      <c r="K1" s="13"/>
      <c r="P1" s="13"/>
      <c r="U1" s="13"/>
      <c r="Z1" s="13"/>
    </row>
    <row r="2" spans="2:30" x14ac:dyDescent="0.9">
      <c r="B2" s="16" t="s">
        <v>1</v>
      </c>
      <c r="C2" s="17" t="s">
        <v>2</v>
      </c>
      <c r="D2" s="16" t="s">
        <v>3</v>
      </c>
      <c r="E2" s="16"/>
      <c r="F2" s="16"/>
      <c r="G2" s="18" t="s">
        <v>4</v>
      </c>
      <c r="V2" s="2"/>
    </row>
    <row r="3" spans="2:30" x14ac:dyDescent="0.9">
      <c r="B3" s="19">
        <v>45511</v>
      </c>
      <c r="C3" s="18">
        <v>1285</v>
      </c>
      <c r="D3" s="19">
        <f>B3+C3</f>
        <v>46796</v>
      </c>
      <c r="E3" s="19"/>
      <c r="F3" s="19"/>
      <c r="G3" s="18">
        <f>C3/30.5</f>
        <v>42.131147540983605</v>
      </c>
      <c r="V3" s="2"/>
    </row>
    <row r="4" spans="2:30" ht="22" thickBot="1" x14ac:dyDescent="0.95"/>
    <row r="5" spans="2:30" s="15" customFormat="1" ht="22" thickBot="1" x14ac:dyDescent="0.95">
      <c r="B5" s="142" t="s">
        <v>5</v>
      </c>
      <c r="C5" s="143"/>
      <c r="D5" s="143"/>
      <c r="E5" s="144"/>
      <c r="F5" s="20"/>
      <c r="G5" s="142" t="s">
        <v>6</v>
      </c>
      <c r="H5" s="143"/>
      <c r="I5" s="143"/>
      <c r="J5" s="144"/>
      <c r="K5" s="20"/>
      <c r="L5" s="145" t="s">
        <v>7</v>
      </c>
      <c r="M5" s="146"/>
      <c r="N5" s="146"/>
      <c r="O5" s="147"/>
      <c r="P5" s="20"/>
      <c r="Q5" s="145" t="s">
        <v>8</v>
      </c>
      <c r="R5" s="146"/>
      <c r="S5" s="146"/>
      <c r="T5" s="147"/>
      <c r="U5" s="20"/>
      <c r="V5" s="138" t="s">
        <v>9</v>
      </c>
      <c r="W5" s="139"/>
      <c r="X5" s="139"/>
      <c r="Y5" s="140"/>
      <c r="Z5" s="20"/>
      <c r="AA5" s="138" t="s">
        <v>10</v>
      </c>
      <c r="AB5" s="139"/>
      <c r="AC5" s="139"/>
      <c r="AD5" s="140"/>
    </row>
    <row r="6" spans="2:30" s="15" customFormat="1" ht="64.5" x14ac:dyDescent="0.9">
      <c r="B6" s="21"/>
      <c r="C6" s="22" t="s">
        <v>11</v>
      </c>
      <c r="D6" s="23" t="s">
        <v>2</v>
      </c>
      <c r="E6" s="24" t="s">
        <v>12</v>
      </c>
      <c r="F6" s="25"/>
      <c r="G6" s="21"/>
      <c r="H6" s="22" t="s">
        <v>11</v>
      </c>
      <c r="I6" s="23" t="s">
        <v>2</v>
      </c>
      <c r="J6" s="22" t="s">
        <v>12</v>
      </c>
      <c r="K6" s="25"/>
      <c r="L6" s="21"/>
      <c r="M6" s="22" t="s">
        <v>11</v>
      </c>
      <c r="N6" s="23" t="s">
        <v>2</v>
      </c>
      <c r="O6" s="22" t="s">
        <v>12</v>
      </c>
      <c r="P6" s="25"/>
      <c r="Q6" s="21"/>
      <c r="R6" s="22" t="s">
        <v>11</v>
      </c>
      <c r="S6" s="23" t="s">
        <v>2</v>
      </c>
      <c r="T6" s="22" t="s">
        <v>12</v>
      </c>
      <c r="U6" s="25"/>
      <c r="V6" s="26"/>
      <c r="W6" s="27" t="s">
        <v>11</v>
      </c>
      <c r="X6" s="28" t="s">
        <v>2</v>
      </c>
      <c r="Y6" s="27" t="s">
        <v>12</v>
      </c>
      <c r="Z6" s="25"/>
      <c r="AA6" s="29"/>
      <c r="AB6" s="27" t="s">
        <v>11</v>
      </c>
      <c r="AC6" s="28" t="s">
        <v>2</v>
      </c>
      <c r="AD6" s="27" t="s">
        <v>12</v>
      </c>
    </row>
    <row r="7" spans="2:30" s="15" customFormat="1" ht="64.5" x14ac:dyDescent="0.9">
      <c r="B7" s="30" t="s">
        <v>13</v>
      </c>
      <c r="C7" s="31">
        <v>45511</v>
      </c>
      <c r="D7" s="32">
        <f>E7-C7+1</f>
        <v>75</v>
      </c>
      <c r="E7" s="33">
        <v>45585</v>
      </c>
      <c r="F7" s="34"/>
      <c r="G7" s="30" t="s">
        <v>13</v>
      </c>
      <c r="H7" s="31">
        <v>45561</v>
      </c>
      <c r="I7" s="32">
        <f>J7-H7+1</f>
        <v>56</v>
      </c>
      <c r="J7" s="31">
        <v>45616</v>
      </c>
      <c r="K7" s="34"/>
      <c r="L7" s="30" t="s">
        <v>13</v>
      </c>
      <c r="M7" s="31">
        <v>45575</v>
      </c>
      <c r="N7" s="32">
        <f>O7-M7+1</f>
        <v>83</v>
      </c>
      <c r="O7" s="31">
        <v>45657</v>
      </c>
      <c r="P7" s="34"/>
      <c r="Q7" s="30" t="s">
        <v>13</v>
      </c>
      <c r="R7" s="31">
        <v>45582</v>
      </c>
      <c r="S7" s="32">
        <f>T7-R7+1</f>
        <v>90</v>
      </c>
      <c r="T7" s="31">
        <v>45671</v>
      </c>
      <c r="U7" s="34"/>
      <c r="V7" s="30" t="s">
        <v>13</v>
      </c>
      <c r="W7" s="31">
        <v>45589</v>
      </c>
      <c r="X7" s="32">
        <f>Y7-W7+1</f>
        <v>117</v>
      </c>
      <c r="Y7" s="31">
        <v>45705</v>
      </c>
      <c r="Z7" s="34"/>
      <c r="AA7" s="30" t="s">
        <v>13</v>
      </c>
      <c r="AB7" s="31">
        <v>45596</v>
      </c>
      <c r="AC7" s="32">
        <f>AD7-AB7+1</f>
        <v>105</v>
      </c>
      <c r="AD7" s="31">
        <v>45700</v>
      </c>
    </row>
    <row r="8" spans="2:30" s="15" customFormat="1" x14ac:dyDescent="0.9">
      <c r="B8" s="35" t="s">
        <v>14</v>
      </c>
      <c r="C8" s="31">
        <v>45586</v>
      </c>
      <c r="D8" s="32">
        <f t="shared" ref="D8:D10" si="0">E8-C8+1</f>
        <v>114</v>
      </c>
      <c r="E8" s="33">
        <v>45699</v>
      </c>
      <c r="F8" s="34"/>
      <c r="G8" s="35" t="s">
        <v>14</v>
      </c>
      <c r="H8" s="31">
        <v>45617</v>
      </c>
      <c r="I8" s="32">
        <f t="shared" ref="I8:I11" si="1">J8-H8+1</f>
        <v>81</v>
      </c>
      <c r="J8" s="31">
        <v>45697</v>
      </c>
      <c r="K8" s="34"/>
      <c r="L8" s="35" t="s">
        <v>14</v>
      </c>
      <c r="M8" s="31">
        <v>45633</v>
      </c>
      <c r="N8" s="32">
        <f t="shared" ref="N8:N10" si="2">O8-M8+1</f>
        <v>80</v>
      </c>
      <c r="O8" s="31">
        <v>45712</v>
      </c>
      <c r="P8" s="34"/>
      <c r="Q8" s="35" t="s">
        <v>14</v>
      </c>
      <c r="R8" s="31">
        <v>45642</v>
      </c>
      <c r="S8" s="32">
        <f t="shared" ref="S8:S10" si="3">T8-R8+1</f>
        <v>80</v>
      </c>
      <c r="T8" s="31">
        <v>45721</v>
      </c>
      <c r="U8" s="34"/>
      <c r="V8" s="35" t="s">
        <v>14</v>
      </c>
      <c r="W8" s="31">
        <v>45706</v>
      </c>
      <c r="X8" s="32">
        <f t="shared" ref="X8:X9" si="4">Y8-W8+1</f>
        <v>57</v>
      </c>
      <c r="Y8" s="31">
        <v>45762</v>
      </c>
      <c r="Z8" s="34"/>
      <c r="AA8" s="35" t="s">
        <v>14</v>
      </c>
      <c r="AB8" s="31">
        <v>45701</v>
      </c>
      <c r="AC8" s="32">
        <f t="shared" ref="AC8:AC9" si="5">AD8-AB8+1</f>
        <v>52</v>
      </c>
      <c r="AD8" s="31">
        <v>45752</v>
      </c>
    </row>
    <row r="9" spans="2:30" s="15" customFormat="1" x14ac:dyDescent="0.9">
      <c r="B9" s="35" t="s">
        <v>15</v>
      </c>
      <c r="C9" s="31">
        <v>45700</v>
      </c>
      <c r="D9" s="32">
        <f t="shared" si="0"/>
        <v>44</v>
      </c>
      <c r="E9" s="33">
        <v>45743</v>
      </c>
      <c r="F9" s="34"/>
      <c r="G9" s="35" t="s">
        <v>15</v>
      </c>
      <c r="H9" s="31">
        <v>45698</v>
      </c>
      <c r="I9" s="32">
        <f t="shared" si="1"/>
        <v>25</v>
      </c>
      <c r="J9" s="31">
        <v>45722</v>
      </c>
      <c r="K9" s="34"/>
      <c r="L9" s="35" t="s">
        <v>15</v>
      </c>
      <c r="M9" s="31">
        <v>45701</v>
      </c>
      <c r="N9" s="32">
        <f t="shared" si="2"/>
        <v>51</v>
      </c>
      <c r="O9" s="31">
        <v>45751</v>
      </c>
      <c r="P9" s="34"/>
      <c r="Q9" s="35" t="s">
        <v>15</v>
      </c>
      <c r="R9" s="31">
        <v>45730</v>
      </c>
      <c r="S9" s="32">
        <f t="shared" si="3"/>
        <v>37</v>
      </c>
      <c r="T9" s="31">
        <v>45766</v>
      </c>
      <c r="U9" s="34"/>
      <c r="V9" s="35" t="s">
        <v>15</v>
      </c>
      <c r="W9" s="31">
        <v>45739</v>
      </c>
      <c r="X9" s="32">
        <f t="shared" si="4"/>
        <v>70</v>
      </c>
      <c r="Y9" s="31">
        <v>45808</v>
      </c>
      <c r="Z9" s="34"/>
      <c r="AA9" s="35" t="s">
        <v>15</v>
      </c>
      <c r="AB9" s="31">
        <v>45752</v>
      </c>
      <c r="AC9" s="32">
        <f t="shared" si="5"/>
        <v>60</v>
      </c>
      <c r="AD9" s="31">
        <v>45811</v>
      </c>
    </row>
    <row r="10" spans="2:30" s="15" customFormat="1" x14ac:dyDescent="0.9">
      <c r="B10" s="35" t="s">
        <v>16</v>
      </c>
      <c r="C10" s="31">
        <v>45743</v>
      </c>
      <c r="D10" s="32">
        <f t="shared" si="0"/>
        <v>35</v>
      </c>
      <c r="E10" s="33">
        <v>45777</v>
      </c>
      <c r="F10" s="34"/>
      <c r="G10" s="35" t="s">
        <v>16</v>
      </c>
      <c r="H10" s="31">
        <f>J9</f>
        <v>45722</v>
      </c>
      <c r="I10" s="32">
        <f t="shared" si="1"/>
        <v>34</v>
      </c>
      <c r="J10" s="31">
        <v>45755</v>
      </c>
      <c r="K10" s="34"/>
      <c r="L10" s="35" t="s">
        <v>16</v>
      </c>
      <c r="M10" s="31">
        <v>45750</v>
      </c>
      <c r="N10" s="32">
        <f t="shared" si="2"/>
        <v>41</v>
      </c>
      <c r="O10" s="31">
        <v>45790</v>
      </c>
      <c r="P10" s="34"/>
      <c r="Q10" s="35" t="s">
        <v>16</v>
      </c>
      <c r="R10" s="31">
        <v>45766</v>
      </c>
      <c r="S10" s="32">
        <f t="shared" si="3"/>
        <v>44</v>
      </c>
      <c r="T10" s="31">
        <v>45809</v>
      </c>
      <c r="U10" s="34"/>
      <c r="V10" s="35" t="s">
        <v>16</v>
      </c>
      <c r="W10" s="31">
        <f>Y9</f>
        <v>45808</v>
      </c>
      <c r="X10" s="32">
        <v>51</v>
      </c>
      <c r="Y10" s="31">
        <f>X10+W10</f>
        <v>45859</v>
      </c>
      <c r="Z10" s="34"/>
      <c r="AA10" s="35" t="s">
        <v>16</v>
      </c>
      <c r="AB10" s="31">
        <f>AD9</f>
        <v>45811</v>
      </c>
      <c r="AC10" s="32">
        <v>56</v>
      </c>
      <c r="AD10" s="31">
        <f>AC10+AB10</f>
        <v>45867</v>
      </c>
    </row>
    <row r="11" spans="2:30" s="15" customFormat="1" x14ac:dyDescent="0.9">
      <c r="B11" s="35" t="s">
        <v>17</v>
      </c>
      <c r="C11" s="31">
        <f>E10</f>
        <v>45777</v>
      </c>
      <c r="D11" s="32">
        <v>78</v>
      </c>
      <c r="E11" s="33">
        <f>D11+C11</f>
        <v>45855</v>
      </c>
      <c r="F11" s="34"/>
      <c r="G11" s="35" t="s">
        <v>17</v>
      </c>
      <c r="H11" s="31">
        <v>45756</v>
      </c>
      <c r="I11" s="32">
        <f t="shared" si="1"/>
        <v>45</v>
      </c>
      <c r="J11" s="31">
        <v>45800</v>
      </c>
      <c r="K11" s="36"/>
      <c r="L11" s="35" t="s">
        <v>17</v>
      </c>
      <c r="M11" s="31">
        <f>O10</f>
        <v>45790</v>
      </c>
      <c r="N11" s="32">
        <f>58+19</f>
        <v>77</v>
      </c>
      <c r="O11" s="31">
        <f>N11+M11</f>
        <v>45867</v>
      </c>
      <c r="P11" s="34"/>
      <c r="Q11" s="35" t="s">
        <v>17</v>
      </c>
      <c r="R11" s="31">
        <f>T10</f>
        <v>45809</v>
      </c>
      <c r="S11" s="32">
        <v>85</v>
      </c>
      <c r="T11" s="31">
        <f>S11+R11</f>
        <v>45894</v>
      </c>
      <c r="U11" s="34"/>
      <c r="V11" s="35" t="s">
        <v>17</v>
      </c>
      <c r="W11" s="31">
        <f t="shared" ref="W11:W52" si="6">Y10</f>
        <v>45859</v>
      </c>
      <c r="X11" s="32">
        <v>69</v>
      </c>
      <c r="Y11" s="31">
        <f>X11+W11</f>
        <v>45928</v>
      </c>
      <c r="Z11" s="34"/>
      <c r="AA11" s="35" t="s">
        <v>17</v>
      </c>
      <c r="AB11" s="31">
        <f t="shared" ref="AB11:AB52" si="7">AD10</f>
        <v>45867</v>
      </c>
      <c r="AC11" s="32">
        <v>63</v>
      </c>
      <c r="AD11" s="31">
        <f>AC11+AB11</f>
        <v>45930</v>
      </c>
    </row>
    <row r="12" spans="2:30" s="15" customFormat="1" x14ac:dyDescent="0.9">
      <c r="B12" s="35" t="s">
        <v>18</v>
      </c>
      <c r="C12" s="31">
        <f t="shared" ref="C12:C53" si="8">E11</f>
        <v>45855</v>
      </c>
      <c r="D12" s="32">
        <v>75</v>
      </c>
      <c r="E12" s="33">
        <f t="shared" ref="E12:E53" si="9">D12+C12</f>
        <v>45930</v>
      </c>
      <c r="F12" s="34"/>
      <c r="G12" s="35" t="s">
        <v>18</v>
      </c>
      <c r="H12" s="31">
        <f>J11</f>
        <v>45800</v>
      </c>
      <c r="I12" s="32">
        <v>100</v>
      </c>
      <c r="J12" s="31">
        <f>H12+I12</f>
        <v>45900</v>
      </c>
      <c r="K12" s="37"/>
      <c r="L12" s="35" t="s">
        <v>18</v>
      </c>
      <c r="M12" s="31">
        <f t="shared" ref="M12:M52" si="10">O11</f>
        <v>45867</v>
      </c>
      <c r="N12" s="32">
        <v>74</v>
      </c>
      <c r="O12" s="31">
        <f t="shared" ref="O12:O52" si="11">N12+M12</f>
        <v>45941</v>
      </c>
      <c r="P12" s="34"/>
      <c r="Q12" s="35" t="s">
        <v>18</v>
      </c>
      <c r="R12" s="31">
        <f t="shared" ref="R12:R52" si="12">T11</f>
        <v>45894</v>
      </c>
      <c r="S12" s="32">
        <f>52+12</f>
        <v>64</v>
      </c>
      <c r="T12" s="31">
        <f t="shared" ref="T12:T52" si="13">S12+R12</f>
        <v>45958</v>
      </c>
      <c r="U12" s="34"/>
      <c r="V12" s="35" t="s">
        <v>18</v>
      </c>
      <c r="W12" s="31">
        <f t="shared" si="6"/>
        <v>45928</v>
      </c>
      <c r="X12" s="32">
        <v>65</v>
      </c>
      <c r="Y12" s="31">
        <f t="shared" ref="Y12:Y52" si="14">X12+W12</f>
        <v>45993</v>
      </c>
      <c r="Z12" s="34"/>
      <c r="AA12" s="35" t="s">
        <v>18</v>
      </c>
      <c r="AB12" s="31">
        <f t="shared" si="7"/>
        <v>45930</v>
      </c>
      <c r="AC12" s="32">
        <v>73</v>
      </c>
      <c r="AD12" s="31">
        <f t="shared" ref="AD12:AD52" si="15">AC12+AB12</f>
        <v>46003</v>
      </c>
    </row>
    <row r="13" spans="2:30" s="15" customFormat="1" x14ac:dyDescent="0.9">
      <c r="B13" s="35" t="s">
        <v>19</v>
      </c>
      <c r="C13" s="31">
        <f t="shared" si="8"/>
        <v>45930</v>
      </c>
      <c r="D13" s="32">
        <f>32+15</f>
        <v>47</v>
      </c>
      <c r="E13" s="33">
        <v>45982</v>
      </c>
      <c r="F13" s="34"/>
      <c r="G13" s="38" t="s">
        <v>19</v>
      </c>
      <c r="H13" s="31">
        <f t="shared" ref="H13:H52" si="16">J12</f>
        <v>45900</v>
      </c>
      <c r="I13" s="32">
        <f>37+23</f>
        <v>60</v>
      </c>
      <c r="J13" s="31">
        <v>45934</v>
      </c>
      <c r="K13" s="37"/>
      <c r="L13" s="35" t="s">
        <v>19</v>
      </c>
      <c r="M13" s="31">
        <f t="shared" si="10"/>
        <v>45941</v>
      </c>
      <c r="N13" s="32">
        <v>43</v>
      </c>
      <c r="O13" s="31">
        <f t="shared" si="11"/>
        <v>45984</v>
      </c>
      <c r="P13" s="34"/>
      <c r="Q13" s="35" t="s">
        <v>19</v>
      </c>
      <c r="R13" s="31">
        <f t="shared" si="12"/>
        <v>45958</v>
      </c>
      <c r="S13" s="32">
        <v>35</v>
      </c>
      <c r="T13" s="31">
        <f t="shared" si="13"/>
        <v>45993</v>
      </c>
      <c r="U13" s="34"/>
      <c r="V13" s="35" t="s">
        <v>19</v>
      </c>
      <c r="W13" s="31">
        <f t="shared" si="6"/>
        <v>45993</v>
      </c>
      <c r="X13" s="32">
        <v>40</v>
      </c>
      <c r="Y13" s="31">
        <f t="shared" si="14"/>
        <v>46033</v>
      </c>
      <c r="Z13" s="34"/>
      <c r="AA13" s="35" t="s">
        <v>19</v>
      </c>
      <c r="AB13" s="31">
        <f t="shared" si="7"/>
        <v>46003</v>
      </c>
      <c r="AC13" s="32">
        <v>29</v>
      </c>
      <c r="AD13" s="31">
        <f t="shared" si="15"/>
        <v>46032</v>
      </c>
    </row>
    <row r="14" spans="2:30" s="15" customFormat="1" x14ac:dyDescent="0.9">
      <c r="B14" s="35" t="s">
        <v>20</v>
      </c>
      <c r="C14" s="31">
        <f t="shared" si="8"/>
        <v>45982</v>
      </c>
      <c r="D14" s="32">
        <v>21</v>
      </c>
      <c r="E14" s="33">
        <f t="shared" si="9"/>
        <v>46003</v>
      </c>
      <c r="F14" s="34"/>
      <c r="G14" s="38" t="s">
        <v>20</v>
      </c>
      <c r="H14" s="31">
        <f t="shared" si="16"/>
        <v>45934</v>
      </c>
      <c r="I14" s="32">
        <v>24</v>
      </c>
      <c r="J14" s="31">
        <f t="shared" ref="J14:J52" si="17">H14+I14</f>
        <v>45958</v>
      </c>
      <c r="K14" s="37"/>
      <c r="L14" s="35" t="s">
        <v>20</v>
      </c>
      <c r="M14" s="31">
        <f t="shared" si="10"/>
        <v>45984</v>
      </c>
      <c r="N14" s="32">
        <v>15</v>
      </c>
      <c r="O14" s="31">
        <f t="shared" si="11"/>
        <v>45999</v>
      </c>
      <c r="P14" s="34"/>
      <c r="Q14" s="35" t="s">
        <v>20</v>
      </c>
      <c r="R14" s="31">
        <f t="shared" si="12"/>
        <v>45993</v>
      </c>
      <c r="S14" s="32">
        <v>24</v>
      </c>
      <c r="T14" s="31">
        <f t="shared" si="13"/>
        <v>46017</v>
      </c>
      <c r="U14" s="34"/>
      <c r="V14" s="35" t="s">
        <v>20</v>
      </c>
      <c r="W14" s="31">
        <f t="shared" si="6"/>
        <v>46033</v>
      </c>
      <c r="X14" s="32">
        <v>20</v>
      </c>
      <c r="Y14" s="31">
        <f t="shared" si="14"/>
        <v>46053</v>
      </c>
      <c r="Z14" s="34"/>
      <c r="AA14" s="35" t="s">
        <v>20</v>
      </c>
      <c r="AB14" s="31">
        <f t="shared" si="7"/>
        <v>46032</v>
      </c>
      <c r="AC14" s="32">
        <v>21</v>
      </c>
      <c r="AD14" s="31">
        <f t="shared" si="15"/>
        <v>46053</v>
      </c>
    </row>
    <row r="15" spans="2:30" s="15" customFormat="1" ht="22" thickBot="1" x14ac:dyDescent="0.95">
      <c r="B15" s="35" t="s">
        <v>21</v>
      </c>
      <c r="C15" s="31">
        <f t="shared" si="8"/>
        <v>46003</v>
      </c>
      <c r="D15" s="32">
        <v>24</v>
      </c>
      <c r="E15" s="33">
        <f t="shared" si="9"/>
        <v>46027</v>
      </c>
      <c r="F15" s="34"/>
      <c r="G15" s="38" t="s">
        <v>21</v>
      </c>
      <c r="H15" s="39">
        <f t="shared" si="16"/>
        <v>45958</v>
      </c>
      <c r="I15" s="40">
        <v>25</v>
      </c>
      <c r="J15" s="39">
        <f t="shared" si="17"/>
        <v>45983</v>
      </c>
      <c r="K15" s="41"/>
      <c r="L15" s="35" t="s">
        <v>21</v>
      </c>
      <c r="M15" s="31">
        <f t="shared" si="10"/>
        <v>45999</v>
      </c>
      <c r="N15" s="32">
        <v>22</v>
      </c>
      <c r="O15" s="31">
        <f t="shared" si="11"/>
        <v>46021</v>
      </c>
      <c r="P15" s="34"/>
      <c r="Q15" s="35" t="s">
        <v>21</v>
      </c>
      <c r="R15" s="31">
        <f t="shared" si="12"/>
        <v>46017</v>
      </c>
      <c r="S15" s="32">
        <v>14</v>
      </c>
      <c r="T15" s="31">
        <f t="shared" si="13"/>
        <v>46031</v>
      </c>
      <c r="U15" s="34"/>
      <c r="V15" s="35" t="s">
        <v>21</v>
      </c>
      <c r="W15" s="31">
        <f t="shared" si="6"/>
        <v>46053</v>
      </c>
      <c r="X15" s="32">
        <v>14</v>
      </c>
      <c r="Y15" s="31">
        <f t="shared" si="14"/>
        <v>46067</v>
      </c>
      <c r="Z15" s="34"/>
      <c r="AA15" s="35" t="s">
        <v>21</v>
      </c>
      <c r="AB15" s="31">
        <f t="shared" si="7"/>
        <v>46053</v>
      </c>
      <c r="AC15" s="32">
        <v>15</v>
      </c>
      <c r="AD15" s="31">
        <f t="shared" si="15"/>
        <v>46068</v>
      </c>
    </row>
    <row r="16" spans="2:30" s="15" customFormat="1" ht="22" thickBot="1" x14ac:dyDescent="0.95">
      <c r="B16" s="35" t="s">
        <v>22</v>
      </c>
      <c r="C16" s="31">
        <f t="shared" si="8"/>
        <v>46027</v>
      </c>
      <c r="D16" s="32">
        <v>14</v>
      </c>
      <c r="E16" s="33">
        <f t="shared" si="9"/>
        <v>46041</v>
      </c>
      <c r="F16" s="42"/>
      <c r="G16" s="38" t="s">
        <v>22</v>
      </c>
      <c r="H16" s="39">
        <f t="shared" si="16"/>
        <v>45983</v>
      </c>
      <c r="I16" s="40">
        <v>20</v>
      </c>
      <c r="J16" s="39">
        <f t="shared" si="17"/>
        <v>46003</v>
      </c>
      <c r="K16" s="43"/>
      <c r="L16" s="35" t="s">
        <v>22</v>
      </c>
      <c r="M16" s="31">
        <f t="shared" si="10"/>
        <v>46021</v>
      </c>
      <c r="N16" s="32">
        <v>18</v>
      </c>
      <c r="O16" s="31">
        <f t="shared" si="11"/>
        <v>46039</v>
      </c>
      <c r="P16" s="42"/>
      <c r="Q16" s="35" t="s">
        <v>22</v>
      </c>
      <c r="R16" s="31">
        <f t="shared" si="12"/>
        <v>46031</v>
      </c>
      <c r="S16" s="32">
        <v>13</v>
      </c>
      <c r="T16" s="31">
        <f t="shared" si="13"/>
        <v>46044</v>
      </c>
      <c r="U16" s="42"/>
      <c r="V16" s="35" t="s">
        <v>22</v>
      </c>
      <c r="W16" s="31">
        <f t="shared" si="6"/>
        <v>46067</v>
      </c>
      <c r="X16" s="32">
        <v>14</v>
      </c>
      <c r="Y16" s="31">
        <f t="shared" si="14"/>
        <v>46081</v>
      </c>
      <c r="Z16" s="42"/>
      <c r="AA16" s="35" t="s">
        <v>22</v>
      </c>
      <c r="AB16" s="31">
        <f t="shared" si="7"/>
        <v>46068</v>
      </c>
      <c r="AC16" s="32">
        <v>13</v>
      </c>
      <c r="AD16" s="31">
        <f t="shared" si="15"/>
        <v>46081</v>
      </c>
    </row>
    <row r="17" spans="2:30" s="15" customFormat="1" x14ac:dyDescent="0.9">
      <c r="B17" s="35" t="s">
        <v>23</v>
      </c>
      <c r="C17" s="31">
        <f t="shared" si="8"/>
        <v>46041</v>
      </c>
      <c r="D17" s="32">
        <v>12</v>
      </c>
      <c r="E17" s="33">
        <f t="shared" si="9"/>
        <v>46053</v>
      </c>
      <c r="F17" s="34"/>
      <c r="G17" s="38" t="s">
        <v>23</v>
      </c>
      <c r="H17" s="39">
        <f t="shared" si="16"/>
        <v>46003</v>
      </c>
      <c r="I17" s="40">
        <v>22</v>
      </c>
      <c r="J17" s="39">
        <f t="shared" si="17"/>
        <v>46025</v>
      </c>
      <c r="K17" s="44"/>
      <c r="L17" s="35" t="s">
        <v>23</v>
      </c>
      <c r="M17" s="31">
        <f t="shared" si="10"/>
        <v>46039</v>
      </c>
      <c r="N17" s="32">
        <v>14</v>
      </c>
      <c r="O17" s="31">
        <f t="shared" si="11"/>
        <v>46053</v>
      </c>
      <c r="P17" s="34"/>
      <c r="Q17" s="35" t="s">
        <v>23</v>
      </c>
      <c r="R17" s="31">
        <f t="shared" si="12"/>
        <v>46044</v>
      </c>
      <c r="S17" s="32">
        <v>14</v>
      </c>
      <c r="T17" s="31">
        <f t="shared" si="13"/>
        <v>46058</v>
      </c>
      <c r="U17" s="34"/>
      <c r="V17" s="35" t="s">
        <v>23</v>
      </c>
      <c r="W17" s="31">
        <f t="shared" si="6"/>
        <v>46081</v>
      </c>
      <c r="X17" s="32">
        <v>22</v>
      </c>
      <c r="Y17" s="31">
        <f t="shared" si="14"/>
        <v>46103</v>
      </c>
      <c r="Z17" s="34"/>
      <c r="AA17" s="35" t="s">
        <v>23</v>
      </c>
      <c r="AB17" s="31">
        <f t="shared" si="7"/>
        <v>46081</v>
      </c>
      <c r="AC17" s="32">
        <v>18</v>
      </c>
      <c r="AD17" s="31">
        <f t="shared" si="15"/>
        <v>46099</v>
      </c>
    </row>
    <row r="18" spans="2:30" s="15" customFormat="1" x14ac:dyDescent="0.9">
      <c r="B18" s="35" t="s">
        <v>24</v>
      </c>
      <c r="C18" s="31">
        <f t="shared" si="8"/>
        <v>46053</v>
      </c>
      <c r="D18" s="32">
        <v>14</v>
      </c>
      <c r="E18" s="33">
        <f t="shared" si="9"/>
        <v>46067</v>
      </c>
      <c r="F18" s="34"/>
      <c r="G18" s="38" t="s">
        <v>24</v>
      </c>
      <c r="H18" s="39">
        <f t="shared" si="16"/>
        <v>46025</v>
      </c>
      <c r="I18" s="40">
        <v>14</v>
      </c>
      <c r="J18" s="39">
        <f t="shared" si="17"/>
        <v>46039</v>
      </c>
      <c r="K18" s="37"/>
      <c r="L18" s="35" t="s">
        <v>24</v>
      </c>
      <c r="M18" s="31">
        <f t="shared" si="10"/>
        <v>46053</v>
      </c>
      <c r="N18" s="32">
        <v>13</v>
      </c>
      <c r="O18" s="31">
        <f t="shared" si="11"/>
        <v>46066</v>
      </c>
      <c r="P18" s="34"/>
      <c r="Q18" s="35" t="s">
        <v>24</v>
      </c>
      <c r="R18" s="31">
        <f t="shared" si="12"/>
        <v>46058</v>
      </c>
      <c r="S18" s="32">
        <v>15</v>
      </c>
      <c r="T18" s="31">
        <f t="shared" si="13"/>
        <v>46073</v>
      </c>
      <c r="U18" s="34"/>
      <c r="V18" s="35" t="s">
        <v>24</v>
      </c>
      <c r="W18" s="31">
        <f t="shared" si="6"/>
        <v>46103</v>
      </c>
      <c r="X18" s="32">
        <v>14</v>
      </c>
      <c r="Y18" s="31">
        <f t="shared" si="14"/>
        <v>46117</v>
      </c>
      <c r="Z18" s="34"/>
      <c r="AA18" s="35" t="s">
        <v>24</v>
      </c>
      <c r="AB18" s="31">
        <f t="shared" si="7"/>
        <v>46099</v>
      </c>
      <c r="AC18" s="32">
        <v>13</v>
      </c>
      <c r="AD18" s="31">
        <f t="shared" si="15"/>
        <v>46112</v>
      </c>
    </row>
    <row r="19" spans="2:30" s="15" customFormat="1" x14ac:dyDescent="0.9">
      <c r="B19" s="35" t="s">
        <v>25</v>
      </c>
      <c r="C19" s="31">
        <f t="shared" si="8"/>
        <v>46067</v>
      </c>
      <c r="D19" s="32">
        <v>12</v>
      </c>
      <c r="E19" s="33">
        <f t="shared" si="9"/>
        <v>46079</v>
      </c>
      <c r="F19" s="34"/>
      <c r="G19" s="38" t="s">
        <v>25</v>
      </c>
      <c r="H19" s="39">
        <f t="shared" si="16"/>
        <v>46039</v>
      </c>
      <c r="I19" s="40">
        <v>14</v>
      </c>
      <c r="J19" s="39">
        <f t="shared" si="17"/>
        <v>46053</v>
      </c>
      <c r="K19" s="37"/>
      <c r="L19" s="35" t="s">
        <v>25</v>
      </c>
      <c r="M19" s="31">
        <f t="shared" si="10"/>
        <v>46066</v>
      </c>
      <c r="N19" s="32">
        <v>15</v>
      </c>
      <c r="O19" s="31">
        <f t="shared" si="11"/>
        <v>46081</v>
      </c>
      <c r="P19" s="34"/>
      <c r="Q19" s="35" t="s">
        <v>25</v>
      </c>
      <c r="R19" s="31">
        <f t="shared" si="12"/>
        <v>46073</v>
      </c>
      <c r="S19" s="32">
        <v>18</v>
      </c>
      <c r="T19" s="31">
        <f t="shared" si="13"/>
        <v>46091</v>
      </c>
      <c r="U19" s="34"/>
      <c r="V19" s="35" t="s">
        <v>25</v>
      </c>
      <c r="W19" s="31">
        <f t="shared" si="6"/>
        <v>46117</v>
      </c>
      <c r="X19" s="32">
        <v>15</v>
      </c>
      <c r="Y19" s="31">
        <f t="shared" si="14"/>
        <v>46132</v>
      </c>
      <c r="Z19" s="34"/>
      <c r="AA19" s="35" t="s">
        <v>25</v>
      </c>
      <c r="AB19" s="31">
        <f t="shared" si="7"/>
        <v>46112</v>
      </c>
      <c r="AC19" s="32">
        <v>15</v>
      </c>
      <c r="AD19" s="31">
        <f t="shared" si="15"/>
        <v>46127</v>
      </c>
    </row>
    <row r="20" spans="2:30" s="15" customFormat="1" x14ac:dyDescent="0.9">
      <c r="B20" s="35" t="s">
        <v>26</v>
      </c>
      <c r="C20" s="31">
        <f t="shared" si="8"/>
        <v>46079</v>
      </c>
      <c r="D20" s="32">
        <v>13</v>
      </c>
      <c r="E20" s="33">
        <f t="shared" si="9"/>
        <v>46092</v>
      </c>
      <c r="F20" s="34"/>
      <c r="G20" s="38" t="s">
        <v>26</v>
      </c>
      <c r="H20" s="39">
        <f t="shared" si="16"/>
        <v>46053</v>
      </c>
      <c r="I20" s="40">
        <v>13</v>
      </c>
      <c r="J20" s="39">
        <f t="shared" si="17"/>
        <v>46066</v>
      </c>
      <c r="K20" s="37"/>
      <c r="L20" s="35" t="s">
        <v>26</v>
      </c>
      <c r="M20" s="31">
        <f t="shared" si="10"/>
        <v>46081</v>
      </c>
      <c r="N20" s="32">
        <v>19</v>
      </c>
      <c r="O20" s="31">
        <f t="shared" si="11"/>
        <v>46100</v>
      </c>
      <c r="P20" s="34"/>
      <c r="Q20" s="35" t="s">
        <v>26</v>
      </c>
      <c r="R20" s="31">
        <f t="shared" si="12"/>
        <v>46091</v>
      </c>
      <c r="S20" s="32">
        <v>17</v>
      </c>
      <c r="T20" s="31">
        <f t="shared" si="13"/>
        <v>46108</v>
      </c>
      <c r="U20" s="34"/>
      <c r="V20" s="35" t="s">
        <v>26</v>
      </c>
      <c r="W20" s="31">
        <f t="shared" si="6"/>
        <v>46132</v>
      </c>
      <c r="X20" s="32">
        <v>13</v>
      </c>
      <c r="Y20" s="31">
        <f t="shared" si="14"/>
        <v>46145</v>
      </c>
      <c r="Z20" s="34"/>
      <c r="AA20" s="35" t="s">
        <v>26</v>
      </c>
      <c r="AB20" s="31">
        <f t="shared" si="7"/>
        <v>46127</v>
      </c>
      <c r="AC20" s="32">
        <v>13</v>
      </c>
      <c r="AD20" s="31">
        <f t="shared" si="15"/>
        <v>46140</v>
      </c>
    </row>
    <row r="21" spans="2:30" s="15" customFormat="1" x14ac:dyDescent="0.9">
      <c r="B21" s="35" t="s">
        <v>27</v>
      </c>
      <c r="C21" s="31">
        <f t="shared" si="8"/>
        <v>46092</v>
      </c>
      <c r="D21" s="32">
        <v>11</v>
      </c>
      <c r="E21" s="33">
        <f t="shared" si="9"/>
        <v>46103</v>
      </c>
      <c r="F21" s="34"/>
      <c r="G21" s="38" t="s">
        <v>27</v>
      </c>
      <c r="H21" s="39">
        <f t="shared" si="16"/>
        <v>46066</v>
      </c>
      <c r="I21" s="40">
        <v>13</v>
      </c>
      <c r="J21" s="39">
        <f t="shared" si="17"/>
        <v>46079</v>
      </c>
      <c r="K21" s="37"/>
      <c r="L21" s="35" t="s">
        <v>27</v>
      </c>
      <c r="M21" s="31">
        <f t="shared" si="10"/>
        <v>46100</v>
      </c>
      <c r="N21" s="32">
        <v>12</v>
      </c>
      <c r="O21" s="31">
        <f t="shared" si="11"/>
        <v>46112</v>
      </c>
      <c r="P21" s="34"/>
      <c r="Q21" s="35" t="s">
        <v>27</v>
      </c>
      <c r="R21" s="31">
        <f t="shared" si="12"/>
        <v>46108</v>
      </c>
      <c r="S21" s="32">
        <v>17</v>
      </c>
      <c r="T21" s="31">
        <f t="shared" si="13"/>
        <v>46125</v>
      </c>
      <c r="U21" s="34"/>
      <c r="V21" s="35" t="s">
        <v>27</v>
      </c>
      <c r="W21" s="31">
        <f t="shared" si="6"/>
        <v>46145</v>
      </c>
      <c r="X21" s="32">
        <v>28</v>
      </c>
      <c r="Y21" s="31">
        <f t="shared" si="14"/>
        <v>46173</v>
      </c>
      <c r="Z21" s="34"/>
      <c r="AA21" s="35" t="s">
        <v>27</v>
      </c>
      <c r="AB21" s="31">
        <f t="shared" si="7"/>
        <v>46140</v>
      </c>
      <c r="AC21" s="32">
        <v>13</v>
      </c>
      <c r="AD21" s="31">
        <f t="shared" si="15"/>
        <v>46153</v>
      </c>
    </row>
    <row r="22" spans="2:30" s="15" customFormat="1" x14ac:dyDescent="0.9">
      <c r="B22" s="35" t="s">
        <v>28</v>
      </c>
      <c r="C22" s="31">
        <f t="shared" si="8"/>
        <v>46103</v>
      </c>
      <c r="D22" s="32">
        <v>9</v>
      </c>
      <c r="E22" s="33">
        <f t="shared" si="9"/>
        <v>46112</v>
      </c>
      <c r="F22" s="34"/>
      <c r="G22" s="35" t="s">
        <v>28</v>
      </c>
      <c r="H22" s="39">
        <f t="shared" si="16"/>
        <v>46079</v>
      </c>
      <c r="I22" s="40">
        <v>15</v>
      </c>
      <c r="J22" s="39">
        <f t="shared" si="17"/>
        <v>46094</v>
      </c>
      <c r="K22" s="37"/>
      <c r="L22" s="35" t="s">
        <v>28</v>
      </c>
      <c r="M22" s="31">
        <f t="shared" si="10"/>
        <v>46112</v>
      </c>
      <c r="N22" s="32">
        <v>20</v>
      </c>
      <c r="O22" s="31">
        <f t="shared" si="11"/>
        <v>46132</v>
      </c>
      <c r="P22" s="34"/>
      <c r="Q22" s="35" t="s">
        <v>28</v>
      </c>
      <c r="R22" s="31">
        <f t="shared" si="12"/>
        <v>46125</v>
      </c>
      <c r="S22" s="32">
        <v>17</v>
      </c>
      <c r="T22" s="31">
        <f t="shared" si="13"/>
        <v>46142</v>
      </c>
      <c r="U22" s="34"/>
      <c r="V22" s="45" t="s">
        <v>28</v>
      </c>
      <c r="W22" s="46">
        <f t="shared" si="6"/>
        <v>46173</v>
      </c>
      <c r="X22" s="47">
        <v>12</v>
      </c>
      <c r="Y22" s="48">
        <f t="shared" si="14"/>
        <v>46185</v>
      </c>
      <c r="Z22" s="34"/>
      <c r="AA22" s="35" t="s">
        <v>28</v>
      </c>
      <c r="AB22" s="31">
        <f t="shared" si="7"/>
        <v>46153</v>
      </c>
      <c r="AC22" s="32">
        <v>20</v>
      </c>
      <c r="AD22" s="31">
        <f t="shared" si="15"/>
        <v>46173</v>
      </c>
    </row>
    <row r="23" spans="2:30" s="15" customFormat="1" ht="22" thickBot="1" x14ac:dyDescent="0.95">
      <c r="B23" s="35" t="s">
        <v>29</v>
      </c>
      <c r="C23" s="31">
        <f t="shared" si="8"/>
        <v>46112</v>
      </c>
      <c r="D23" s="32">
        <v>13</v>
      </c>
      <c r="E23" s="33">
        <f t="shared" si="9"/>
        <v>46125</v>
      </c>
      <c r="F23" s="34"/>
      <c r="G23" s="35" t="s">
        <v>29</v>
      </c>
      <c r="H23" s="39">
        <f t="shared" si="16"/>
        <v>46094</v>
      </c>
      <c r="I23" s="40">
        <v>15</v>
      </c>
      <c r="J23" s="39">
        <f t="shared" si="17"/>
        <v>46109</v>
      </c>
      <c r="K23" s="37"/>
      <c r="L23" s="35" t="s">
        <v>29</v>
      </c>
      <c r="M23" s="31">
        <f t="shared" si="10"/>
        <v>46132</v>
      </c>
      <c r="N23" s="32">
        <v>12</v>
      </c>
      <c r="O23" s="31">
        <f t="shared" si="11"/>
        <v>46144</v>
      </c>
      <c r="P23" s="34"/>
      <c r="Q23" s="35" t="s">
        <v>29</v>
      </c>
      <c r="R23" s="31">
        <f t="shared" si="12"/>
        <v>46142</v>
      </c>
      <c r="S23" s="32">
        <v>24</v>
      </c>
      <c r="T23" s="31">
        <f t="shared" si="13"/>
        <v>46166</v>
      </c>
      <c r="U23" s="34"/>
      <c r="V23" s="35" t="s">
        <v>29</v>
      </c>
      <c r="W23" s="49">
        <f t="shared" si="6"/>
        <v>46185</v>
      </c>
      <c r="X23" s="50">
        <v>12</v>
      </c>
      <c r="Y23" s="51">
        <f t="shared" si="14"/>
        <v>46197</v>
      </c>
      <c r="Z23" s="34"/>
      <c r="AA23" s="45" t="s">
        <v>29</v>
      </c>
      <c r="AB23" s="46">
        <f t="shared" si="7"/>
        <v>46173</v>
      </c>
      <c r="AC23" s="47">
        <f t="shared" ref="AC23:AC48" si="18">X23</f>
        <v>12</v>
      </c>
      <c r="AD23" s="48">
        <f t="shared" si="15"/>
        <v>46185</v>
      </c>
    </row>
    <row r="24" spans="2:30" s="15" customFormat="1" ht="22" thickBot="1" x14ac:dyDescent="0.95">
      <c r="B24" s="35" t="s">
        <v>30</v>
      </c>
      <c r="C24" s="31">
        <f t="shared" si="8"/>
        <v>46125</v>
      </c>
      <c r="D24" s="32">
        <v>12</v>
      </c>
      <c r="E24" s="33">
        <f t="shared" si="9"/>
        <v>46137</v>
      </c>
      <c r="F24" s="34"/>
      <c r="G24" s="35" t="s">
        <v>30</v>
      </c>
      <c r="H24" s="39">
        <f t="shared" si="16"/>
        <v>46109</v>
      </c>
      <c r="I24" s="40">
        <v>13</v>
      </c>
      <c r="J24" s="39">
        <f t="shared" si="17"/>
        <v>46122</v>
      </c>
      <c r="K24" s="37"/>
      <c r="L24" s="35" t="s">
        <v>30</v>
      </c>
      <c r="M24" s="31">
        <f t="shared" si="10"/>
        <v>46144</v>
      </c>
      <c r="N24" s="32">
        <v>29</v>
      </c>
      <c r="O24" s="31">
        <f t="shared" si="11"/>
        <v>46173</v>
      </c>
      <c r="P24" s="34"/>
      <c r="Q24" s="65" t="s">
        <v>30</v>
      </c>
      <c r="R24" s="66">
        <f t="shared" si="12"/>
        <v>46166</v>
      </c>
      <c r="S24" s="67">
        <v>13</v>
      </c>
      <c r="T24" s="68">
        <f t="shared" si="13"/>
        <v>46179</v>
      </c>
      <c r="U24" s="34"/>
      <c r="V24" s="35" t="s">
        <v>30</v>
      </c>
      <c r="W24" s="49">
        <f t="shared" si="6"/>
        <v>46197</v>
      </c>
      <c r="X24" s="50">
        <v>12</v>
      </c>
      <c r="Y24" s="51">
        <f t="shared" si="14"/>
        <v>46209</v>
      </c>
      <c r="Z24" s="34"/>
      <c r="AA24" s="38" t="s">
        <v>30</v>
      </c>
      <c r="AB24" s="49">
        <f t="shared" si="7"/>
        <v>46185</v>
      </c>
      <c r="AC24" s="50">
        <f t="shared" si="18"/>
        <v>12</v>
      </c>
      <c r="AD24" s="51">
        <f t="shared" si="15"/>
        <v>46197</v>
      </c>
    </row>
    <row r="25" spans="2:30" s="15" customFormat="1" ht="22" thickBot="1" x14ac:dyDescent="0.95">
      <c r="B25" s="35" t="s">
        <v>31</v>
      </c>
      <c r="C25" s="31">
        <f t="shared" si="8"/>
        <v>46137</v>
      </c>
      <c r="D25" s="32">
        <v>15</v>
      </c>
      <c r="E25" s="33">
        <f t="shared" si="9"/>
        <v>46152</v>
      </c>
      <c r="F25" s="34"/>
      <c r="G25" s="38" t="s">
        <v>31</v>
      </c>
      <c r="H25" s="39">
        <f t="shared" si="16"/>
        <v>46122</v>
      </c>
      <c r="I25" s="40">
        <v>11</v>
      </c>
      <c r="J25" s="39">
        <f t="shared" si="17"/>
        <v>46133</v>
      </c>
      <c r="K25" s="41"/>
      <c r="L25" s="65" t="s">
        <v>31</v>
      </c>
      <c r="M25" s="66">
        <f t="shared" si="10"/>
        <v>46173</v>
      </c>
      <c r="N25" s="67">
        <v>13</v>
      </c>
      <c r="O25" s="68">
        <f t="shared" si="11"/>
        <v>46186</v>
      </c>
      <c r="P25" s="34"/>
      <c r="Q25" s="38" t="s">
        <v>31</v>
      </c>
      <c r="R25" s="59">
        <f t="shared" si="12"/>
        <v>46179</v>
      </c>
      <c r="S25" s="56">
        <v>12</v>
      </c>
      <c r="T25" s="60">
        <f t="shared" si="13"/>
        <v>46191</v>
      </c>
      <c r="U25" s="34"/>
      <c r="V25" s="38" t="s">
        <v>31</v>
      </c>
      <c r="W25" s="58">
        <f t="shared" si="6"/>
        <v>46209</v>
      </c>
      <c r="X25" s="56">
        <v>12</v>
      </c>
      <c r="Y25" s="55">
        <f t="shared" si="14"/>
        <v>46221</v>
      </c>
      <c r="Z25" s="34"/>
      <c r="AA25" s="38" t="s">
        <v>31</v>
      </c>
      <c r="AB25" s="58">
        <f t="shared" si="7"/>
        <v>46197</v>
      </c>
      <c r="AC25" s="56">
        <f t="shared" si="18"/>
        <v>12</v>
      </c>
      <c r="AD25" s="55">
        <f t="shared" si="15"/>
        <v>46209</v>
      </c>
    </row>
    <row r="26" spans="2:30" s="15" customFormat="1" ht="22" thickBot="1" x14ac:dyDescent="0.95">
      <c r="B26" s="61" t="s">
        <v>32</v>
      </c>
      <c r="C26" s="31">
        <f t="shared" si="8"/>
        <v>46152</v>
      </c>
      <c r="D26" s="32">
        <v>18</v>
      </c>
      <c r="E26" s="33">
        <f t="shared" si="9"/>
        <v>46170</v>
      </c>
      <c r="F26" s="42"/>
      <c r="G26" s="38" t="s">
        <v>32</v>
      </c>
      <c r="H26" s="39">
        <f t="shared" si="16"/>
        <v>46133</v>
      </c>
      <c r="I26" s="40">
        <v>16</v>
      </c>
      <c r="J26" s="39">
        <f t="shared" si="17"/>
        <v>46149</v>
      </c>
      <c r="K26" s="43"/>
      <c r="L26" s="61" t="s">
        <v>32</v>
      </c>
      <c r="M26" s="69">
        <f t="shared" si="10"/>
        <v>46186</v>
      </c>
      <c r="N26" s="63">
        <v>12</v>
      </c>
      <c r="O26" s="62">
        <f t="shared" si="11"/>
        <v>46198</v>
      </c>
      <c r="P26" s="42"/>
      <c r="Q26" s="61" t="s">
        <v>32</v>
      </c>
      <c r="R26" s="70">
        <f t="shared" si="12"/>
        <v>46191</v>
      </c>
      <c r="S26" s="63">
        <f t="shared" ref="S26:S49" si="19">N26</f>
        <v>12</v>
      </c>
      <c r="T26" s="71">
        <f t="shared" si="13"/>
        <v>46203</v>
      </c>
      <c r="U26" s="42"/>
      <c r="V26" s="72" t="s">
        <v>32</v>
      </c>
      <c r="W26" s="69">
        <f t="shared" si="6"/>
        <v>46221</v>
      </c>
      <c r="X26" s="63">
        <f t="shared" ref="X26" si="20">S26</f>
        <v>12</v>
      </c>
      <c r="Y26" s="62">
        <f t="shared" si="14"/>
        <v>46233</v>
      </c>
      <c r="Z26" s="42"/>
      <c r="AA26" s="61" t="s">
        <v>32</v>
      </c>
      <c r="AB26" s="69">
        <f t="shared" si="7"/>
        <v>46209</v>
      </c>
      <c r="AC26" s="63">
        <f t="shared" si="18"/>
        <v>12</v>
      </c>
      <c r="AD26" s="64">
        <f t="shared" si="15"/>
        <v>46221</v>
      </c>
    </row>
    <row r="27" spans="2:30" s="15" customFormat="1" ht="22" thickBot="1" x14ac:dyDescent="0.95">
      <c r="B27" s="65" t="s">
        <v>33</v>
      </c>
      <c r="C27" s="66">
        <f t="shared" si="8"/>
        <v>46170</v>
      </c>
      <c r="D27" s="67">
        <v>13</v>
      </c>
      <c r="E27" s="68">
        <f t="shared" si="9"/>
        <v>46183</v>
      </c>
      <c r="F27" s="34"/>
      <c r="G27" s="38" t="s">
        <v>33</v>
      </c>
      <c r="H27" s="39">
        <f t="shared" si="16"/>
        <v>46149</v>
      </c>
      <c r="I27" s="40">
        <v>17</v>
      </c>
      <c r="J27" s="39">
        <f t="shared" si="17"/>
        <v>46166</v>
      </c>
      <c r="K27" s="44"/>
      <c r="L27" s="73" t="s">
        <v>33</v>
      </c>
      <c r="M27" s="77">
        <f t="shared" si="10"/>
        <v>46198</v>
      </c>
      <c r="N27" s="75">
        <v>12</v>
      </c>
      <c r="O27" s="74">
        <f t="shared" si="11"/>
        <v>46210</v>
      </c>
      <c r="P27" s="34"/>
      <c r="Q27" s="73" t="s">
        <v>33</v>
      </c>
      <c r="R27" s="78">
        <f t="shared" si="12"/>
        <v>46203</v>
      </c>
      <c r="S27" s="75">
        <f t="shared" si="19"/>
        <v>12</v>
      </c>
      <c r="T27" s="79">
        <f t="shared" si="13"/>
        <v>46215</v>
      </c>
      <c r="U27" s="34"/>
      <c r="V27" s="80" t="s">
        <v>33</v>
      </c>
      <c r="W27" s="77">
        <f t="shared" si="6"/>
        <v>46233</v>
      </c>
      <c r="X27" s="75">
        <v>12</v>
      </c>
      <c r="Y27" s="74">
        <f t="shared" si="14"/>
        <v>46245</v>
      </c>
      <c r="Z27" s="34"/>
      <c r="AA27" s="73" t="s">
        <v>33</v>
      </c>
      <c r="AB27" s="77">
        <f t="shared" si="7"/>
        <v>46221</v>
      </c>
      <c r="AC27" s="75">
        <f t="shared" si="18"/>
        <v>12</v>
      </c>
      <c r="AD27" s="74">
        <f t="shared" si="15"/>
        <v>46233</v>
      </c>
    </row>
    <row r="28" spans="2:30" s="15" customFormat="1" ht="22" thickBot="1" x14ac:dyDescent="0.95">
      <c r="B28" s="35" t="s">
        <v>34</v>
      </c>
      <c r="C28" s="51">
        <f t="shared" si="8"/>
        <v>46183</v>
      </c>
      <c r="D28" s="50">
        <v>13</v>
      </c>
      <c r="E28" s="81">
        <f t="shared" si="9"/>
        <v>46196</v>
      </c>
      <c r="F28" s="34"/>
      <c r="G28" s="65" t="s">
        <v>34</v>
      </c>
      <c r="H28" s="66">
        <f t="shared" si="16"/>
        <v>46166</v>
      </c>
      <c r="I28" s="67">
        <f t="shared" ref="I28:I50" si="21">D28</f>
        <v>13</v>
      </c>
      <c r="J28" s="68">
        <f t="shared" si="17"/>
        <v>46179</v>
      </c>
      <c r="K28" s="37"/>
      <c r="L28" s="35" t="s">
        <v>34</v>
      </c>
      <c r="M28" s="49">
        <f t="shared" si="10"/>
        <v>46210</v>
      </c>
      <c r="N28" s="50">
        <v>12</v>
      </c>
      <c r="O28" s="51">
        <f t="shared" si="11"/>
        <v>46222</v>
      </c>
      <c r="P28" s="34"/>
      <c r="Q28" s="35" t="s">
        <v>34</v>
      </c>
      <c r="R28" s="52">
        <f t="shared" si="12"/>
        <v>46215</v>
      </c>
      <c r="S28" s="50">
        <f t="shared" si="19"/>
        <v>12</v>
      </c>
      <c r="T28" s="53">
        <f t="shared" si="13"/>
        <v>46227</v>
      </c>
      <c r="U28" s="34"/>
      <c r="V28" s="82" t="s">
        <v>34</v>
      </c>
      <c r="W28" s="49">
        <f t="shared" si="6"/>
        <v>46245</v>
      </c>
      <c r="X28" s="50">
        <v>12</v>
      </c>
      <c r="Y28" s="51">
        <f t="shared" si="14"/>
        <v>46257</v>
      </c>
      <c r="Z28" s="34"/>
      <c r="AA28" s="35" t="s">
        <v>34</v>
      </c>
      <c r="AB28" s="49">
        <f t="shared" si="7"/>
        <v>46233</v>
      </c>
      <c r="AC28" s="50">
        <f t="shared" si="18"/>
        <v>12</v>
      </c>
      <c r="AD28" s="51">
        <f t="shared" si="15"/>
        <v>46245</v>
      </c>
    </row>
    <row r="29" spans="2:30" s="15" customFormat="1" x14ac:dyDescent="0.9">
      <c r="B29" s="35" t="s">
        <v>35</v>
      </c>
      <c r="C29" s="51">
        <f t="shared" si="8"/>
        <v>46196</v>
      </c>
      <c r="D29" s="50">
        <v>14</v>
      </c>
      <c r="E29" s="81">
        <f t="shared" si="9"/>
        <v>46210</v>
      </c>
      <c r="F29" s="34"/>
      <c r="G29" s="35" t="s">
        <v>35</v>
      </c>
      <c r="H29" s="51">
        <f t="shared" si="16"/>
        <v>46179</v>
      </c>
      <c r="I29" s="50">
        <f t="shared" si="21"/>
        <v>14</v>
      </c>
      <c r="J29" s="51">
        <f t="shared" si="17"/>
        <v>46193</v>
      </c>
      <c r="K29" s="37"/>
      <c r="L29" s="35" t="s">
        <v>35</v>
      </c>
      <c r="M29" s="49">
        <f t="shared" si="10"/>
        <v>46222</v>
      </c>
      <c r="N29" s="50">
        <v>14</v>
      </c>
      <c r="O29" s="51">
        <f t="shared" si="11"/>
        <v>46236</v>
      </c>
      <c r="P29" s="34"/>
      <c r="Q29" s="35" t="s">
        <v>35</v>
      </c>
      <c r="R29" s="52">
        <f t="shared" si="12"/>
        <v>46227</v>
      </c>
      <c r="S29" s="50">
        <v>12</v>
      </c>
      <c r="T29" s="53">
        <f t="shared" si="13"/>
        <v>46239</v>
      </c>
      <c r="U29" s="34"/>
      <c r="V29" s="82" t="s">
        <v>35</v>
      </c>
      <c r="W29" s="49">
        <f t="shared" si="6"/>
        <v>46257</v>
      </c>
      <c r="X29" s="50">
        <v>12</v>
      </c>
      <c r="Y29" s="51">
        <f t="shared" si="14"/>
        <v>46269</v>
      </c>
      <c r="Z29" s="34"/>
      <c r="AA29" s="35" t="s">
        <v>35</v>
      </c>
      <c r="AB29" s="49">
        <f t="shared" si="7"/>
        <v>46245</v>
      </c>
      <c r="AC29" s="50">
        <f t="shared" si="18"/>
        <v>12</v>
      </c>
      <c r="AD29" s="51">
        <f t="shared" si="15"/>
        <v>46257</v>
      </c>
    </row>
    <row r="30" spans="2:30" s="15" customFormat="1" x14ac:dyDescent="0.9">
      <c r="B30" s="35" t="s">
        <v>36</v>
      </c>
      <c r="C30" s="51">
        <f t="shared" si="8"/>
        <v>46210</v>
      </c>
      <c r="D30" s="50">
        <v>13</v>
      </c>
      <c r="E30" s="81">
        <f t="shared" si="9"/>
        <v>46223</v>
      </c>
      <c r="F30" s="34"/>
      <c r="G30" s="35" t="s">
        <v>36</v>
      </c>
      <c r="H30" s="51">
        <f t="shared" si="16"/>
        <v>46193</v>
      </c>
      <c r="I30" s="50">
        <f t="shared" si="21"/>
        <v>13</v>
      </c>
      <c r="J30" s="51">
        <f t="shared" si="17"/>
        <v>46206</v>
      </c>
      <c r="K30" s="37"/>
      <c r="L30" s="35" t="s">
        <v>36</v>
      </c>
      <c r="M30" s="49">
        <f t="shared" si="10"/>
        <v>46236</v>
      </c>
      <c r="N30" s="50">
        <v>12</v>
      </c>
      <c r="O30" s="51">
        <f t="shared" si="11"/>
        <v>46248</v>
      </c>
      <c r="P30" s="34"/>
      <c r="Q30" s="35" t="s">
        <v>36</v>
      </c>
      <c r="R30" s="52">
        <f t="shared" si="12"/>
        <v>46239</v>
      </c>
      <c r="S30" s="50">
        <f t="shared" si="19"/>
        <v>12</v>
      </c>
      <c r="T30" s="53">
        <f t="shared" si="13"/>
        <v>46251</v>
      </c>
      <c r="U30" s="34"/>
      <c r="V30" s="82" t="s">
        <v>36</v>
      </c>
      <c r="W30" s="49">
        <f t="shared" si="6"/>
        <v>46269</v>
      </c>
      <c r="X30" s="50">
        <v>12</v>
      </c>
      <c r="Y30" s="51">
        <f t="shared" si="14"/>
        <v>46281</v>
      </c>
      <c r="Z30" s="34"/>
      <c r="AA30" s="35" t="s">
        <v>36</v>
      </c>
      <c r="AB30" s="49">
        <f t="shared" si="7"/>
        <v>46257</v>
      </c>
      <c r="AC30" s="50">
        <f t="shared" si="18"/>
        <v>12</v>
      </c>
      <c r="AD30" s="51">
        <f t="shared" si="15"/>
        <v>46269</v>
      </c>
    </row>
    <row r="31" spans="2:30" s="15" customFormat="1" x14ac:dyDescent="0.9">
      <c r="B31" s="35" t="s">
        <v>37</v>
      </c>
      <c r="C31" s="51">
        <f t="shared" si="8"/>
        <v>46223</v>
      </c>
      <c r="D31" s="50">
        <v>13</v>
      </c>
      <c r="E31" s="81">
        <f t="shared" si="9"/>
        <v>46236</v>
      </c>
      <c r="F31" s="34"/>
      <c r="G31" s="35" t="s">
        <v>37</v>
      </c>
      <c r="H31" s="51">
        <f t="shared" si="16"/>
        <v>46206</v>
      </c>
      <c r="I31" s="50">
        <v>14</v>
      </c>
      <c r="J31" s="51">
        <f t="shared" si="17"/>
        <v>46220</v>
      </c>
      <c r="K31" s="37"/>
      <c r="L31" s="35" t="s">
        <v>37</v>
      </c>
      <c r="M31" s="49">
        <f t="shared" si="10"/>
        <v>46248</v>
      </c>
      <c r="N31" s="50">
        <v>12</v>
      </c>
      <c r="O31" s="51">
        <f t="shared" si="11"/>
        <v>46260</v>
      </c>
      <c r="P31" s="34"/>
      <c r="Q31" s="35" t="s">
        <v>37</v>
      </c>
      <c r="R31" s="52">
        <f t="shared" si="12"/>
        <v>46251</v>
      </c>
      <c r="S31" s="50">
        <f t="shared" si="19"/>
        <v>12</v>
      </c>
      <c r="T31" s="53">
        <f t="shared" si="13"/>
        <v>46263</v>
      </c>
      <c r="U31" s="34"/>
      <c r="V31" s="82" t="s">
        <v>37</v>
      </c>
      <c r="W31" s="49">
        <f t="shared" si="6"/>
        <v>46281</v>
      </c>
      <c r="X31" s="50">
        <v>12</v>
      </c>
      <c r="Y31" s="51">
        <f t="shared" si="14"/>
        <v>46293</v>
      </c>
      <c r="Z31" s="34"/>
      <c r="AA31" s="35" t="s">
        <v>37</v>
      </c>
      <c r="AB31" s="49">
        <f t="shared" si="7"/>
        <v>46269</v>
      </c>
      <c r="AC31" s="50">
        <f t="shared" si="18"/>
        <v>12</v>
      </c>
      <c r="AD31" s="51">
        <f t="shared" si="15"/>
        <v>46281</v>
      </c>
    </row>
    <row r="32" spans="2:30" s="15" customFormat="1" x14ac:dyDescent="0.9">
      <c r="B32" s="35" t="s">
        <v>38</v>
      </c>
      <c r="C32" s="51">
        <f t="shared" si="8"/>
        <v>46236</v>
      </c>
      <c r="D32" s="50">
        <v>13</v>
      </c>
      <c r="E32" s="81">
        <f t="shared" si="9"/>
        <v>46249</v>
      </c>
      <c r="F32" s="34"/>
      <c r="G32" s="35" t="s">
        <v>38</v>
      </c>
      <c r="H32" s="51">
        <f t="shared" si="16"/>
        <v>46220</v>
      </c>
      <c r="I32" s="50">
        <v>14</v>
      </c>
      <c r="J32" s="51">
        <f t="shared" si="17"/>
        <v>46234</v>
      </c>
      <c r="K32" s="37"/>
      <c r="L32" s="35" t="s">
        <v>38</v>
      </c>
      <c r="M32" s="49">
        <f t="shared" si="10"/>
        <v>46260</v>
      </c>
      <c r="N32" s="50">
        <v>12</v>
      </c>
      <c r="O32" s="51">
        <f t="shared" si="11"/>
        <v>46272</v>
      </c>
      <c r="P32" s="34"/>
      <c r="Q32" s="35" t="s">
        <v>38</v>
      </c>
      <c r="R32" s="49">
        <f t="shared" si="12"/>
        <v>46263</v>
      </c>
      <c r="S32" s="50">
        <f t="shared" si="19"/>
        <v>12</v>
      </c>
      <c r="T32" s="51">
        <f t="shared" si="13"/>
        <v>46275</v>
      </c>
      <c r="U32" s="34"/>
      <c r="V32" s="82" t="s">
        <v>38</v>
      </c>
      <c r="W32" s="49">
        <f t="shared" si="6"/>
        <v>46293</v>
      </c>
      <c r="X32" s="50">
        <v>11</v>
      </c>
      <c r="Y32" s="51">
        <f t="shared" si="14"/>
        <v>46304</v>
      </c>
      <c r="Z32" s="34"/>
      <c r="AA32" s="35" t="s">
        <v>38</v>
      </c>
      <c r="AB32" s="49">
        <f t="shared" si="7"/>
        <v>46281</v>
      </c>
      <c r="AC32" s="50">
        <v>12</v>
      </c>
      <c r="AD32" s="51">
        <f t="shared" si="15"/>
        <v>46293</v>
      </c>
    </row>
    <row r="33" spans="2:30" s="15" customFormat="1" x14ac:dyDescent="0.9">
      <c r="B33" s="35" t="s">
        <v>39</v>
      </c>
      <c r="C33" s="51">
        <f t="shared" si="8"/>
        <v>46249</v>
      </c>
      <c r="D33" s="50">
        <v>13</v>
      </c>
      <c r="E33" s="81">
        <f t="shared" si="9"/>
        <v>46262</v>
      </c>
      <c r="F33" s="34"/>
      <c r="G33" s="35" t="s">
        <v>39</v>
      </c>
      <c r="H33" s="51">
        <f t="shared" si="16"/>
        <v>46234</v>
      </c>
      <c r="I33" s="50">
        <v>14</v>
      </c>
      <c r="J33" s="51">
        <f t="shared" si="17"/>
        <v>46248</v>
      </c>
      <c r="K33" s="37"/>
      <c r="L33" s="35" t="s">
        <v>39</v>
      </c>
      <c r="M33" s="49">
        <f t="shared" si="10"/>
        <v>46272</v>
      </c>
      <c r="N33" s="50">
        <v>12</v>
      </c>
      <c r="O33" s="51">
        <f t="shared" si="11"/>
        <v>46284</v>
      </c>
      <c r="P33" s="34"/>
      <c r="Q33" s="35" t="s">
        <v>39</v>
      </c>
      <c r="R33" s="49">
        <f t="shared" si="12"/>
        <v>46275</v>
      </c>
      <c r="S33" s="50">
        <v>12</v>
      </c>
      <c r="T33" s="51">
        <f t="shared" si="13"/>
        <v>46287</v>
      </c>
      <c r="U33" s="34"/>
      <c r="V33" s="82" t="s">
        <v>39</v>
      </c>
      <c r="W33" s="49">
        <f t="shared" si="6"/>
        <v>46304</v>
      </c>
      <c r="X33" s="50">
        <v>11</v>
      </c>
      <c r="Y33" s="51">
        <f t="shared" si="14"/>
        <v>46315</v>
      </c>
      <c r="Z33" s="34"/>
      <c r="AA33" s="35" t="s">
        <v>39</v>
      </c>
      <c r="AB33" s="49">
        <f t="shared" si="7"/>
        <v>46293</v>
      </c>
      <c r="AC33" s="50">
        <v>12</v>
      </c>
      <c r="AD33" s="51">
        <f t="shared" si="15"/>
        <v>46305</v>
      </c>
    </row>
    <row r="34" spans="2:30" s="15" customFormat="1" x14ac:dyDescent="0.9">
      <c r="B34" s="35" t="s">
        <v>40</v>
      </c>
      <c r="C34" s="51">
        <f t="shared" si="8"/>
        <v>46262</v>
      </c>
      <c r="D34" s="50">
        <v>13</v>
      </c>
      <c r="E34" s="81">
        <f t="shared" si="9"/>
        <v>46275</v>
      </c>
      <c r="F34" s="34"/>
      <c r="G34" s="35" t="s">
        <v>40</v>
      </c>
      <c r="H34" s="51">
        <f t="shared" si="16"/>
        <v>46248</v>
      </c>
      <c r="I34" s="50">
        <v>14</v>
      </c>
      <c r="J34" s="51">
        <f t="shared" si="17"/>
        <v>46262</v>
      </c>
      <c r="K34" s="37"/>
      <c r="L34" s="35" t="s">
        <v>40</v>
      </c>
      <c r="M34" s="49">
        <f t="shared" si="10"/>
        <v>46284</v>
      </c>
      <c r="N34" s="50">
        <v>12</v>
      </c>
      <c r="O34" s="51">
        <f t="shared" si="11"/>
        <v>46296</v>
      </c>
      <c r="P34" s="34"/>
      <c r="Q34" s="35" t="s">
        <v>40</v>
      </c>
      <c r="R34" s="49">
        <f t="shared" si="12"/>
        <v>46287</v>
      </c>
      <c r="S34" s="50">
        <v>12</v>
      </c>
      <c r="T34" s="51">
        <f t="shared" si="13"/>
        <v>46299</v>
      </c>
      <c r="U34" s="34"/>
      <c r="V34" s="82" t="s">
        <v>40</v>
      </c>
      <c r="W34" s="49">
        <f t="shared" si="6"/>
        <v>46315</v>
      </c>
      <c r="X34" s="50">
        <v>11</v>
      </c>
      <c r="Y34" s="51">
        <f t="shared" si="14"/>
        <v>46326</v>
      </c>
      <c r="Z34" s="34"/>
      <c r="AA34" s="35" t="s">
        <v>40</v>
      </c>
      <c r="AB34" s="49">
        <f t="shared" si="7"/>
        <v>46305</v>
      </c>
      <c r="AC34" s="50">
        <f t="shared" si="18"/>
        <v>11</v>
      </c>
      <c r="AD34" s="51">
        <f t="shared" si="15"/>
        <v>46316</v>
      </c>
    </row>
    <row r="35" spans="2:30" s="15" customFormat="1" ht="22" thickBot="1" x14ac:dyDescent="0.95">
      <c r="B35" s="38" t="s">
        <v>41</v>
      </c>
      <c r="C35" s="55">
        <f t="shared" si="8"/>
        <v>46275</v>
      </c>
      <c r="D35" s="56">
        <v>13</v>
      </c>
      <c r="E35" s="57">
        <f t="shared" si="9"/>
        <v>46288</v>
      </c>
      <c r="F35" s="34"/>
      <c r="G35" s="38" t="s">
        <v>41</v>
      </c>
      <c r="H35" s="55">
        <f t="shared" si="16"/>
        <v>46262</v>
      </c>
      <c r="I35" s="56">
        <v>14</v>
      </c>
      <c r="J35" s="55">
        <f t="shared" si="17"/>
        <v>46276</v>
      </c>
      <c r="K35" s="41"/>
      <c r="L35" s="38" t="s">
        <v>41</v>
      </c>
      <c r="M35" s="58">
        <f t="shared" si="10"/>
        <v>46296</v>
      </c>
      <c r="N35" s="56">
        <v>12</v>
      </c>
      <c r="O35" s="55">
        <f t="shared" si="11"/>
        <v>46308</v>
      </c>
      <c r="P35" s="34"/>
      <c r="Q35" s="38" t="s">
        <v>41</v>
      </c>
      <c r="R35" s="58">
        <f t="shared" si="12"/>
        <v>46299</v>
      </c>
      <c r="S35" s="56">
        <v>12</v>
      </c>
      <c r="T35" s="55">
        <f t="shared" si="13"/>
        <v>46311</v>
      </c>
      <c r="U35" s="34"/>
      <c r="V35" s="83" t="s">
        <v>41</v>
      </c>
      <c r="W35" s="58">
        <f t="shared" si="6"/>
        <v>46326</v>
      </c>
      <c r="X35" s="56">
        <v>11</v>
      </c>
      <c r="Y35" s="55">
        <f t="shared" si="14"/>
        <v>46337</v>
      </c>
      <c r="Z35" s="34"/>
      <c r="AA35" s="38" t="s">
        <v>41</v>
      </c>
      <c r="AB35" s="58">
        <f t="shared" si="7"/>
        <v>46316</v>
      </c>
      <c r="AC35" s="56">
        <f t="shared" si="18"/>
        <v>11</v>
      </c>
      <c r="AD35" s="55">
        <f t="shared" si="15"/>
        <v>46327</v>
      </c>
    </row>
    <row r="36" spans="2:30" s="15" customFormat="1" ht="22" thickBot="1" x14ac:dyDescent="0.95">
      <c r="B36" s="61" t="s">
        <v>42</v>
      </c>
      <c r="C36" s="62">
        <f t="shared" si="8"/>
        <v>46288</v>
      </c>
      <c r="D36" s="63">
        <v>13</v>
      </c>
      <c r="E36" s="64">
        <f t="shared" si="9"/>
        <v>46301</v>
      </c>
      <c r="F36" s="42"/>
      <c r="G36" s="61" t="s">
        <v>42</v>
      </c>
      <c r="H36" s="62">
        <f t="shared" si="16"/>
        <v>46276</v>
      </c>
      <c r="I36" s="63">
        <v>14</v>
      </c>
      <c r="J36" s="64">
        <f t="shared" si="17"/>
        <v>46290</v>
      </c>
      <c r="K36" s="84"/>
      <c r="L36" s="61" t="s">
        <v>42</v>
      </c>
      <c r="M36" s="69">
        <f t="shared" si="10"/>
        <v>46308</v>
      </c>
      <c r="N36" s="63">
        <v>12</v>
      </c>
      <c r="O36" s="62">
        <f t="shared" si="11"/>
        <v>46320</v>
      </c>
      <c r="P36" s="42"/>
      <c r="Q36" s="61" t="s">
        <v>42</v>
      </c>
      <c r="R36" s="69">
        <f t="shared" si="12"/>
        <v>46311</v>
      </c>
      <c r="S36" s="63">
        <v>12</v>
      </c>
      <c r="T36" s="62">
        <f t="shared" si="13"/>
        <v>46323</v>
      </c>
      <c r="U36" s="42"/>
      <c r="V36" s="72" t="s">
        <v>42</v>
      </c>
      <c r="W36" s="69">
        <f t="shared" si="6"/>
        <v>46337</v>
      </c>
      <c r="X36" s="63">
        <v>12</v>
      </c>
      <c r="Y36" s="62">
        <f t="shared" si="14"/>
        <v>46349</v>
      </c>
      <c r="Z36" s="42"/>
      <c r="AA36" s="61" t="s">
        <v>42</v>
      </c>
      <c r="AB36" s="69">
        <f t="shared" si="7"/>
        <v>46327</v>
      </c>
      <c r="AC36" s="63">
        <f t="shared" si="18"/>
        <v>12</v>
      </c>
      <c r="AD36" s="64">
        <f t="shared" si="15"/>
        <v>46339</v>
      </c>
    </row>
    <row r="37" spans="2:30" s="15" customFormat="1" x14ac:dyDescent="0.9">
      <c r="B37" s="73" t="s">
        <v>43</v>
      </c>
      <c r="C37" s="74">
        <f t="shared" si="8"/>
        <v>46301</v>
      </c>
      <c r="D37" s="75">
        <v>13</v>
      </c>
      <c r="E37" s="76">
        <f t="shared" si="9"/>
        <v>46314</v>
      </c>
      <c r="F37" s="34"/>
      <c r="G37" s="73" t="s">
        <v>43</v>
      </c>
      <c r="H37" s="74">
        <f t="shared" si="16"/>
        <v>46290</v>
      </c>
      <c r="I37" s="75">
        <v>14</v>
      </c>
      <c r="J37" s="74">
        <f t="shared" si="17"/>
        <v>46304</v>
      </c>
      <c r="K37" s="44"/>
      <c r="L37" s="73" t="s">
        <v>43</v>
      </c>
      <c r="M37" s="77">
        <f t="shared" si="10"/>
        <v>46320</v>
      </c>
      <c r="N37" s="75">
        <v>12</v>
      </c>
      <c r="O37" s="74">
        <f t="shared" si="11"/>
        <v>46332</v>
      </c>
      <c r="P37" s="34"/>
      <c r="Q37" s="73" t="s">
        <v>43</v>
      </c>
      <c r="R37" s="77">
        <f t="shared" si="12"/>
        <v>46323</v>
      </c>
      <c r="S37" s="75">
        <v>12</v>
      </c>
      <c r="T37" s="74">
        <f t="shared" si="13"/>
        <v>46335</v>
      </c>
      <c r="U37" s="34"/>
      <c r="V37" s="80" t="s">
        <v>43</v>
      </c>
      <c r="W37" s="77">
        <f t="shared" si="6"/>
        <v>46349</v>
      </c>
      <c r="X37" s="75">
        <v>11</v>
      </c>
      <c r="Y37" s="74">
        <f t="shared" si="14"/>
        <v>46360</v>
      </c>
      <c r="Z37" s="34"/>
      <c r="AA37" s="73" t="s">
        <v>43</v>
      </c>
      <c r="AB37" s="77">
        <f t="shared" si="7"/>
        <v>46339</v>
      </c>
      <c r="AC37" s="75">
        <f t="shared" si="18"/>
        <v>11</v>
      </c>
      <c r="AD37" s="74">
        <f t="shared" si="15"/>
        <v>46350</v>
      </c>
    </row>
    <row r="38" spans="2:30" s="15" customFormat="1" x14ac:dyDescent="0.9">
      <c r="B38" s="35" t="s">
        <v>44</v>
      </c>
      <c r="C38" s="51">
        <f t="shared" si="8"/>
        <v>46314</v>
      </c>
      <c r="D38" s="50">
        <v>15</v>
      </c>
      <c r="E38" s="81">
        <f t="shared" si="9"/>
        <v>46329</v>
      </c>
      <c r="F38" s="34"/>
      <c r="G38" s="35" t="s">
        <v>44</v>
      </c>
      <c r="H38" s="51">
        <f t="shared" si="16"/>
        <v>46304</v>
      </c>
      <c r="I38" s="50">
        <f t="shared" si="21"/>
        <v>15</v>
      </c>
      <c r="J38" s="51">
        <f t="shared" si="17"/>
        <v>46319</v>
      </c>
      <c r="K38" s="37"/>
      <c r="L38" s="35" t="s">
        <v>44</v>
      </c>
      <c r="M38" s="49">
        <f t="shared" si="10"/>
        <v>46332</v>
      </c>
      <c r="N38" s="50">
        <v>13</v>
      </c>
      <c r="O38" s="51">
        <f t="shared" si="11"/>
        <v>46345</v>
      </c>
      <c r="P38" s="34"/>
      <c r="Q38" s="35" t="s">
        <v>44</v>
      </c>
      <c r="R38" s="49">
        <f t="shared" si="12"/>
        <v>46335</v>
      </c>
      <c r="S38" s="50">
        <v>12</v>
      </c>
      <c r="T38" s="51">
        <f t="shared" si="13"/>
        <v>46347</v>
      </c>
      <c r="U38" s="34"/>
      <c r="V38" s="82" t="s">
        <v>44</v>
      </c>
      <c r="W38" s="49">
        <f t="shared" si="6"/>
        <v>46360</v>
      </c>
      <c r="X38" s="50">
        <v>11</v>
      </c>
      <c r="Y38" s="51">
        <f t="shared" si="14"/>
        <v>46371</v>
      </c>
      <c r="Z38" s="34"/>
      <c r="AA38" s="35" t="s">
        <v>44</v>
      </c>
      <c r="AB38" s="49">
        <f t="shared" si="7"/>
        <v>46350</v>
      </c>
      <c r="AC38" s="50">
        <f t="shared" si="18"/>
        <v>11</v>
      </c>
      <c r="AD38" s="51">
        <f t="shared" si="15"/>
        <v>46361</v>
      </c>
    </row>
    <row r="39" spans="2:30" s="15" customFormat="1" x14ac:dyDescent="0.9">
      <c r="B39" s="35" t="s">
        <v>45</v>
      </c>
      <c r="C39" s="51">
        <f t="shared" si="8"/>
        <v>46329</v>
      </c>
      <c r="D39" s="50">
        <v>13</v>
      </c>
      <c r="E39" s="81">
        <f t="shared" si="9"/>
        <v>46342</v>
      </c>
      <c r="F39" s="34"/>
      <c r="G39" s="35" t="s">
        <v>45</v>
      </c>
      <c r="H39" s="51">
        <f t="shared" si="16"/>
        <v>46319</v>
      </c>
      <c r="I39" s="50">
        <v>14</v>
      </c>
      <c r="J39" s="51">
        <f t="shared" si="17"/>
        <v>46333</v>
      </c>
      <c r="K39" s="37"/>
      <c r="L39" s="35" t="s">
        <v>45</v>
      </c>
      <c r="M39" s="49">
        <f t="shared" si="10"/>
        <v>46345</v>
      </c>
      <c r="N39" s="50">
        <v>12</v>
      </c>
      <c r="O39" s="51">
        <f t="shared" si="11"/>
        <v>46357</v>
      </c>
      <c r="P39" s="34"/>
      <c r="Q39" s="35" t="s">
        <v>45</v>
      </c>
      <c r="R39" s="49">
        <f t="shared" si="12"/>
        <v>46347</v>
      </c>
      <c r="S39" s="50">
        <v>12</v>
      </c>
      <c r="T39" s="51">
        <f t="shared" si="13"/>
        <v>46359</v>
      </c>
      <c r="U39" s="34"/>
      <c r="V39" s="82" t="s">
        <v>45</v>
      </c>
      <c r="W39" s="49">
        <f t="shared" si="6"/>
        <v>46371</v>
      </c>
      <c r="X39" s="50">
        <v>11</v>
      </c>
      <c r="Y39" s="51">
        <f t="shared" si="14"/>
        <v>46382</v>
      </c>
      <c r="Z39" s="34"/>
      <c r="AA39" s="35" t="s">
        <v>45</v>
      </c>
      <c r="AB39" s="49">
        <f t="shared" si="7"/>
        <v>46361</v>
      </c>
      <c r="AC39" s="50">
        <f t="shared" si="18"/>
        <v>11</v>
      </c>
      <c r="AD39" s="51">
        <f t="shared" si="15"/>
        <v>46372</v>
      </c>
    </row>
    <row r="40" spans="2:30" s="15" customFormat="1" x14ac:dyDescent="0.9">
      <c r="B40" s="35" t="s">
        <v>46</v>
      </c>
      <c r="C40" s="51">
        <f t="shared" si="8"/>
        <v>46342</v>
      </c>
      <c r="D40" s="50">
        <v>12</v>
      </c>
      <c r="E40" s="81">
        <f t="shared" si="9"/>
        <v>46354</v>
      </c>
      <c r="F40" s="34"/>
      <c r="G40" s="35" t="s">
        <v>46</v>
      </c>
      <c r="H40" s="51">
        <f t="shared" si="16"/>
        <v>46333</v>
      </c>
      <c r="I40" s="50">
        <v>13</v>
      </c>
      <c r="J40" s="51">
        <f t="shared" si="17"/>
        <v>46346</v>
      </c>
      <c r="K40" s="37"/>
      <c r="L40" s="35" t="s">
        <v>46</v>
      </c>
      <c r="M40" s="49">
        <f t="shared" si="10"/>
        <v>46357</v>
      </c>
      <c r="N40" s="50">
        <v>12</v>
      </c>
      <c r="O40" s="51">
        <f t="shared" si="11"/>
        <v>46369</v>
      </c>
      <c r="P40" s="34"/>
      <c r="Q40" s="35" t="s">
        <v>46</v>
      </c>
      <c r="R40" s="49">
        <f t="shared" si="12"/>
        <v>46359</v>
      </c>
      <c r="S40" s="50">
        <v>12</v>
      </c>
      <c r="T40" s="51">
        <f t="shared" si="13"/>
        <v>46371</v>
      </c>
      <c r="U40" s="34"/>
      <c r="V40" s="82" t="s">
        <v>46</v>
      </c>
      <c r="W40" s="49">
        <f t="shared" si="6"/>
        <v>46382</v>
      </c>
      <c r="X40" s="50">
        <v>11</v>
      </c>
      <c r="Y40" s="51">
        <f t="shared" si="14"/>
        <v>46393</v>
      </c>
      <c r="Z40" s="34"/>
      <c r="AA40" s="35" t="s">
        <v>46</v>
      </c>
      <c r="AB40" s="49">
        <f t="shared" si="7"/>
        <v>46372</v>
      </c>
      <c r="AC40" s="50">
        <f t="shared" si="18"/>
        <v>11</v>
      </c>
      <c r="AD40" s="51">
        <f t="shared" si="15"/>
        <v>46383</v>
      </c>
    </row>
    <row r="41" spans="2:30" s="15" customFormat="1" x14ac:dyDescent="0.9">
      <c r="B41" s="35" t="s">
        <v>47</v>
      </c>
      <c r="C41" s="51">
        <f t="shared" si="8"/>
        <v>46354</v>
      </c>
      <c r="D41" s="50">
        <v>12</v>
      </c>
      <c r="E41" s="81">
        <f t="shared" si="9"/>
        <v>46366</v>
      </c>
      <c r="F41" s="34"/>
      <c r="G41" s="35" t="s">
        <v>47</v>
      </c>
      <c r="H41" s="51">
        <f t="shared" si="16"/>
        <v>46346</v>
      </c>
      <c r="I41" s="50">
        <v>13</v>
      </c>
      <c r="J41" s="51">
        <f t="shared" si="17"/>
        <v>46359</v>
      </c>
      <c r="K41" s="37"/>
      <c r="L41" s="35" t="s">
        <v>47</v>
      </c>
      <c r="M41" s="49">
        <f t="shared" si="10"/>
        <v>46369</v>
      </c>
      <c r="N41" s="50">
        <v>12</v>
      </c>
      <c r="O41" s="51">
        <f t="shared" si="11"/>
        <v>46381</v>
      </c>
      <c r="P41" s="34"/>
      <c r="Q41" s="35" t="s">
        <v>47</v>
      </c>
      <c r="R41" s="49">
        <f t="shared" si="12"/>
        <v>46371</v>
      </c>
      <c r="S41" s="50">
        <f t="shared" si="19"/>
        <v>12</v>
      </c>
      <c r="T41" s="51">
        <f t="shared" si="13"/>
        <v>46383</v>
      </c>
      <c r="U41" s="34"/>
      <c r="V41" s="82" t="s">
        <v>47</v>
      </c>
      <c r="W41" s="49">
        <f t="shared" si="6"/>
        <v>46393</v>
      </c>
      <c r="X41" s="50">
        <v>11</v>
      </c>
      <c r="Y41" s="51">
        <f t="shared" si="14"/>
        <v>46404</v>
      </c>
      <c r="Z41" s="34"/>
      <c r="AA41" s="35" t="s">
        <v>47</v>
      </c>
      <c r="AB41" s="49">
        <f t="shared" si="7"/>
        <v>46383</v>
      </c>
      <c r="AC41" s="50">
        <f t="shared" si="18"/>
        <v>11</v>
      </c>
      <c r="AD41" s="51">
        <f t="shared" si="15"/>
        <v>46394</v>
      </c>
    </row>
    <row r="42" spans="2:30" s="15" customFormat="1" x14ac:dyDescent="0.9">
      <c r="B42" s="35" t="s">
        <v>48</v>
      </c>
      <c r="C42" s="51">
        <f t="shared" si="8"/>
        <v>46366</v>
      </c>
      <c r="D42" s="50">
        <v>12</v>
      </c>
      <c r="E42" s="81">
        <f t="shared" si="9"/>
        <v>46378</v>
      </c>
      <c r="F42" s="34"/>
      <c r="G42" s="35" t="s">
        <v>48</v>
      </c>
      <c r="H42" s="51">
        <f t="shared" si="16"/>
        <v>46359</v>
      </c>
      <c r="I42" s="50">
        <v>13</v>
      </c>
      <c r="J42" s="51">
        <f t="shared" si="17"/>
        <v>46372</v>
      </c>
      <c r="K42" s="37"/>
      <c r="L42" s="35" t="s">
        <v>48</v>
      </c>
      <c r="M42" s="49">
        <f t="shared" si="10"/>
        <v>46381</v>
      </c>
      <c r="N42" s="50">
        <v>12</v>
      </c>
      <c r="O42" s="51">
        <f t="shared" si="11"/>
        <v>46393</v>
      </c>
      <c r="P42" s="34"/>
      <c r="Q42" s="35" t="s">
        <v>48</v>
      </c>
      <c r="R42" s="49">
        <f t="shared" si="12"/>
        <v>46383</v>
      </c>
      <c r="S42" s="50">
        <f t="shared" si="19"/>
        <v>12</v>
      </c>
      <c r="T42" s="51">
        <f t="shared" si="13"/>
        <v>46395</v>
      </c>
      <c r="U42" s="34"/>
      <c r="V42" s="82" t="s">
        <v>48</v>
      </c>
      <c r="W42" s="49">
        <f t="shared" si="6"/>
        <v>46404</v>
      </c>
      <c r="X42" s="50">
        <v>11</v>
      </c>
      <c r="Y42" s="51">
        <f t="shared" si="14"/>
        <v>46415</v>
      </c>
      <c r="Z42" s="34"/>
      <c r="AA42" s="35" t="s">
        <v>48</v>
      </c>
      <c r="AB42" s="49">
        <f t="shared" si="7"/>
        <v>46394</v>
      </c>
      <c r="AC42" s="50">
        <f t="shared" si="18"/>
        <v>11</v>
      </c>
      <c r="AD42" s="51">
        <f t="shared" si="15"/>
        <v>46405</v>
      </c>
    </row>
    <row r="43" spans="2:30" s="15" customFormat="1" x14ac:dyDescent="0.9">
      <c r="B43" s="35" t="s">
        <v>49</v>
      </c>
      <c r="C43" s="51">
        <f t="shared" si="8"/>
        <v>46378</v>
      </c>
      <c r="D43" s="50">
        <v>12</v>
      </c>
      <c r="E43" s="81">
        <f t="shared" si="9"/>
        <v>46390</v>
      </c>
      <c r="F43" s="34"/>
      <c r="G43" s="35" t="s">
        <v>49</v>
      </c>
      <c r="H43" s="51">
        <f t="shared" si="16"/>
        <v>46372</v>
      </c>
      <c r="I43" s="50">
        <v>13</v>
      </c>
      <c r="J43" s="51">
        <f t="shared" si="17"/>
        <v>46385</v>
      </c>
      <c r="K43" s="37"/>
      <c r="L43" s="35" t="s">
        <v>49</v>
      </c>
      <c r="M43" s="49">
        <f t="shared" si="10"/>
        <v>46393</v>
      </c>
      <c r="N43" s="50">
        <v>12</v>
      </c>
      <c r="O43" s="51">
        <f t="shared" si="11"/>
        <v>46405</v>
      </c>
      <c r="P43" s="34"/>
      <c r="Q43" s="35" t="s">
        <v>49</v>
      </c>
      <c r="R43" s="49">
        <f t="shared" si="12"/>
        <v>46395</v>
      </c>
      <c r="S43" s="50">
        <f t="shared" si="19"/>
        <v>12</v>
      </c>
      <c r="T43" s="51">
        <f t="shared" si="13"/>
        <v>46407</v>
      </c>
      <c r="U43" s="34"/>
      <c r="V43" s="82" t="s">
        <v>49</v>
      </c>
      <c r="W43" s="49">
        <f t="shared" si="6"/>
        <v>46415</v>
      </c>
      <c r="X43" s="50">
        <v>11</v>
      </c>
      <c r="Y43" s="51">
        <f t="shared" si="14"/>
        <v>46426</v>
      </c>
      <c r="Z43" s="34"/>
      <c r="AA43" s="35" t="s">
        <v>49</v>
      </c>
      <c r="AB43" s="49">
        <f t="shared" si="7"/>
        <v>46405</v>
      </c>
      <c r="AC43" s="50">
        <f t="shared" si="18"/>
        <v>11</v>
      </c>
      <c r="AD43" s="51">
        <f t="shared" si="15"/>
        <v>46416</v>
      </c>
    </row>
    <row r="44" spans="2:30" s="15" customFormat="1" x14ac:dyDescent="0.9">
      <c r="B44" s="35" t="s">
        <v>50</v>
      </c>
      <c r="C44" s="51">
        <f t="shared" si="8"/>
        <v>46390</v>
      </c>
      <c r="D44" s="50">
        <v>12</v>
      </c>
      <c r="E44" s="81">
        <f t="shared" si="9"/>
        <v>46402</v>
      </c>
      <c r="F44" s="34"/>
      <c r="G44" s="35" t="s">
        <v>50</v>
      </c>
      <c r="H44" s="51">
        <f t="shared" si="16"/>
        <v>46385</v>
      </c>
      <c r="I44" s="50">
        <v>13</v>
      </c>
      <c r="J44" s="51">
        <f t="shared" si="17"/>
        <v>46398</v>
      </c>
      <c r="K44" s="37"/>
      <c r="L44" s="35" t="s">
        <v>50</v>
      </c>
      <c r="M44" s="49">
        <f t="shared" si="10"/>
        <v>46405</v>
      </c>
      <c r="N44" s="50">
        <v>12</v>
      </c>
      <c r="O44" s="51">
        <f t="shared" si="11"/>
        <v>46417</v>
      </c>
      <c r="P44" s="34"/>
      <c r="Q44" s="35" t="s">
        <v>50</v>
      </c>
      <c r="R44" s="49">
        <f t="shared" si="12"/>
        <v>46407</v>
      </c>
      <c r="S44" s="50">
        <f t="shared" si="19"/>
        <v>12</v>
      </c>
      <c r="T44" s="51">
        <f t="shared" si="13"/>
        <v>46419</v>
      </c>
      <c r="U44" s="34"/>
      <c r="V44" s="82" t="s">
        <v>50</v>
      </c>
      <c r="W44" s="49">
        <f t="shared" si="6"/>
        <v>46426</v>
      </c>
      <c r="X44" s="50">
        <v>11</v>
      </c>
      <c r="Y44" s="51">
        <f t="shared" si="14"/>
        <v>46437</v>
      </c>
      <c r="Z44" s="34"/>
      <c r="AA44" s="35" t="s">
        <v>50</v>
      </c>
      <c r="AB44" s="49">
        <f t="shared" si="7"/>
        <v>46416</v>
      </c>
      <c r="AC44" s="50">
        <f t="shared" si="18"/>
        <v>11</v>
      </c>
      <c r="AD44" s="51">
        <f t="shared" si="15"/>
        <v>46427</v>
      </c>
    </row>
    <row r="45" spans="2:30" s="15" customFormat="1" x14ac:dyDescent="0.9">
      <c r="B45" s="35" t="s">
        <v>51</v>
      </c>
      <c r="C45" s="51">
        <f t="shared" si="8"/>
        <v>46402</v>
      </c>
      <c r="D45" s="50">
        <v>12</v>
      </c>
      <c r="E45" s="81">
        <f t="shared" si="9"/>
        <v>46414</v>
      </c>
      <c r="F45" s="34"/>
      <c r="G45" s="35" t="s">
        <v>51</v>
      </c>
      <c r="H45" s="51">
        <f t="shared" si="16"/>
        <v>46398</v>
      </c>
      <c r="I45" s="50">
        <v>13</v>
      </c>
      <c r="J45" s="51">
        <f t="shared" si="17"/>
        <v>46411</v>
      </c>
      <c r="K45" s="37"/>
      <c r="L45" s="35" t="s">
        <v>51</v>
      </c>
      <c r="M45" s="49">
        <f t="shared" si="10"/>
        <v>46417</v>
      </c>
      <c r="N45" s="50">
        <v>12</v>
      </c>
      <c r="O45" s="51">
        <f t="shared" si="11"/>
        <v>46429</v>
      </c>
      <c r="P45" s="34"/>
      <c r="Q45" s="35" t="s">
        <v>51</v>
      </c>
      <c r="R45" s="49">
        <f t="shared" si="12"/>
        <v>46419</v>
      </c>
      <c r="S45" s="50">
        <f t="shared" si="19"/>
        <v>12</v>
      </c>
      <c r="T45" s="51">
        <f t="shared" si="13"/>
        <v>46431</v>
      </c>
      <c r="U45" s="34"/>
      <c r="V45" s="82" t="s">
        <v>51</v>
      </c>
      <c r="W45" s="49">
        <f t="shared" si="6"/>
        <v>46437</v>
      </c>
      <c r="X45" s="50">
        <v>11</v>
      </c>
      <c r="Y45" s="51">
        <f t="shared" si="14"/>
        <v>46448</v>
      </c>
      <c r="Z45" s="34"/>
      <c r="AA45" s="35" t="s">
        <v>51</v>
      </c>
      <c r="AB45" s="49">
        <f t="shared" si="7"/>
        <v>46427</v>
      </c>
      <c r="AC45" s="50">
        <f t="shared" si="18"/>
        <v>11</v>
      </c>
      <c r="AD45" s="51">
        <f t="shared" si="15"/>
        <v>46438</v>
      </c>
    </row>
    <row r="46" spans="2:30" s="15" customFormat="1" x14ac:dyDescent="0.9">
      <c r="B46" s="35" t="s">
        <v>52</v>
      </c>
      <c r="C46" s="51">
        <f t="shared" si="8"/>
        <v>46414</v>
      </c>
      <c r="D46" s="50">
        <v>12</v>
      </c>
      <c r="E46" s="81">
        <f t="shared" si="9"/>
        <v>46426</v>
      </c>
      <c r="F46" s="34"/>
      <c r="G46" s="35" t="s">
        <v>52</v>
      </c>
      <c r="H46" s="51">
        <f t="shared" si="16"/>
        <v>46411</v>
      </c>
      <c r="I46" s="50">
        <v>13</v>
      </c>
      <c r="J46" s="51">
        <f t="shared" si="17"/>
        <v>46424</v>
      </c>
      <c r="K46" s="37"/>
      <c r="L46" s="35" t="s">
        <v>52</v>
      </c>
      <c r="M46" s="49">
        <f t="shared" si="10"/>
        <v>46429</v>
      </c>
      <c r="N46" s="50">
        <v>12</v>
      </c>
      <c r="O46" s="51">
        <f t="shared" si="11"/>
        <v>46441</v>
      </c>
      <c r="P46" s="34"/>
      <c r="Q46" s="35" t="s">
        <v>52</v>
      </c>
      <c r="R46" s="49">
        <f t="shared" si="12"/>
        <v>46431</v>
      </c>
      <c r="S46" s="50">
        <f t="shared" si="19"/>
        <v>12</v>
      </c>
      <c r="T46" s="51">
        <f t="shared" si="13"/>
        <v>46443</v>
      </c>
      <c r="U46" s="34"/>
      <c r="V46" s="82" t="s">
        <v>52</v>
      </c>
      <c r="W46" s="49">
        <f t="shared" si="6"/>
        <v>46448</v>
      </c>
      <c r="X46" s="50">
        <v>11</v>
      </c>
      <c r="Y46" s="51">
        <f t="shared" si="14"/>
        <v>46459</v>
      </c>
      <c r="Z46" s="34"/>
      <c r="AA46" s="35" t="s">
        <v>52</v>
      </c>
      <c r="AB46" s="49">
        <f t="shared" si="7"/>
        <v>46438</v>
      </c>
      <c r="AC46" s="50">
        <f t="shared" si="18"/>
        <v>11</v>
      </c>
      <c r="AD46" s="51">
        <f t="shared" si="15"/>
        <v>46449</v>
      </c>
    </row>
    <row r="47" spans="2:30" s="15" customFormat="1" x14ac:dyDescent="0.9">
      <c r="B47" s="35" t="s">
        <v>53</v>
      </c>
      <c r="C47" s="51">
        <f t="shared" si="8"/>
        <v>46426</v>
      </c>
      <c r="D47" s="50">
        <v>14</v>
      </c>
      <c r="E47" s="81">
        <f t="shared" si="9"/>
        <v>46440</v>
      </c>
      <c r="F47" s="34"/>
      <c r="G47" s="35" t="s">
        <v>53</v>
      </c>
      <c r="H47" s="51">
        <f t="shared" si="16"/>
        <v>46424</v>
      </c>
      <c r="I47" s="50">
        <v>15</v>
      </c>
      <c r="J47" s="51">
        <f t="shared" si="17"/>
        <v>46439</v>
      </c>
      <c r="K47" s="37"/>
      <c r="L47" s="35" t="s">
        <v>53</v>
      </c>
      <c r="M47" s="49">
        <f t="shared" si="10"/>
        <v>46441</v>
      </c>
      <c r="N47" s="50">
        <v>12</v>
      </c>
      <c r="O47" s="51">
        <f t="shared" si="11"/>
        <v>46453</v>
      </c>
      <c r="P47" s="34"/>
      <c r="Q47" s="35" t="s">
        <v>53</v>
      </c>
      <c r="R47" s="49">
        <f t="shared" si="12"/>
        <v>46443</v>
      </c>
      <c r="S47" s="50">
        <v>11</v>
      </c>
      <c r="T47" s="51">
        <f t="shared" si="13"/>
        <v>46454</v>
      </c>
      <c r="U47" s="34"/>
      <c r="V47" s="82" t="s">
        <v>53</v>
      </c>
      <c r="W47" s="49">
        <f t="shared" si="6"/>
        <v>46459</v>
      </c>
      <c r="X47" s="50">
        <v>11</v>
      </c>
      <c r="Y47" s="51">
        <f t="shared" si="14"/>
        <v>46470</v>
      </c>
      <c r="Z47" s="34"/>
      <c r="AA47" s="35" t="s">
        <v>53</v>
      </c>
      <c r="AB47" s="49">
        <f t="shared" si="7"/>
        <v>46449</v>
      </c>
      <c r="AC47" s="50">
        <f t="shared" si="18"/>
        <v>11</v>
      </c>
      <c r="AD47" s="51">
        <f t="shared" si="15"/>
        <v>46460</v>
      </c>
    </row>
    <row r="48" spans="2:30" s="15" customFormat="1" x14ac:dyDescent="0.9">
      <c r="B48" s="35" t="s">
        <v>54</v>
      </c>
      <c r="C48" s="51">
        <f t="shared" si="8"/>
        <v>46440</v>
      </c>
      <c r="D48" s="50">
        <v>12</v>
      </c>
      <c r="E48" s="81">
        <f t="shared" si="9"/>
        <v>46452</v>
      </c>
      <c r="F48" s="34"/>
      <c r="G48" s="35" t="s">
        <v>54</v>
      </c>
      <c r="H48" s="51">
        <f t="shared" si="16"/>
        <v>46439</v>
      </c>
      <c r="I48" s="50">
        <v>13</v>
      </c>
      <c r="J48" s="51">
        <f t="shared" si="17"/>
        <v>46452</v>
      </c>
      <c r="K48" s="37"/>
      <c r="L48" s="35" t="s">
        <v>54</v>
      </c>
      <c r="M48" s="49">
        <f t="shared" si="10"/>
        <v>46453</v>
      </c>
      <c r="N48" s="50">
        <v>12</v>
      </c>
      <c r="O48" s="51">
        <f t="shared" si="11"/>
        <v>46465</v>
      </c>
      <c r="P48" s="34"/>
      <c r="Q48" s="35" t="s">
        <v>54</v>
      </c>
      <c r="R48" s="49">
        <f t="shared" si="12"/>
        <v>46454</v>
      </c>
      <c r="S48" s="50">
        <v>11</v>
      </c>
      <c r="T48" s="51">
        <f t="shared" si="13"/>
        <v>46465</v>
      </c>
      <c r="U48" s="34"/>
      <c r="V48" s="82" t="s">
        <v>54</v>
      </c>
      <c r="W48" s="49">
        <f t="shared" si="6"/>
        <v>46470</v>
      </c>
      <c r="X48" s="50">
        <v>11</v>
      </c>
      <c r="Y48" s="51">
        <f t="shared" si="14"/>
        <v>46481</v>
      </c>
      <c r="Z48" s="34"/>
      <c r="AA48" s="35" t="s">
        <v>54</v>
      </c>
      <c r="AB48" s="49">
        <f t="shared" si="7"/>
        <v>46460</v>
      </c>
      <c r="AC48" s="50">
        <f t="shared" si="18"/>
        <v>11</v>
      </c>
      <c r="AD48" s="51">
        <f t="shared" si="15"/>
        <v>46471</v>
      </c>
    </row>
    <row r="49" spans="2:30" s="15" customFormat="1" x14ac:dyDescent="0.9">
      <c r="B49" s="35" t="s">
        <v>55</v>
      </c>
      <c r="C49" s="51">
        <f t="shared" si="8"/>
        <v>46452</v>
      </c>
      <c r="D49" s="50">
        <v>12</v>
      </c>
      <c r="E49" s="81">
        <f t="shared" si="9"/>
        <v>46464</v>
      </c>
      <c r="F49" s="34"/>
      <c r="G49" s="35" t="s">
        <v>55</v>
      </c>
      <c r="H49" s="51">
        <f t="shared" si="16"/>
        <v>46452</v>
      </c>
      <c r="I49" s="50">
        <f t="shared" si="21"/>
        <v>12</v>
      </c>
      <c r="J49" s="51">
        <f t="shared" si="17"/>
        <v>46464</v>
      </c>
      <c r="K49" s="37"/>
      <c r="L49" s="54" t="s">
        <v>55</v>
      </c>
      <c r="M49" s="85">
        <f t="shared" si="10"/>
        <v>46465</v>
      </c>
      <c r="N49" s="32">
        <v>12</v>
      </c>
      <c r="O49" s="31">
        <f t="shared" si="11"/>
        <v>46477</v>
      </c>
      <c r="P49" s="34"/>
      <c r="Q49" s="54" t="s">
        <v>55</v>
      </c>
      <c r="R49" s="85">
        <f t="shared" si="12"/>
        <v>46465</v>
      </c>
      <c r="S49" s="32">
        <f t="shared" si="19"/>
        <v>12</v>
      </c>
      <c r="T49" s="31">
        <f t="shared" si="13"/>
        <v>46477</v>
      </c>
      <c r="U49" s="34"/>
      <c r="V49" s="86" t="s">
        <v>55</v>
      </c>
      <c r="W49" s="85">
        <f t="shared" si="6"/>
        <v>46481</v>
      </c>
      <c r="X49" s="32">
        <v>11</v>
      </c>
      <c r="Y49" s="31">
        <f t="shared" si="14"/>
        <v>46492</v>
      </c>
      <c r="Z49" s="34"/>
      <c r="AA49" s="54" t="s">
        <v>55</v>
      </c>
      <c r="AB49" s="85">
        <f t="shared" si="7"/>
        <v>46471</v>
      </c>
      <c r="AC49" s="32">
        <v>13</v>
      </c>
      <c r="AD49" s="31">
        <f t="shared" si="15"/>
        <v>46484</v>
      </c>
    </row>
    <row r="50" spans="2:30" s="15" customFormat="1" x14ac:dyDescent="0.9">
      <c r="B50" s="54" t="s">
        <v>56</v>
      </c>
      <c r="C50" s="31">
        <f t="shared" si="8"/>
        <v>46464</v>
      </c>
      <c r="D50" s="32">
        <v>13</v>
      </c>
      <c r="E50" s="33">
        <f t="shared" si="9"/>
        <v>46477</v>
      </c>
      <c r="F50" s="34"/>
      <c r="G50" s="54" t="s">
        <v>56</v>
      </c>
      <c r="H50" s="31">
        <f t="shared" si="16"/>
        <v>46464</v>
      </c>
      <c r="I50" s="32">
        <f t="shared" si="21"/>
        <v>13</v>
      </c>
      <c r="J50" s="31">
        <f t="shared" si="17"/>
        <v>46477</v>
      </c>
      <c r="K50" s="37"/>
      <c r="L50" s="35" t="s">
        <v>56</v>
      </c>
      <c r="M50" s="49">
        <f t="shared" si="10"/>
        <v>46477</v>
      </c>
      <c r="N50" s="50">
        <v>14</v>
      </c>
      <c r="O50" s="51">
        <f t="shared" si="11"/>
        <v>46491</v>
      </c>
      <c r="P50" s="34"/>
      <c r="Q50" s="35" t="s">
        <v>56</v>
      </c>
      <c r="R50" s="49">
        <f t="shared" si="12"/>
        <v>46477</v>
      </c>
      <c r="S50" s="50">
        <v>14</v>
      </c>
      <c r="T50" s="51">
        <f t="shared" si="13"/>
        <v>46491</v>
      </c>
      <c r="U50" s="34"/>
      <c r="V50" s="82" t="s">
        <v>56</v>
      </c>
      <c r="W50" s="49">
        <f t="shared" si="6"/>
        <v>46492</v>
      </c>
      <c r="X50" s="50">
        <v>24</v>
      </c>
      <c r="Y50" s="51">
        <f t="shared" si="14"/>
        <v>46516</v>
      </c>
      <c r="Z50" s="34"/>
      <c r="AA50" s="35" t="s">
        <v>56</v>
      </c>
      <c r="AB50" s="49">
        <f t="shared" si="7"/>
        <v>46484</v>
      </c>
      <c r="AC50" s="50">
        <v>24</v>
      </c>
      <c r="AD50" s="51">
        <f t="shared" si="15"/>
        <v>46508</v>
      </c>
    </row>
    <row r="51" spans="2:30" s="15" customFormat="1" ht="22" thickBot="1" x14ac:dyDescent="0.95">
      <c r="B51" s="35" t="s">
        <v>57</v>
      </c>
      <c r="C51" s="51">
        <f t="shared" si="8"/>
        <v>46477</v>
      </c>
      <c r="D51" s="50">
        <v>14</v>
      </c>
      <c r="E51" s="81">
        <f t="shared" si="9"/>
        <v>46491</v>
      </c>
      <c r="F51" s="34"/>
      <c r="G51" s="35" t="s">
        <v>57</v>
      </c>
      <c r="H51" s="51">
        <f t="shared" si="16"/>
        <v>46477</v>
      </c>
      <c r="I51" s="50">
        <v>14</v>
      </c>
      <c r="J51" s="51">
        <f t="shared" si="17"/>
        <v>46491</v>
      </c>
      <c r="K51" s="37"/>
      <c r="L51" s="35" t="s">
        <v>57</v>
      </c>
      <c r="M51" s="49">
        <f t="shared" si="10"/>
        <v>46491</v>
      </c>
      <c r="N51" s="50">
        <v>24</v>
      </c>
      <c r="O51" s="51">
        <f t="shared" si="11"/>
        <v>46515</v>
      </c>
      <c r="P51" s="34"/>
      <c r="Q51" s="38" t="s">
        <v>57</v>
      </c>
      <c r="R51" s="58">
        <f t="shared" si="12"/>
        <v>46491</v>
      </c>
      <c r="S51" s="50">
        <v>24</v>
      </c>
      <c r="T51" s="55">
        <f t="shared" si="13"/>
        <v>46515</v>
      </c>
      <c r="U51" s="34"/>
      <c r="V51" s="83" t="s">
        <v>57</v>
      </c>
      <c r="W51" s="58">
        <f t="shared" si="6"/>
        <v>46516</v>
      </c>
      <c r="X51" s="50">
        <v>26</v>
      </c>
      <c r="Y51" s="55">
        <f t="shared" si="14"/>
        <v>46542</v>
      </c>
      <c r="Z51" s="34"/>
      <c r="AA51" s="38" t="s">
        <v>57</v>
      </c>
      <c r="AB51" s="58">
        <f t="shared" si="7"/>
        <v>46508</v>
      </c>
      <c r="AC51" s="50">
        <v>26</v>
      </c>
      <c r="AD51" s="55">
        <f t="shared" si="15"/>
        <v>46534</v>
      </c>
    </row>
    <row r="52" spans="2:30" s="15" customFormat="1" ht="22" thickBot="1" x14ac:dyDescent="0.95">
      <c r="B52" s="38" t="s">
        <v>58</v>
      </c>
      <c r="C52" s="55">
        <f t="shared" si="8"/>
        <v>46491</v>
      </c>
      <c r="D52" s="56">
        <v>24</v>
      </c>
      <c r="E52" s="57">
        <f t="shared" si="9"/>
        <v>46515</v>
      </c>
      <c r="F52" s="34"/>
      <c r="G52" s="38" t="s">
        <v>58</v>
      </c>
      <c r="H52" s="55">
        <f t="shared" si="16"/>
        <v>46491</v>
      </c>
      <c r="I52" s="56">
        <v>24</v>
      </c>
      <c r="J52" s="55">
        <f t="shared" si="17"/>
        <v>46515</v>
      </c>
      <c r="K52" s="37"/>
      <c r="L52" s="61" t="s">
        <v>59</v>
      </c>
      <c r="M52" s="69">
        <f t="shared" si="10"/>
        <v>46515</v>
      </c>
      <c r="N52" s="63">
        <v>22</v>
      </c>
      <c r="O52" s="68">
        <f t="shared" si="11"/>
        <v>46537</v>
      </c>
      <c r="P52" s="42"/>
      <c r="Q52" s="61" t="s">
        <v>59</v>
      </c>
      <c r="R52" s="69">
        <f t="shared" si="12"/>
        <v>46515</v>
      </c>
      <c r="S52" s="63">
        <v>22</v>
      </c>
      <c r="T52" s="68">
        <f t="shared" si="13"/>
        <v>46537</v>
      </c>
      <c r="U52" s="42"/>
      <c r="V52" s="72" t="s">
        <v>59</v>
      </c>
      <c r="W52" s="69">
        <f t="shared" si="6"/>
        <v>46542</v>
      </c>
      <c r="X52" s="63">
        <v>45</v>
      </c>
      <c r="Y52" s="68">
        <f t="shared" si="14"/>
        <v>46587</v>
      </c>
      <c r="Z52" s="42"/>
      <c r="AA52" s="61" t="s">
        <v>59</v>
      </c>
      <c r="AB52" s="69">
        <f t="shared" si="7"/>
        <v>46534</v>
      </c>
      <c r="AC52" s="63">
        <v>45</v>
      </c>
      <c r="AD52" s="87">
        <f t="shared" si="15"/>
        <v>46579</v>
      </c>
    </row>
    <row r="53" spans="2:30" s="15" customFormat="1" ht="22" thickBot="1" x14ac:dyDescent="0.95">
      <c r="B53" s="61" t="s">
        <v>59</v>
      </c>
      <c r="C53" s="62">
        <f t="shared" si="8"/>
        <v>46515</v>
      </c>
      <c r="D53" s="63">
        <v>22</v>
      </c>
      <c r="E53" s="87">
        <f t="shared" si="9"/>
        <v>46537</v>
      </c>
      <c r="F53" s="42"/>
      <c r="G53" s="61" t="s">
        <v>59</v>
      </c>
      <c r="H53" s="62">
        <f>J52</f>
        <v>46515</v>
      </c>
      <c r="I53" s="63">
        <v>22</v>
      </c>
      <c r="J53" s="87">
        <f>I53+H53</f>
        <v>46537</v>
      </c>
      <c r="K53" s="88"/>
      <c r="L53" s="73" t="s">
        <v>60</v>
      </c>
      <c r="M53" s="89">
        <f>O26</f>
        <v>46198</v>
      </c>
      <c r="N53" s="15">
        <v>425</v>
      </c>
      <c r="O53" s="90">
        <f>N53+M53</f>
        <v>46623</v>
      </c>
      <c r="Q53" s="73" t="s">
        <v>60</v>
      </c>
      <c r="R53" s="89">
        <f>T27</f>
        <v>46215</v>
      </c>
      <c r="S53" s="15">
        <v>453</v>
      </c>
      <c r="T53" s="90">
        <f>S53+R53</f>
        <v>46668</v>
      </c>
      <c r="V53" s="80" t="s">
        <v>60</v>
      </c>
      <c r="W53" s="89">
        <f>Y25</f>
        <v>46221</v>
      </c>
      <c r="X53" s="15">
        <v>439</v>
      </c>
      <c r="Y53" s="90">
        <f>X53+W53</f>
        <v>46660</v>
      </c>
      <c r="AA53" s="73" t="s">
        <v>60</v>
      </c>
      <c r="AB53" s="89">
        <f>AD24</f>
        <v>46197</v>
      </c>
      <c r="AC53" s="15">
        <v>425</v>
      </c>
      <c r="AD53" s="90">
        <f>AC53+AB53</f>
        <v>46622</v>
      </c>
    </row>
    <row r="54" spans="2:30" s="15" customFormat="1" x14ac:dyDescent="0.9">
      <c r="B54" s="91" t="s">
        <v>61</v>
      </c>
      <c r="C54" s="92">
        <f>E29</f>
        <v>46210</v>
      </c>
      <c r="D54" s="15">
        <v>430</v>
      </c>
      <c r="E54" s="90">
        <f>D54+C54</f>
        <v>46640</v>
      </c>
      <c r="G54" s="91" t="s">
        <v>61</v>
      </c>
      <c r="H54" s="92">
        <f>J28+11</f>
        <v>46190</v>
      </c>
      <c r="I54" s="15">
        <v>402</v>
      </c>
      <c r="J54" s="90">
        <f>J53+30</f>
        <v>46567</v>
      </c>
      <c r="L54" s="93"/>
      <c r="M54" s="16"/>
      <c r="N54" s="16"/>
      <c r="O54" s="94"/>
      <c r="Q54" s="93"/>
      <c r="R54" s="16"/>
      <c r="S54" s="16"/>
      <c r="T54" s="94"/>
      <c r="V54" s="82"/>
      <c r="W54" s="16"/>
      <c r="X54" s="16"/>
      <c r="Y54" s="94"/>
      <c r="AA54" s="93"/>
      <c r="AB54" s="16"/>
      <c r="AC54" s="16"/>
      <c r="AD54" s="94"/>
    </row>
    <row r="55" spans="2:30" s="99" customFormat="1" ht="64.5" x14ac:dyDescent="0.9">
      <c r="B55" s="95" t="s">
        <v>62</v>
      </c>
      <c r="C55" s="96">
        <f>C54+8</f>
        <v>46218</v>
      </c>
      <c r="D55" s="97">
        <v>650</v>
      </c>
      <c r="E55" s="94">
        <f>D55+C55</f>
        <v>46868</v>
      </c>
      <c r="F55" s="98"/>
      <c r="G55" s="95" t="s">
        <v>62</v>
      </c>
      <c r="H55" s="96">
        <f t="shared" ref="H55:J56" si="22">C55</f>
        <v>46218</v>
      </c>
      <c r="I55" s="97">
        <f t="shared" si="22"/>
        <v>650</v>
      </c>
      <c r="J55" s="94">
        <f t="shared" si="22"/>
        <v>46868</v>
      </c>
      <c r="K55" s="15"/>
      <c r="L55" s="95" t="s">
        <v>62</v>
      </c>
      <c r="M55" s="96">
        <f t="shared" ref="M55:O56" si="23">H55</f>
        <v>46218</v>
      </c>
      <c r="N55" s="97">
        <f t="shared" si="23"/>
        <v>650</v>
      </c>
      <c r="O55" s="94">
        <f t="shared" si="23"/>
        <v>46868</v>
      </c>
      <c r="P55" s="98"/>
      <c r="Q55" s="95" t="s">
        <v>62</v>
      </c>
      <c r="R55" s="96">
        <f t="shared" ref="R55:T56" si="24">M55</f>
        <v>46218</v>
      </c>
      <c r="S55" s="97">
        <f t="shared" si="24"/>
        <v>650</v>
      </c>
      <c r="T55" s="94">
        <f t="shared" si="24"/>
        <v>46868</v>
      </c>
      <c r="U55" s="15"/>
      <c r="V55" s="95" t="s">
        <v>62</v>
      </c>
      <c r="W55" s="96">
        <f t="shared" ref="W55:Y56" si="25">R55</f>
        <v>46218</v>
      </c>
      <c r="X55" s="97">
        <f t="shared" si="25"/>
        <v>650</v>
      </c>
      <c r="Y55" s="94">
        <f t="shared" si="25"/>
        <v>46868</v>
      </c>
      <c r="Z55" s="98"/>
      <c r="AA55" s="95" t="s">
        <v>62</v>
      </c>
      <c r="AB55" s="96">
        <f t="shared" ref="AB55:AD56" si="26">W55</f>
        <v>46218</v>
      </c>
      <c r="AC55" s="97">
        <f t="shared" si="26"/>
        <v>650</v>
      </c>
      <c r="AD55" s="94">
        <f t="shared" si="26"/>
        <v>46868</v>
      </c>
    </row>
    <row r="56" spans="2:30" s="15" customFormat="1" x14ac:dyDescent="0.9">
      <c r="B56" s="93" t="s">
        <v>63</v>
      </c>
      <c r="C56" s="96">
        <f>C55+45</f>
        <v>46263</v>
      </c>
      <c r="D56" s="100">
        <v>640</v>
      </c>
      <c r="E56" s="94">
        <f>D56+C56</f>
        <v>46903</v>
      </c>
      <c r="F56" s="97"/>
      <c r="G56" s="93" t="s">
        <v>63</v>
      </c>
      <c r="H56" s="96">
        <f t="shared" si="22"/>
        <v>46263</v>
      </c>
      <c r="I56" s="100">
        <f t="shared" si="22"/>
        <v>640</v>
      </c>
      <c r="J56" s="94">
        <f t="shared" si="22"/>
        <v>46903</v>
      </c>
      <c r="K56" s="101"/>
      <c r="L56" s="93" t="s">
        <v>63</v>
      </c>
      <c r="M56" s="96">
        <f t="shared" si="23"/>
        <v>46263</v>
      </c>
      <c r="N56" s="100">
        <f t="shared" si="23"/>
        <v>640</v>
      </c>
      <c r="O56" s="94">
        <f t="shared" si="23"/>
        <v>46903</v>
      </c>
      <c r="P56" s="101"/>
      <c r="Q56" s="93" t="s">
        <v>63</v>
      </c>
      <c r="R56" s="96">
        <f t="shared" si="24"/>
        <v>46263</v>
      </c>
      <c r="S56" s="100">
        <f t="shared" si="24"/>
        <v>640</v>
      </c>
      <c r="T56" s="94">
        <f t="shared" si="24"/>
        <v>46903</v>
      </c>
      <c r="U56" s="101"/>
      <c r="V56" s="93" t="s">
        <v>63</v>
      </c>
      <c r="W56" s="96">
        <f t="shared" si="25"/>
        <v>46263</v>
      </c>
      <c r="X56" s="100">
        <f t="shared" si="25"/>
        <v>640</v>
      </c>
      <c r="Y56" s="94">
        <f t="shared" si="25"/>
        <v>46903</v>
      </c>
      <c r="Z56" s="101"/>
      <c r="AA56" s="93" t="s">
        <v>63</v>
      </c>
      <c r="AB56" s="96">
        <f t="shared" si="26"/>
        <v>46263</v>
      </c>
      <c r="AC56" s="100">
        <f t="shared" si="26"/>
        <v>640</v>
      </c>
      <c r="AD56" s="94">
        <f t="shared" si="26"/>
        <v>46903</v>
      </c>
    </row>
    <row r="57" spans="2:30" s="15" customFormat="1" x14ac:dyDescent="0.9">
      <c r="B57" s="102" t="s">
        <v>64</v>
      </c>
      <c r="C57" s="103">
        <f>E56</f>
        <v>46903</v>
      </c>
      <c r="D57" s="104"/>
      <c r="E57" s="105">
        <f>C57</f>
        <v>46903</v>
      </c>
      <c r="F57" s="101"/>
      <c r="G57" s="102" t="s">
        <v>64</v>
      </c>
      <c r="H57" s="103">
        <f>C57</f>
        <v>46903</v>
      </c>
      <c r="I57" s="104"/>
      <c r="J57" s="105">
        <f>E57</f>
        <v>46903</v>
      </c>
      <c r="K57" s="101"/>
      <c r="L57" s="102" t="s">
        <v>64</v>
      </c>
      <c r="M57" s="103">
        <f>H57</f>
        <v>46903</v>
      </c>
      <c r="N57" s="104"/>
      <c r="O57" s="105">
        <f>J57</f>
        <v>46903</v>
      </c>
      <c r="P57" s="101"/>
      <c r="Q57" s="102" t="s">
        <v>64</v>
      </c>
      <c r="R57" s="103">
        <f>M57</f>
        <v>46903</v>
      </c>
      <c r="S57" s="104"/>
      <c r="T57" s="105">
        <f>O57</f>
        <v>46903</v>
      </c>
      <c r="U57" s="101"/>
      <c r="V57" s="102" t="s">
        <v>64</v>
      </c>
      <c r="W57" s="103">
        <f>R57</f>
        <v>46903</v>
      </c>
      <c r="X57" s="104"/>
      <c r="Y57" s="105">
        <f>T57</f>
        <v>46903</v>
      </c>
      <c r="Z57" s="101"/>
      <c r="AA57" s="102" t="s">
        <v>64</v>
      </c>
      <c r="AB57" s="103">
        <f>W57</f>
        <v>46903</v>
      </c>
      <c r="AC57" s="104"/>
      <c r="AD57" s="105">
        <f>Y57</f>
        <v>46903</v>
      </c>
    </row>
    <row r="58" spans="2:30" s="15" customFormat="1" ht="43.5" thickBot="1" x14ac:dyDescent="0.95">
      <c r="B58" s="106" t="s">
        <v>80</v>
      </c>
      <c r="C58" s="103">
        <v>46993</v>
      </c>
      <c r="D58" s="108"/>
      <c r="E58" s="109"/>
      <c r="F58" s="101"/>
      <c r="G58" s="106" t="str">
        <f>B58</f>
        <v xml:space="preserve">Start of Handover </v>
      </c>
      <c r="H58" s="107">
        <f>C58</f>
        <v>46993</v>
      </c>
      <c r="I58" s="108"/>
      <c r="J58" s="109"/>
      <c r="K58" s="101"/>
      <c r="L58" s="110" t="str">
        <f>G58</f>
        <v xml:space="preserve">Start of Handover </v>
      </c>
      <c r="M58" s="107">
        <f>H58</f>
        <v>46993</v>
      </c>
      <c r="N58" s="108"/>
      <c r="O58" s="109"/>
      <c r="P58" s="101"/>
      <c r="Q58" s="110" t="str">
        <f>L58</f>
        <v xml:space="preserve">Start of Handover </v>
      </c>
      <c r="R58" s="107">
        <f>M58</f>
        <v>46993</v>
      </c>
      <c r="S58" s="108"/>
      <c r="T58" s="109"/>
      <c r="U58" s="101"/>
      <c r="V58" s="110" t="str">
        <f>Q58</f>
        <v xml:space="preserve">Start of Handover </v>
      </c>
      <c r="W58" s="107">
        <f>R58</f>
        <v>46993</v>
      </c>
      <c r="X58" s="108"/>
      <c r="Y58" s="109"/>
      <c r="Z58" s="101"/>
      <c r="AA58" s="110" t="str">
        <f>V58</f>
        <v xml:space="preserve">Start of Handover </v>
      </c>
      <c r="AB58" s="107">
        <f>W58</f>
        <v>46993</v>
      </c>
      <c r="AC58" s="108"/>
      <c r="AD58" s="109"/>
    </row>
    <row r="59" spans="2:30" x14ac:dyDescent="0.9">
      <c r="M59" s="103"/>
    </row>
  </sheetData>
  <mergeCells count="7">
    <mergeCell ref="AA5:AD5"/>
    <mergeCell ref="B1:E1"/>
    <mergeCell ref="B5:E5"/>
    <mergeCell ref="G5:J5"/>
    <mergeCell ref="L5:O5"/>
    <mergeCell ref="Q5:T5"/>
    <mergeCell ref="V5:Y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8" scale="57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64B6-197D-4F99-A851-F1137399C79E}">
  <dimension ref="B2:H22"/>
  <sheetViews>
    <sheetView zoomScale="55" zoomScaleNormal="55" workbookViewId="0">
      <selection activeCell="C14" sqref="C14"/>
    </sheetView>
  </sheetViews>
  <sheetFormatPr defaultColWidth="41" defaultRowHeight="21.5" x14ac:dyDescent="0.9"/>
  <cols>
    <col min="1" max="1" width="8.6328125" style="2" customWidth="1"/>
    <col min="2" max="2" width="53.08984375" style="2" customWidth="1"/>
    <col min="3" max="8" width="16.36328125" style="2" customWidth="1"/>
    <col min="9" max="9" width="4.6328125" style="2" customWidth="1"/>
    <col min="10" max="16384" width="41" style="2"/>
  </cols>
  <sheetData>
    <row r="2" spans="2:8" ht="22" thickBot="1" x14ac:dyDescent="0.95"/>
    <row r="3" spans="2:8" ht="28" thickBot="1" x14ac:dyDescent="0.95">
      <c r="B3" s="3" t="s">
        <v>65</v>
      </c>
      <c r="C3" s="4" t="s">
        <v>7</v>
      </c>
      <c r="D3" s="4" t="s">
        <v>66</v>
      </c>
      <c r="E3" s="4" t="s">
        <v>9</v>
      </c>
      <c r="F3" s="4" t="s">
        <v>10</v>
      </c>
      <c r="G3" s="4" t="s">
        <v>6</v>
      </c>
      <c r="H3" s="4" t="s">
        <v>5</v>
      </c>
    </row>
    <row r="4" spans="2:8" ht="20" customHeight="1" thickBot="1" x14ac:dyDescent="0.95">
      <c r="B4" s="5" t="s">
        <v>67</v>
      </c>
      <c r="C4" s="148" t="s">
        <v>68</v>
      </c>
      <c r="D4" s="149"/>
      <c r="E4" s="149"/>
      <c r="F4" s="149"/>
      <c r="G4" s="149"/>
      <c r="H4" s="150"/>
    </row>
    <row r="5" spans="2:8" ht="20" customHeight="1" thickBot="1" x14ac:dyDescent="0.95">
      <c r="B5" s="5" t="s">
        <v>69</v>
      </c>
      <c r="C5" s="148" t="s">
        <v>68</v>
      </c>
      <c r="D5" s="149"/>
      <c r="E5" s="149"/>
      <c r="F5" s="149"/>
      <c r="G5" s="149"/>
      <c r="H5" s="150"/>
    </row>
    <row r="6" spans="2:8" ht="20" customHeight="1" thickBot="1" x14ac:dyDescent="0.95">
      <c r="B6" s="5" t="s">
        <v>70</v>
      </c>
      <c r="C6" s="1">
        <v>45323</v>
      </c>
      <c r="D6" s="1">
        <v>45323</v>
      </c>
      <c r="E6" s="1">
        <v>45323</v>
      </c>
      <c r="F6" s="1">
        <v>45323</v>
      </c>
      <c r="G6" s="1">
        <v>45292</v>
      </c>
      <c r="H6" s="1">
        <v>45292</v>
      </c>
    </row>
    <row r="7" spans="2:8" ht="20" customHeight="1" x14ac:dyDescent="0.9">
      <c r="B7" s="151" t="s">
        <v>71</v>
      </c>
      <c r="C7" s="153">
        <v>45839</v>
      </c>
      <c r="D7" s="6">
        <v>45839</v>
      </c>
      <c r="E7" s="6">
        <v>45839</v>
      </c>
      <c r="F7" s="6">
        <v>45839</v>
      </c>
      <c r="G7" s="155">
        <v>45778</v>
      </c>
      <c r="H7" s="6">
        <v>45778</v>
      </c>
    </row>
    <row r="8" spans="2:8" ht="20" customHeight="1" thickBot="1" x14ac:dyDescent="0.95">
      <c r="B8" s="152"/>
      <c r="C8" s="154"/>
      <c r="D8" s="7">
        <v>45870</v>
      </c>
      <c r="E8" s="7">
        <v>45901</v>
      </c>
      <c r="F8" s="7">
        <v>45901</v>
      </c>
      <c r="G8" s="156"/>
      <c r="H8" s="7">
        <v>45839</v>
      </c>
    </row>
    <row r="9" spans="2:8" ht="20" customHeight="1" thickBot="1" x14ac:dyDescent="0.95">
      <c r="B9" s="151" t="s">
        <v>72</v>
      </c>
      <c r="C9" s="112">
        <v>45962</v>
      </c>
      <c r="D9" s="9">
        <v>45962</v>
      </c>
      <c r="E9" s="9">
        <v>45992</v>
      </c>
      <c r="F9" s="9">
        <v>45992</v>
      </c>
      <c r="G9" s="8">
        <v>45931</v>
      </c>
      <c r="H9" s="8">
        <v>45931</v>
      </c>
    </row>
    <row r="10" spans="2:8" ht="20" customHeight="1" thickBot="1" x14ac:dyDescent="0.95">
      <c r="B10" s="152"/>
      <c r="C10" s="113">
        <v>46023</v>
      </c>
      <c r="D10" s="113">
        <v>46054</v>
      </c>
      <c r="E10" s="113">
        <v>46082</v>
      </c>
      <c r="F10" s="113">
        <v>46082</v>
      </c>
      <c r="G10" s="113">
        <v>46357</v>
      </c>
      <c r="H10" s="113">
        <v>46023</v>
      </c>
    </row>
    <row r="11" spans="2:8" ht="20" customHeight="1" thickBot="1" x14ac:dyDescent="0.95">
      <c r="B11" s="151" t="s">
        <v>73</v>
      </c>
      <c r="C11" s="114">
        <v>46113</v>
      </c>
      <c r="D11" s="9">
        <v>46143</v>
      </c>
      <c r="E11" s="9">
        <v>46143</v>
      </c>
      <c r="F11" s="9">
        <v>46143</v>
      </c>
      <c r="G11" s="9">
        <v>46082</v>
      </c>
      <c r="H11" s="9">
        <v>46082</v>
      </c>
    </row>
    <row r="12" spans="2:8" ht="20" customHeight="1" thickBot="1" x14ac:dyDescent="0.95">
      <c r="B12" s="152"/>
      <c r="C12" s="115">
        <f>'01.06.26 Revised'!O26</f>
        <v>46198</v>
      </c>
      <c r="D12" s="10">
        <f>'01.06.26 Revised'!T26</f>
        <v>46203</v>
      </c>
      <c r="E12" s="10">
        <f>'01.06.26 Revised'!Y26</f>
        <v>46233</v>
      </c>
      <c r="F12" s="10">
        <f>'01.06.26 Revised'!AD26</f>
        <v>46221</v>
      </c>
      <c r="G12" s="113">
        <f>'01.06.26 Revised'!J26</f>
        <v>46149</v>
      </c>
      <c r="H12" s="113">
        <f>'01.06.26 Revised'!E26</f>
        <v>46170</v>
      </c>
    </row>
    <row r="13" spans="2:8" ht="20" customHeight="1" x14ac:dyDescent="0.9">
      <c r="B13" s="151" t="s">
        <v>74</v>
      </c>
      <c r="C13" s="114">
        <v>46235</v>
      </c>
      <c r="D13" s="9">
        <v>46235</v>
      </c>
      <c r="E13" s="9">
        <v>46266</v>
      </c>
      <c r="F13" s="9">
        <v>46266</v>
      </c>
      <c r="G13" s="9">
        <v>46204</v>
      </c>
      <c r="H13" s="9">
        <v>46204</v>
      </c>
    </row>
    <row r="14" spans="2:8" ht="20" customHeight="1" thickBot="1" x14ac:dyDescent="0.95">
      <c r="B14" s="152"/>
      <c r="C14" s="115">
        <f>'01.06.26 Revised'!O36</f>
        <v>46320</v>
      </c>
      <c r="D14" s="10">
        <f>'01.06.26 Revised'!T36</f>
        <v>46323</v>
      </c>
      <c r="E14" s="10">
        <v>46357</v>
      </c>
      <c r="F14" s="10">
        <f>E14</f>
        <v>46357</v>
      </c>
      <c r="G14" s="10">
        <v>46296</v>
      </c>
      <c r="H14" s="10">
        <v>46327</v>
      </c>
    </row>
    <row r="15" spans="2:8" ht="20" customHeight="1" x14ac:dyDescent="0.9">
      <c r="B15" s="151" t="s">
        <v>81</v>
      </c>
      <c r="C15" s="114"/>
      <c r="D15" s="9"/>
      <c r="E15" s="9"/>
      <c r="F15" s="9"/>
      <c r="G15" s="9"/>
      <c r="H15" s="9"/>
    </row>
    <row r="16" spans="2:8" ht="20" customHeight="1" thickBot="1" x14ac:dyDescent="0.95">
      <c r="B16" s="152"/>
      <c r="C16" s="12">
        <f>'01.06.26 Revised'!O49</f>
        <v>46477</v>
      </c>
      <c r="D16" s="11">
        <f>'01.06.26 Revised'!T49</f>
        <v>46477</v>
      </c>
      <c r="E16" s="11">
        <f>'01.06.26 Revised'!Y49</f>
        <v>46492</v>
      </c>
      <c r="F16" s="11">
        <f>'01.06.26 Revised'!AD49</f>
        <v>46484</v>
      </c>
      <c r="G16" s="11">
        <f>'01.06.26 Revised'!E50</f>
        <v>46477</v>
      </c>
      <c r="H16" s="11">
        <f>'01.06.26 Revised'!J50</f>
        <v>46477</v>
      </c>
    </row>
    <row r="17" spans="2:8" ht="20" customHeight="1" x14ac:dyDescent="0.9">
      <c r="B17" s="151" t="s">
        <v>75</v>
      </c>
      <c r="C17" s="114">
        <v>46447</v>
      </c>
      <c r="D17" s="9">
        <v>46447</v>
      </c>
      <c r="E17" s="9">
        <v>46447</v>
      </c>
      <c r="F17" s="9">
        <v>46447</v>
      </c>
      <c r="G17" s="9">
        <v>46419</v>
      </c>
      <c r="H17" s="9">
        <v>46419</v>
      </c>
    </row>
    <row r="18" spans="2:8" ht="20" customHeight="1" thickBot="1" x14ac:dyDescent="0.95">
      <c r="B18" s="152"/>
      <c r="C18" s="12">
        <f>'01.06.26 Revised'!O52</f>
        <v>46537</v>
      </c>
      <c r="D18" s="11">
        <f>'01.06.26 Revised'!T52</f>
        <v>46537</v>
      </c>
      <c r="E18" s="11">
        <f>'01.06.26 Revised'!Y52</f>
        <v>46587</v>
      </c>
      <c r="F18" s="11">
        <f>'01.06.26 Revised'!AD52</f>
        <v>46579</v>
      </c>
      <c r="G18" s="11">
        <f>'01.06.26 Revised'!E53</f>
        <v>46537</v>
      </c>
      <c r="H18" s="11">
        <f>'01.06.26 Revised'!J53</f>
        <v>46537</v>
      </c>
    </row>
    <row r="19" spans="2:8" ht="20" customHeight="1" x14ac:dyDescent="0.9">
      <c r="B19" s="151" t="s">
        <v>76</v>
      </c>
      <c r="C19" s="161">
        <v>46722</v>
      </c>
      <c r="D19" s="161"/>
      <c r="E19" s="161"/>
      <c r="F19" s="161"/>
      <c r="G19" s="161"/>
      <c r="H19" s="162"/>
    </row>
    <row r="20" spans="2:8" ht="20" customHeight="1" thickBot="1" x14ac:dyDescent="0.95">
      <c r="B20" s="152"/>
      <c r="C20" s="163">
        <f>'01.06.26 Revised'!E57</f>
        <v>46903</v>
      </c>
      <c r="D20" s="163"/>
      <c r="E20" s="163"/>
      <c r="F20" s="163"/>
      <c r="G20" s="163"/>
      <c r="H20" s="164"/>
    </row>
    <row r="21" spans="2:8" ht="20" customHeight="1" thickBot="1" x14ac:dyDescent="0.95">
      <c r="B21" s="111" t="s">
        <v>77</v>
      </c>
      <c r="C21" s="157">
        <f>'01.06.26 Revised'!E58</f>
        <v>0</v>
      </c>
      <c r="D21" s="157"/>
      <c r="E21" s="157"/>
      <c r="F21" s="157"/>
      <c r="G21" s="157"/>
      <c r="H21" s="158"/>
    </row>
    <row r="22" spans="2:8" ht="20" customHeight="1" thickBot="1" x14ac:dyDescent="0.95">
      <c r="B22" s="111" t="s">
        <v>78</v>
      </c>
      <c r="C22" s="159" t="s">
        <v>79</v>
      </c>
      <c r="D22" s="159"/>
      <c r="E22" s="159"/>
      <c r="F22" s="159"/>
      <c r="G22" s="159"/>
      <c r="H22" s="160"/>
    </row>
  </sheetData>
  <mergeCells count="15">
    <mergeCell ref="C21:H21"/>
    <mergeCell ref="C22:H22"/>
    <mergeCell ref="B9:B10"/>
    <mergeCell ref="B11:B12"/>
    <mergeCell ref="B13:B14"/>
    <mergeCell ref="B17:B18"/>
    <mergeCell ref="B19:B20"/>
    <mergeCell ref="C19:H19"/>
    <mergeCell ref="C20:H20"/>
    <mergeCell ref="B15:B16"/>
    <mergeCell ref="C4:H4"/>
    <mergeCell ref="C5:H5"/>
    <mergeCell ref="B7:B8"/>
    <mergeCell ref="C7:C8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% Progress</vt:lpstr>
      <vt:lpstr>01.06.26 Revised</vt:lpstr>
      <vt:lpstr>Revised CRM milestones</vt:lpstr>
      <vt:lpstr>'01.06.26 Revised'!Print_Area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Sangwan</dc:creator>
  <cp:lastModifiedBy>Dheeraj Agrawal</cp:lastModifiedBy>
  <cp:lastPrinted>2026-06-01T11:21:12Z</cp:lastPrinted>
  <dcterms:created xsi:type="dcterms:W3CDTF">2025-12-19T06:54:24Z</dcterms:created>
  <dcterms:modified xsi:type="dcterms:W3CDTF">2026-06-04T06:16:04Z</dcterms:modified>
</cp:coreProperties>
</file>